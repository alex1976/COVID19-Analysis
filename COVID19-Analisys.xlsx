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sspa-my.sharepoint.com/personal/a_maramotti_teamsystem_com/Documents/Temp/BI/"/>
    </mc:Choice>
  </mc:AlternateContent>
  <xr:revisionPtr revIDLastSave="133" documentId="13_ncr:1_{01AEE07C-F2A6-4695-98DE-7AD330094A1A}" xr6:coauthVersionLast="45" xr6:coauthVersionMax="45" xr10:uidLastSave="{F4DA70D6-D875-47B2-B5B4-C0493A975980}"/>
  <bookViews>
    <workbookView xWindow="-120" yWindow="-120" windowWidth="29040" windowHeight="15840" activeTab="1" xr2:uid="{BC078018-B75B-4C4E-AF90-4074B60EF2C2}"/>
  </bookViews>
  <sheets>
    <sheet name="Istruzioni" sheetId="5" r:id="rId1"/>
    <sheet name="Dashboard" sheetId="2" r:id="rId2"/>
    <sheet name="Nazionale" sheetId="4" r:id="rId3"/>
    <sheet name="Regioni" sheetId="6" r:id="rId4"/>
    <sheet name="Pivot" sheetId="1" r:id="rId5"/>
  </sheets>
  <definedNames>
    <definedName name="_xlchart.v5.0" hidden="1">Pivot!$M$6</definedName>
    <definedName name="_xlchart.v5.1" hidden="1">Pivot!$M$7:$M$27</definedName>
    <definedName name="_xlchart.v5.2" hidden="1">Pivot!$N$6</definedName>
    <definedName name="_xlchart.v5.3" hidden="1">Pivot!$N$7:$N$27</definedName>
    <definedName name="_xlcn.WorksheetConnection_Cartel1dpc_covid19_ita_andamento_nazionale" hidden="1">dpc_covid19_ita_andamento_nazionale[]</definedName>
    <definedName name="_xlcn.WorksheetConnection_COVID19Analisys.xlsxdpc_covid19_ita_regioni" hidden="1">dpc_covid19_ita_regioni[]</definedName>
    <definedName name="DatiEsterni_1" localSheetId="2" hidden="1">Nazionale!$A$1:$L$16</definedName>
    <definedName name="DatiEsterni_1" localSheetId="3" hidden="1">Regioni!$A$1:$P$316</definedName>
    <definedName name="SequenzaTemporale_data">#N/A</definedName>
  </definedNames>
  <calcPr calcId="191029"/>
  <pivotCaches>
    <pivotCache cacheId="240" r:id="rId6"/>
    <pivotCache cacheId="241" r:id="rId7"/>
    <pivotCache cacheId="242" r:id="rId8"/>
    <pivotCache cacheId="243" r:id="rId9"/>
    <pivotCache cacheId="244" r:id="rId10"/>
    <pivotCache cacheId="245" r:id="rId11"/>
    <pivotCache cacheId="246" r:id="rId12"/>
    <pivotCache cacheId="247" r:id="rId1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248" r:id="rId14"/>
      </x15:timelineCachePivotCaches>
    </ext>
    <ext xmlns:x15="http://schemas.microsoft.com/office/spreadsheetml/2010/11/main" uri="{D0CA8CA8-9F24-4464-BF8E-62219DCF47F9}">
      <x15:timelineCacheRefs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pc_covid19_ita_regioni" name="dpc_covid19_ita_regioni" connection="WorksheetConnection_COVID19-Analisys.xlsx!dpc_covid19_ita_regioni"/>
          <x15:modelTable id="dpc_covid19_ita_andamento_nazionale" name="dpc_covid19_ita_andamento_nazionale" connection="WorksheetConnection_Cartel1!dpc_covid19_ita_andamento_naziona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3" i="2" l="1"/>
  <c r="O3" i="2"/>
  <c r="K3" i="2"/>
  <c r="G3" i="2"/>
  <c r="K8" i="2" l="1"/>
  <c r="O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1D7247-C6ED-4AF0-B185-40FFC54C0B73}" keepAlive="1" name="Query - dpc-covid19-ita-andamento-nazionale" description="Connessione alla query 'dpc-covid19-ita-andamento-nazionale' nella cartella di lavoro." type="5" refreshedVersion="6" background="1" saveData="1">
    <dbPr connection="Provider=Microsoft.Mashup.OleDb.1;Data Source=$Workbook$;Location=dpc-covid19-ita-andamento-nazionale;Extended Properties=&quot;&quot;" command="SELECT * FROM [dpc-covid19-ita-andamento-nazionale]"/>
  </connection>
  <connection id="2" xr16:uid="{332E8F4B-8270-4F1C-9FF1-85ABEAB35818}" keepAlive="1" name="Query - dpc-covid19-ita-regioni" description="Connessione alla query 'dpc-covid19-ita-regioni' nella cartella di lavoro." type="5" refreshedVersion="6" background="1" saveData="1">
    <dbPr connection="Provider=Microsoft.Mashup.OleDb.1;Data Source=$Workbook$;Location=dpc-covid19-ita-regioni;Extended Properties=&quot;&quot;" command="SELECT * FROM [dpc-covid19-ita-regioni]"/>
  </connection>
  <connection id="3" xr16:uid="{55E9CC8B-6357-4E4C-9F0A-2DE94F66A684}" keepAlive="1" name="ThisWorkbookDataModel" description="Modello di dati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2477ABD3-9AB6-4809-A1FA-5BAB1DF2A143}" name="WorksheetConnection_Cartel1!dpc_covid19_ita_andamento_nazionale" type="102" refreshedVersion="6" minRefreshableVersion="5">
    <extLst>
      <ext xmlns:x15="http://schemas.microsoft.com/office/spreadsheetml/2010/11/main" uri="{DE250136-89BD-433C-8126-D09CA5730AF9}">
        <x15:connection id="dpc_covid19_ita_andamento_nazionale">
          <x15:rangePr sourceName="_xlcn.WorksheetConnection_Cartel1dpc_covid19_ita_andamento_nazionale"/>
        </x15:connection>
      </ext>
    </extLst>
  </connection>
  <connection id="5" xr16:uid="{E5E03414-A675-496F-8A12-D7987E4B9D59}" name="WorksheetConnection_COVID19-Analisys.xlsx!dpc_covid19_ita_regioni" type="102" refreshedVersion="6" minRefreshableVersion="5">
    <extLst>
      <ext xmlns:x15="http://schemas.microsoft.com/office/spreadsheetml/2010/11/main" uri="{DE250136-89BD-433C-8126-D09CA5730AF9}">
        <x15:connection id="dpc_covid19_ita_regioni">
          <x15:rangePr sourceName="_xlcn.WorksheetConnection_COVID19Analisys.xlsxdpc_covid19_ita_regioni"/>
        </x15:connection>
      </ext>
    </extLst>
  </connection>
</connections>
</file>

<file path=xl/sharedStrings.xml><?xml version="1.0" encoding="utf-8"?>
<sst xmlns="http://schemas.openxmlformats.org/spreadsheetml/2006/main" count="726" uniqueCount="63">
  <si>
    <t>data</t>
  </si>
  <si>
    <t>stato</t>
  </si>
  <si>
    <t>ricoverati_con_sintomi</t>
  </si>
  <si>
    <t>terapia_intensiva</t>
  </si>
  <si>
    <t>totale_ospedalizzati</t>
  </si>
  <si>
    <t>isolamento_domiciliare</t>
  </si>
  <si>
    <t>totale_attualmente_positivi</t>
  </si>
  <si>
    <t>nuovi_attualmente_positivi</t>
  </si>
  <si>
    <t>dimessi_guariti</t>
  </si>
  <si>
    <t>deceduti</t>
  </si>
  <si>
    <t>totale_casi</t>
  </si>
  <si>
    <t>tamponi</t>
  </si>
  <si>
    <t>ITA</t>
  </si>
  <si>
    <t>Totale complessivo</t>
  </si>
  <si>
    <t>Etichette di riga</t>
  </si>
  <si>
    <t>CASI TOTALI RILEVATI</t>
  </si>
  <si>
    <t>DECEDUTI</t>
  </si>
  <si>
    <t>Somma di nuovi_attualmente_positivi</t>
  </si>
  <si>
    <t>Somma di totale_ospedalizzati</t>
  </si>
  <si>
    <t>Massimo di totale_attualmente_positivi</t>
  </si>
  <si>
    <t>Massimo di totale_casi</t>
  </si>
  <si>
    <t>leggere da sorgente esterna</t>
  </si>
  <si>
    <t>aggiunta tabella in modello dati</t>
  </si>
  <si>
    <t>creazione pivot</t>
  </si>
  <si>
    <t>creazione grafico pivot e spostamento grafico in foglio dashboard</t>
  </si>
  <si>
    <t>STEP</t>
  </si>
  <si>
    <t>creazione filtro temporale</t>
  </si>
  <si>
    <t>TOTALE POSITIVI</t>
  </si>
  <si>
    <t>Massimo di dimessi_guariti</t>
  </si>
  <si>
    <t>Massimo di deceduti</t>
  </si>
  <si>
    <t>GUARITI</t>
  </si>
  <si>
    <t>ATTUALMENTE POSITIVI</t>
  </si>
  <si>
    <t>Somma di terapia_intensiva</t>
  </si>
  <si>
    <t>aggiunta campi calcolati (giorno, mese, anno) al modello dati + (opzionale) aggiunta dimensione mese con descrizione al modello dati</t>
  </si>
  <si>
    <t>…</t>
  </si>
  <si>
    <t>https://github.com/pcm-dpc/COVID-19</t>
  </si>
  <si>
    <t>codice_regione</t>
  </si>
  <si>
    <t>denominazione_regione</t>
  </si>
  <si>
    <t>lat</t>
  </si>
  <si>
    <t>long</t>
  </si>
  <si>
    <t>Abruzzo</t>
  </si>
  <si>
    <t>Basilicata</t>
  </si>
  <si>
    <t>Bolzano</t>
  </si>
  <si>
    <t>Calabria</t>
  </si>
  <si>
    <t>Campania</t>
  </si>
  <si>
    <t>Emilia Romagna</t>
  </si>
  <si>
    <t>Friuli Venezia Giulia</t>
  </si>
  <si>
    <t>Lazio</t>
  </si>
  <si>
    <t>Liguria</t>
  </si>
  <si>
    <t>Lombardia</t>
  </si>
  <si>
    <t>Marche</t>
  </si>
  <si>
    <t>Molise</t>
  </si>
  <si>
    <t>Piemonte</t>
  </si>
  <si>
    <t>Puglia</t>
  </si>
  <si>
    <t>Sardegna</t>
  </si>
  <si>
    <t>Sicilia</t>
  </si>
  <si>
    <t>Toscana</t>
  </si>
  <si>
    <t>Trento</t>
  </si>
  <si>
    <t>Umbria</t>
  </si>
  <si>
    <t>Valle d'Aosta</t>
  </si>
  <si>
    <t>Veneto</t>
  </si>
  <si>
    <t>Fonte: https://github.com/pcm-dpc/COVID-19</t>
  </si>
  <si>
    <t>Presidenza del Consiglio dei Ministri
Dipartimento della Protezione Civile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</si>
</sst>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Abadi"/>
      <family val="2"/>
    </font>
    <font>
      <b/>
      <i/>
      <sz val="36"/>
      <color theme="1"/>
      <name val="Calibri"/>
      <family val="2"/>
      <scheme val="minor"/>
    </font>
    <font>
      <b/>
      <i/>
      <sz val="11"/>
      <color theme="1"/>
      <name val="Abadi"/>
      <family val="2"/>
    </font>
    <font>
      <sz val="12"/>
      <color theme="1"/>
      <name val="Abad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22" fontId="0" fillId="0" borderId="0" xfId="0" applyNumberFormat="1"/>
    <xf numFmtId="0" fontId="0" fillId="0" borderId="0" xfId="0" applyNumberFormat="1"/>
    <xf numFmtId="0" fontId="0" fillId="0" borderId="0" xfId="0" pivotButton="1"/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2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</cellXfs>
  <cellStyles count="3">
    <cellStyle name="Collegamento ipertestuale" xfId="2" builtinId="8"/>
    <cellStyle name="Normale" xfId="0" builtinId="0"/>
    <cellStyle name="Percentuale" xfId="1" builtinId="5"/>
  </cellStyles>
  <dxfs count="5"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microsoft.com/office/2011/relationships/timelineCache" Target="timelineCaches/timelineCach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[COVID19-Analisys.xlsx]Pivot!Tabella pivot1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cap="none" spc="20" baseline="0">
                <a:solidFill>
                  <a:schemeClr val="dk1"/>
                </a:solidFill>
                <a:latin typeface="Abadi" panose="020B0604020202020204" pitchFamily="34" charset="0"/>
                <a:ea typeface="+mn-ea"/>
                <a:cs typeface="+mn-cs"/>
              </a:defRPr>
            </a:pPr>
            <a:r>
              <a:rPr lang="en-US" b="1" i="1">
                <a:latin typeface="Abadi" panose="020B0604020202020204" pitchFamily="34" charset="0"/>
              </a:rPr>
              <a:t>CASI TOTALI RILEVATI VS DECEDUTI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cap="none" spc="20" baseline="0">
              <a:solidFill>
                <a:schemeClr val="dk1"/>
              </a:solidFill>
              <a:latin typeface="Abadi" panose="020B0604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Pivot!$C$2</c:f>
              <c:strCache>
                <c:ptCount val="1"/>
                <c:pt idx="0">
                  <c:v>CASI TOTALI RILEVATI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Pivot!$B$3:$B$18</c:f>
              <c:strCache>
                <c:ptCount val="15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18:00</c:v>
                </c:pt>
                <c:pt idx="6">
                  <c:v>01/03/2020 18:00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18:00</c:v>
                </c:pt>
                <c:pt idx="10">
                  <c:v>05/03/2020 18:00</c:v>
                </c:pt>
                <c:pt idx="11">
                  <c:v>06/03/2020 18:00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</c:strCache>
            </c:strRef>
          </c:cat>
          <c:val>
            <c:numRef>
              <c:f>Pivot!$C$3:$C$18</c:f>
              <c:numCache>
                <c:formatCode>General</c:formatCode>
                <c:ptCount val="15"/>
                <c:pt idx="0">
                  <c:v>229</c:v>
                </c:pt>
                <c:pt idx="1">
                  <c:v>322</c:v>
                </c:pt>
                <c:pt idx="2">
                  <c:v>400</c:v>
                </c:pt>
                <c:pt idx="3">
                  <c:v>650</c:v>
                </c:pt>
                <c:pt idx="4">
                  <c:v>888</c:v>
                </c:pt>
                <c:pt idx="5">
                  <c:v>1128</c:v>
                </c:pt>
                <c:pt idx="6">
                  <c:v>1694</c:v>
                </c:pt>
                <c:pt idx="7">
                  <c:v>2036</c:v>
                </c:pt>
                <c:pt idx="8">
                  <c:v>2502</c:v>
                </c:pt>
                <c:pt idx="9">
                  <c:v>3089</c:v>
                </c:pt>
                <c:pt idx="10">
                  <c:v>3858</c:v>
                </c:pt>
                <c:pt idx="11">
                  <c:v>4636</c:v>
                </c:pt>
                <c:pt idx="12">
                  <c:v>5883</c:v>
                </c:pt>
                <c:pt idx="13">
                  <c:v>7375</c:v>
                </c:pt>
                <c:pt idx="14">
                  <c:v>9172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111-47E8-B8AC-B408398A9D7A}"/>
            </c:ext>
          </c:extLst>
        </c:ser>
        <c:ser>
          <c:idx val="1"/>
          <c:order val="1"/>
          <c:tx>
            <c:strRef>
              <c:f>Pivot!$D$2</c:f>
              <c:strCache>
                <c:ptCount val="1"/>
                <c:pt idx="0">
                  <c:v>DECEDUTI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Pivot!$B$3:$B$18</c:f>
              <c:strCache>
                <c:ptCount val="15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18:00</c:v>
                </c:pt>
                <c:pt idx="6">
                  <c:v>01/03/2020 18:00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18:00</c:v>
                </c:pt>
                <c:pt idx="10">
                  <c:v>05/03/2020 18:00</c:v>
                </c:pt>
                <c:pt idx="11">
                  <c:v>06/03/2020 18:00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</c:strCache>
            </c:strRef>
          </c:cat>
          <c:val>
            <c:numRef>
              <c:f>Pivot!$D$3:$D$18</c:f>
              <c:numCache>
                <c:formatCode>General</c:formatCode>
                <c:ptCount val="15"/>
                <c:pt idx="0">
                  <c:v>7</c:v>
                </c:pt>
                <c:pt idx="1">
                  <c:v>10</c:v>
                </c:pt>
                <c:pt idx="2">
                  <c:v>12</c:v>
                </c:pt>
                <c:pt idx="3">
                  <c:v>17</c:v>
                </c:pt>
                <c:pt idx="4">
                  <c:v>21</c:v>
                </c:pt>
                <c:pt idx="5">
                  <c:v>29</c:v>
                </c:pt>
                <c:pt idx="6">
                  <c:v>34</c:v>
                </c:pt>
                <c:pt idx="7">
                  <c:v>52</c:v>
                </c:pt>
                <c:pt idx="8">
                  <c:v>79</c:v>
                </c:pt>
                <c:pt idx="9">
                  <c:v>107</c:v>
                </c:pt>
                <c:pt idx="10">
                  <c:v>148</c:v>
                </c:pt>
                <c:pt idx="11">
                  <c:v>197</c:v>
                </c:pt>
                <c:pt idx="12">
                  <c:v>233</c:v>
                </c:pt>
                <c:pt idx="13">
                  <c:v>366</c:v>
                </c:pt>
                <c:pt idx="14">
                  <c:v>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111-47E8-B8AC-B408398A9D7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48294272"/>
        <c:axId val="1544288736"/>
      </c:lineChart>
      <c:catAx>
        <c:axId val="154829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44288736"/>
        <c:crosses val="autoZero"/>
        <c:auto val="1"/>
        <c:lblAlgn val="ctr"/>
        <c:lblOffset val="100"/>
        <c:noMultiLvlLbl val="0"/>
      </c:catAx>
      <c:valAx>
        <c:axId val="154428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48294272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[COVID19-Analisys.xlsx]Pivot!Tabella pivot7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TERAPIA INTENSIVA VS OSPEDALIZZATI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Pivot!$G$6</c:f>
              <c:strCache>
                <c:ptCount val="1"/>
                <c:pt idx="0">
                  <c:v>Somma di totale_ospedalizzati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Pivot!$F$7:$F$22</c:f>
              <c:strCache>
                <c:ptCount val="15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18:00</c:v>
                </c:pt>
                <c:pt idx="6">
                  <c:v>01/03/2020 18:00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18:00</c:v>
                </c:pt>
                <c:pt idx="10">
                  <c:v>05/03/2020 18:00</c:v>
                </c:pt>
                <c:pt idx="11">
                  <c:v>06/03/2020 18:00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</c:strCache>
            </c:strRef>
          </c:cat>
          <c:val>
            <c:numRef>
              <c:f>Pivot!$G$7:$G$22</c:f>
              <c:numCache>
                <c:formatCode>General</c:formatCode>
                <c:ptCount val="15"/>
                <c:pt idx="0">
                  <c:v>127</c:v>
                </c:pt>
                <c:pt idx="1">
                  <c:v>150</c:v>
                </c:pt>
                <c:pt idx="2">
                  <c:v>164</c:v>
                </c:pt>
                <c:pt idx="3">
                  <c:v>304</c:v>
                </c:pt>
                <c:pt idx="4">
                  <c:v>409</c:v>
                </c:pt>
                <c:pt idx="5">
                  <c:v>506</c:v>
                </c:pt>
                <c:pt idx="6">
                  <c:v>779</c:v>
                </c:pt>
                <c:pt idx="7">
                  <c:v>908</c:v>
                </c:pt>
                <c:pt idx="8">
                  <c:v>1263</c:v>
                </c:pt>
                <c:pt idx="9">
                  <c:v>1641</c:v>
                </c:pt>
                <c:pt idx="10">
                  <c:v>2141</c:v>
                </c:pt>
                <c:pt idx="11">
                  <c:v>2856</c:v>
                </c:pt>
                <c:pt idx="12">
                  <c:v>3218</c:v>
                </c:pt>
                <c:pt idx="13">
                  <c:v>4207</c:v>
                </c:pt>
                <c:pt idx="14">
                  <c:v>5049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5C-4DA0-AE05-2DEDBF877B90}"/>
            </c:ext>
          </c:extLst>
        </c:ser>
        <c:ser>
          <c:idx val="1"/>
          <c:order val="1"/>
          <c:tx>
            <c:strRef>
              <c:f>Pivot!$H$6</c:f>
              <c:strCache>
                <c:ptCount val="1"/>
                <c:pt idx="0">
                  <c:v>Somma di terapia_intensiva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Pivot!$F$7:$F$22</c:f>
              <c:strCache>
                <c:ptCount val="15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18:00</c:v>
                </c:pt>
                <c:pt idx="6">
                  <c:v>01/03/2020 18:00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18:00</c:v>
                </c:pt>
                <c:pt idx="10">
                  <c:v>05/03/2020 18:00</c:v>
                </c:pt>
                <c:pt idx="11">
                  <c:v>06/03/2020 18:00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</c:strCache>
            </c:strRef>
          </c:cat>
          <c:val>
            <c:numRef>
              <c:f>Pivot!$H$7:$H$22</c:f>
              <c:numCache>
                <c:formatCode>General</c:formatCode>
                <c:ptCount val="15"/>
                <c:pt idx="0">
                  <c:v>26</c:v>
                </c:pt>
                <c:pt idx="1">
                  <c:v>35</c:v>
                </c:pt>
                <c:pt idx="2">
                  <c:v>36</c:v>
                </c:pt>
                <c:pt idx="3">
                  <c:v>56</c:v>
                </c:pt>
                <c:pt idx="4">
                  <c:v>64</c:v>
                </c:pt>
                <c:pt idx="5">
                  <c:v>105</c:v>
                </c:pt>
                <c:pt idx="6">
                  <c:v>140</c:v>
                </c:pt>
                <c:pt idx="7">
                  <c:v>166</c:v>
                </c:pt>
                <c:pt idx="8">
                  <c:v>229</c:v>
                </c:pt>
                <c:pt idx="9">
                  <c:v>295</c:v>
                </c:pt>
                <c:pt idx="10">
                  <c:v>351</c:v>
                </c:pt>
                <c:pt idx="11">
                  <c:v>462</c:v>
                </c:pt>
                <c:pt idx="12">
                  <c:v>567</c:v>
                </c:pt>
                <c:pt idx="13">
                  <c:v>650</c:v>
                </c:pt>
                <c:pt idx="14">
                  <c:v>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5C-4DA0-AE05-2DEDBF877B9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1880394912"/>
        <c:axId val="1538466992"/>
      </c:barChart>
      <c:catAx>
        <c:axId val="1880394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38466992"/>
        <c:crosses val="autoZero"/>
        <c:auto val="1"/>
        <c:lblAlgn val="ctr"/>
        <c:lblOffset val="100"/>
        <c:noMultiLvlLbl val="0"/>
      </c:catAx>
      <c:valAx>
        <c:axId val="15384669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8039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[COVID19-Analisys.xlsx]Pivot!Tabella pivot8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Abadi" panose="020B0604020104020204" pitchFamily="34" charset="0"/>
              </a:rPr>
              <a:t>INCREMENTO GIORNALIERO</a:t>
            </a:r>
          </a:p>
        </c:rich>
      </c:tx>
      <c:layout>
        <c:manualLayout>
          <c:xMode val="edge"/>
          <c:yMode val="edge"/>
          <c:x val="0.12257469313341821"/>
          <c:y val="5.3408204613017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Pivot!$K$6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Pivot!$J$7:$J$24</c:f>
              <c:multiLvlStrCache>
                <c:ptCount val="15"/>
                <c:lvl>
                  <c:pt idx="0">
                    <c:v>24</c:v>
                  </c:pt>
                  <c:pt idx="1">
                    <c:v>25</c:v>
                  </c:pt>
                  <c:pt idx="2">
                    <c:v>26</c:v>
                  </c:pt>
                  <c:pt idx="3">
                    <c:v>27</c:v>
                  </c:pt>
                  <c:pt idx="4">
                    <c:v>28</c:v>
                  </c:pt>
                  <c:pt idx="5">
                    <c:v>29</c:v>
                  </c:pt>
                  <c:pt idx="6">
                    <c:v>1</c:v>
                  </c:pt>
                  <c:pt idx="7">
                    <c:v>2</c:v>
                  </c:pt>
                  <c:pt idx="8">
                    <c:v>3</c:v>
                  </c:pt>
                  <c:pt idx="9">
                    <c:v>4</c:v>
                  </c:pt>
                  <c:pt idx="10">
                    <c:v>5</c:v>
                  </c:pt>
                  <c:pt idx="11">
                    <c:v>6</c:v>
                  </c:pt>
                  <c:pt idx="12">
                    <c:v>7</c:v>
                  </c:pt>
                  <c:pt idx="13">
                    <c:v>8</c:v>
                  </c:pt>
                  <c:pt idx="14">
                    <c:v>9</c:v>
                  </c:pt>
                </c:lvl>
                <c:lvl>
                  <c:pt idx="0">
                    <c:v>2</c:v>
                  </c:pt>
                  <c:pt idx="6">
                    <c:v>3</c:v>
                  </c:pt>
                </c:lvl>
              </c:multiLvlStrCache>
            </c:multiLvlStrRef>
          </c:cat>
          <c:val>
            <c:numRef>
              <c:f>Pivot!$K$7:$K$24</c:f>
              <c:numCache>
                <c:formatCode>General</c:formatCode>
                <c:ptCount val="15"/>
                <c:pt idx="0">
                  <c:v>221</c:v>
                </c:pt>
                <c:pt idx="1">
                  <c:v>90</c:v>
                </c:pt>
                <c:pt idx="2">
                  <c:v>74</c:v>
                </c:pt>
                <c:pt idx="3">
                  <c:v>203</c:v>
                </c:pt>
                <c:pt idx="4">
                  <c:v>233</c:v>
                </c:pt>
                <c:pt idx="5">
                  <c:v>228</c:v>
                </c:pt>
                <c:pt idx="6">
                  <c:v>528</c:v>
                </c:pt>
                <c:pt idx="7">
                  <c:v>258</c:v>
                </c:pt>
                <c:pt idx="8">
                  <c:v>428</c:v>
                </c:pt>
                <c:pt idx="9">
                  <c:v>443</c:v>
                </c:pt>
                <c:pt idx="10">
                  <c:v>590</c:v>
                </c:pt>
                <c:pt idx="11">
                  <c:v>620</c:v>
                </c:pt>
                <c:pt idx="12">
                  <c:v>1145</c:v>
                </c:pt>
                <c:pt idx="13">
                  <c:v>1326</c:v>
                </c:pt>
                <c:pt idx="14">
                  <c:v>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3-404E-B3D4-8969789B5A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axId val="766984640"/>
        <c:axId val="757458336"/>
      </c:barChart>
      <c:catAx>
        <c:axId val="7669846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57458336"/>
        <c:crosses val="autoZero"/>
        <c:auto val="1"/>
        <c:lblAlgn val="ctr"/>
        <c:lblOffset val="100"/>
        <c:noMultiLvlLbl val="0"/>
      </c:catAx>
      <c:valAx>
        <c:axId val="75745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6698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MAPPA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MAPPA</a:t>
          </a:r>
        </a:p>
      </cx:txPr>
    </cx:title>
    <cx:plotArea>
      <cx:plotAreaRegion>
        <cx:series layoutId="regionMap" uniqueId="{3BA66556-CC92-4A53-9C08-9694660BE292}">
          <cx:tx>
            <cx:txData>
              <cx:f>_xlchart.v5.2</cx:f>
              <cx:v>Massimo di totale_casi</cx:v>
            </cx:txData>
          </cx:tx>
          <cx:dataLabels>
            <cx:visibility seriesName="0" categoryName="0" value="1"/>
          </cx:dataLabels>
          <cx:dataId val="0"/>
          <cx:layoutPr>
            <cx:geography cultureLanguage="it-IT" cultureRegion="IT" attribution="Con tecnologia Bing">
              <cx:geoCache provider="{E9337A44-BEBE-4D9F-B70C-5C5E7DAFC167}">
                <cx:binary>1HzXktxIku2v0PhyXy6qQ4ux6TWbAJCqsrQgWS+wUoQMqID++vVkN2fIbHaz1y7X7JJ8YFUiI+GI
4+L48Uj+83n6x3Px+ti+mWxRun88T7++Tbqu/scvv7jn5NU+uhObPreVqz52J8+V/aX6+DF9fv3l
pX0c0zL+hSDMfnlOHtvudXr7X/+ET4tfq331/NilVXnVv7bz9avri879xbVvXnrz+GLTMkhd16bP
Hf717b+e2n5ZqrdvXssu7ebbuX799e1Xb3r75pfjj/rDbd8UYFnXv8BaRk4IkZwrTLlWghL19k1R
lfHvlzE9UZwjTjSTWivE5Odbnz9aWP437PlkzePLS/vqHDzPp3+/WPiV8Z9eP3n75rnqy+6wazFs
4K9vt91jkT6+fZO6yv/til8djN/efnraX77e8P/659EL8PxHr3yByfFmfe/SHyDxH4vHp/Zg3o/C
hOoTJCTsOFVSaE4x/RoTcUKZFIwoDdhofgTJ37Hn25j8Z+URKHDhJwPFPLq0SCEAfyAsDJ0wrbXg
QkhJmED6GBak8CFYtMKMAWyfPeK3UPl7Jn0bmS/XHmEDl342bKpieSy/m8P+V0PW1o/ljwxZ8A0l
EJEYcFdcMkK+9g12ohjhDEmGNLiP/kPMft+gb3uG//h55ZFfHC78ZI6xT+P+hyZSxk4YR/BHCqKp
Bmy+QkWdSAF/JBUH6BQFzH5L4b8F7N8w59uY/HvhESTw+k+GyKpN+yJ9c/9avi7p45v14bcfmVHF
CeaUYc00E1DOkPgKHyAfiDMIKYWJVoqoo4z6m3Xe37fu23D9ycccgbdqT+5P1j8ZfvvHJf1uov2a
Pf0lWcQnwAE5JxAzlGrF2Nd4kUNAwasS8OQIfjoKqO9Z8218fn+IIzzg1Z8MjNACJXl8c13Zx7j8
kVHETjjhGmlG6CFICP8aFXyCqKZQeCTRCH48iqK/b9a34Tlef4RTaE/giX8yqPaVfXpsX35oruMn
giAG6YwKKSSXXzdaGkJHaY2ZRJQK+PcIpb9l0bcB+mLpETaHKz8ZMmePLXTkn/PKD+h/KTRTigCd
h3ymyTEsUIIwlepAEA5/BT0ibt8359uYfF53BMjh5Z8NkKpI3Y8EBJ9A4aBYcUYYCA7iqMuCZKc5
PkgVmAAu5ChOzr5rzp8A8vu6Y0Cqn63zvUxfbVV2PxIRDnIEgn5WYNhupOnXmUueaEIRsDfGNSGK
YyBxX9Lov2PQtzH5z8ojVA4XfrIwuezjH0udEVAxIGGUg0bEBDtwrS91O3GoNpopqTGHmn9g1l+B
8l1z/gSS39cdAwIv/2SA3EB9f/2xPAydIBCGYNclAZHoiIaBpkegxyEUI6a4gmrzNSJ/x55vY/Kf
lUeoHC78bKikzweS/Hlr/t/rO5VQLyBSGGMEUyXkH4QZzIiAwi+4xlIfqs2XcXLzfXv+BJTPC48x
SX+2An9buefHH9qvUFBlQNb+RHPRcZxgDIwLaBhUHMGBBXDoZr5E5G+Y821E/r3wCJHD6z9ZlNy2
sCPf7ev/FwXUO/tjJx4whTro6kC/vynUYXLCoDnSFIHbaJiMHEXp9835tkt8XnfkEYeXfzKPuH8s
itc3L//nX5X7oSMPfiKB23GOIUcCAzyqafIEJlRYS4RB99EwFTnqjv62Vd+G52j5EUr3Jy8n//rZ
YAIh9fuB+z8Q5EBUOHSvMCbE4sDzoBv6kgXiw/QWcwz4MFDtjrvXg3L61+b8CTC/rztG5LX8/xyP
P5kr/1ZffiMbX73lfzpMp6DEaQRiNRMYNJxjPZucHDooRaXAHMZARwzw85T7z635Nhqf131l+f/2
0PzPi8u/BeQApq/hp2MKX8zU//rqpweEsxNHS38nAN9kg7/t1vbl17eUaQpk4d/HHw4f8hV1+Nrd
v1jy+ui6X98etB4E4zlNYeQgQWOADxtfP11B0E0RCgWIIgxBBs1UWbVdAscnoM9SiADSFGNEPzW/
ruo/XWInUhPEQdCTlH+69PnxLqtijqvy33vx++9vyt5eVmnZOTAGbl7/9raDoRIRCF8KvRz8AEIv
zJ/h+vPjNRw/Obz7/0Zpwys6T8rUyF4liRf2DD/o0vqiTmKTT+VrOePn4r1ua7pKFNK+jsSZGqfT
SPdGNMvqi637hkHgrH+wBxpQYNbwF6r24foX9kwd98YOtAITORaIPvV7mpwjb9nSOFsRb7oZU7z/
61vib97zIKHCZnAA4uie/UBzFS1MGVvJc1dmT1kSzaaN6nuR+nZpgzqiZwpVqbF9c8pwuq6p9ItB
nJeD2GpPbAcdhZ7nXY5P3zENEu0ft0MoGGXBIQANUvvX21E510tBM20wtpvWtqEIlrGwZkyacGjI
zpXRBR7I3hPlWs25+evbH/z8j7dXHDwNxDEMM4Cvby8LXg9NLpWJx5aaJh0fcBqNJrM2McOYnXcs
vWoQ8UtXrjHqWsOaYhPr6t4WnVlcZE1a8a2e5blno8cks+uuMEkSbZR7j8roFJP5mWF8xqz1E41W
rsf7OHmMeL3mWXSRWrzn1PvY4nyjytxvirO/fkAMTOIPD/hpxAEUUUGhAwb4pbupOm9bvGBlJJ+5
cRXfjU20kR3fk0KcN4r1Rk/zc8XaK97irYzkaGQ7xX4XZVfWZk9LLpzftdbvc/Lw18Z9a/P1QY3E
kmElOaSHL21LZKEa1yzKzBVKTIvlNimyp8NefOc+MK7+4yYA34LWSWk4aXK4/kXMuWXgbGAQc5Nj
Z+XEjdTFZq7zwsR5t04qGrBWnvPigi2VKb0mpEW3H6poz0V930y7plplVLb+WC2JEWIUPms2si57
AxULNlCRs75swjpGzwyVPuShu24oDJ68sGtrE8tTm9bnbI5CJ5Ygl8VzyaIV17mfxHUAO9CbhheB
65rGj5zcVnH2NJGsMHnO9gMqM8NIUZimzD4glX7ohm3dLcJ4M9uRBXzwr7eLHPb9OGXqL7brKGVm
mXOiniFdqNm77Tr8LulLnxK8T2fAaUjwu25fec7vOTOKeGE8IL+I6alL09IUXbyNsiKYC+zMIqr7
DOOd3yV6O2N7z5r3mE3X42IDVWD/rw3/lCyODAdJD2QkhoHYfZoFfYmzijI6R8xCrh88f1z6yhSi
MK511Cx2DLpKXEpOg0qx5zg7S+a08SdimeHJHHheuxmSKg8SGrjKG8wSdR95EpLRnfFeOdPEY7mK
osoMaW/oOIeklmexLIOJYJ/xy0g1ARHlphf8rpRBpiI/bdCqqsW5F5NdX2NfIbzSDQq6vg+T3oae
wCbR8ZXF0WaQ9bUk2VMX0XPB6G7qmzCNvAvWJE8kGmYTlcmFWLygTL1rNnkbO8w3RJfXRZ1fYdcF
qox8pSsK0SR2U11sQLe5LXJtDRanaUNuJlw9MraYijn3nZ0/nJ07dplD/oQ/cCQS9Owjl/H6XsR2
GZRJF7rC0eQFQ8sehnEml10+hw2v30GIJdcIxf2KLNk6Gey0H+BcS9hX9r2Y+8caIRxmvudP1XCb
d+oiL6I7R3tsRq8M25xeT076lNe3jEfIjDF5Hkt81ovossFtWCo/s8tzpOxrt/D61NJRmlhvcy7z
FULM+cmVxhs+zhexZ+OgyfvYV9RXBX1lxWoep8Rw6XX+AFW/9TaI0WAa2Q5HURgV8YoNTdg6Vvlu
0t/ZvWOOQjCDygNcQIOCA0obPUqEWhDRT9MiDc/shsT1ayXm54aVm2LotiRL1rEC3CkOB603rZO3
Xlxcgadvk4Wcdln0nXxJD/nwizj6zR5wRonJYUAuj+zh1TjzSaXKsIKYyGt3fdutWkhGAclEt8Hd
6CMASNl0t7j7JHvFWe+nMwnqpPc9/oFMbK1UZTx8P6xw0YSMx6FD7RpTbxN5p0nbmx518PZ21Qza
73J4i6xXVcX2HqlWbZGv/jo1EJDAvvFQHNoLGMXAWQxyONP0ZXLAS1P0dQJOoXokdio+E3S+xVO7
w0N0sQyQYyf+kbeQfQkfTSQSZbhaiWUSfofoaTZZbNiQLGbKmZn0OmJsd0iKcTUkm0oPlwBObUaH
VyOOtxrbIMuyqzjxwF+902WqHihOTRoVQRKlJteqMdXScaPGwOVjY3BNT8euW+eSnNVMekFHFxX2
JL6fFrSislrPWhhZFBTcpO6DgTo/5801LmGndemd1xk6H5PyPo7nK21jZppcm3yE+jDiYmN77HeU
BNKKcyW8u7y1W3ChnQf+HS/MRM115R6jTnbh3I/1ag5brldzJrc6XoxLZ38WXeEnjrAViaCoUVSu
46X3/F6YPOUOuGN3Bfff4CI1CbsdYKtxpPyo3pXNsJljtCLFw1jGZ/PQ75K6h0hKrFmy5V1XEL/O
Sh/ZfV5bP5N0HS19sHjFZkzmDaPoBjr507Ypw2quVzZNK5PCB4jF+imWN0M2Gmer01EUgaptwOfy
PoPimzmyyufUCN4FsazDLH6NWbsq0xjKWXVTFzqgHvtQkcXwTt/Ocr4TGQ1Uz/Yd3DfjCnJF74M/
bIA/Gl2QUxbfEwk8OW1DLy4DtWRPlY78vtd+gWCHAchsWQnKTRl324Fof8zkh04voZP4YSTMVGO7
cotnWM+g9F/MxG2iPojbJtRjsvVY+9gXfBfV9aoZ86s84ad5h1ct0tdZIrdjml0tvqb9K53kbbXY
+y5pgdfgDT58iq12NrM+HNpbYxyHHrJ+nMe+g35H2vI0iyxQ2CJZ64Hla+SevFz0QTnJFyFzgCsF
PyAPznZrOrBzQfr1lEUmKYF8pG2x+ChC22gqs1Dk4FGFDbSdg36CC3bb9+CLsDVz3iXmOlX6XIt0
U7bZKc/dKu+82TStu8N96iBZX2VcV0ZmC/BKa1AS+6mK1wK9tGx+52QDrZD1q2o1R0VYNXGQ48DO
Ew4w8naTp1d6aEPl7J47GoxltFk4B5fUvrJ9YMFhy0jeQrCuR/mxlhAKafKhzEWzJh3Y6y8VgWJ/
YSt0OvF2CwEaxEuKjaTTw5gCyUORWw8FPZ1QsmYF4CzINhPzO2a77ShQWDTLWnVBlhSRsQ3fNczb
AH0LO8u2OO3CZoRaK6pbNlVbO9W+4xU0l25bYOWD/hHm0/Qwk84MjWfqXj05EYdxaShUUOd1lwvc
no7xmtTARzkKnY5D65pd06td5NxLVMmw6+YlZMj7aGnT7Zgmz72NIyMKq1bVWTnMrdG2Ltd5njU7
eFZW7L1sykwB7QyrnF8zBve7kPl9le+96TGuTRSVJvXiNXUX0ZgaXnQXSFwkxdpVnR/ZsgCqq3wn
enAEzxyyNoaesbM2GKbK8CZeO16vIBdsvfbe1dWKqmnDaXRfADoJh3yfh5DIVjIXa4fsKdXVTnoI
IikKcZmGXtaZsi6koY2I/SH2/KFMTVGxdUaBanbdVqfFme7xqrDCmeRghJu9MJFxKFlqYqKmdRyh
y7GHlDXVr9F4IWH7PFYa7tEgqZqwF8m6om47ZY9pVt8m5WR94qzfuA6CHTgFbH0a8W092k2J1K12
bN1KdTsr0Zup8UL3KTPBB+AnYp/mPJrMhO9TXgYUPYm5I36m1T2prJnSMswWeALo9tBAH/thBOKI
V33cXTQxCnH2CjweEoG3qVwLANPg4MIo19CVQyHS5WLaFPu6L4HRch/eZGreB5KX9zqpd3X9MMrI
96AmUVsZ1VT+kD+QtPT7Mdo4BR9l92M1bSJdh7VCYbnsshI4VKwv+qX0rb6rOV3nTbPNk+zjIS3y
ZTZevWwK3l7EpL9ApDQqTgOOPsw03U2xmYe9fGZpFLZD7LdLapzkxkIiluUY1OKMJCoYZx12mTAz
6oORunW7kJ3Wy3On8KmqiwBF801yiP9KlefQlbe+U+/b+DTt+y1p6Rp8OPDyxdTSBmOGblAbvxOq
AZy7oKvhtmMWIjKvVLrLY0i8OTcFbVa9h1YCnEYu9K6Osr2LuMn0ZOJYgkuDhtDYTQeUvo0v4h6F
1Tht6lneUlIHc3we8+oCLS/CrZOEBb3NTFZ4ZrTlvq7yTQpNWE1So4HhVNC5TPFzn70fIHuOeRHU
NlRxH1SsM8D1fI+gMBXZZqoWyKlNCGxlV7HmY8uHFwUlNvCY/SjjqvDnanjfzHPQ1u/zIb/ql94v
aLetRhcHaftSk+lxctyaLhme27hZsXweDZmzuyWrVeD1UGsycB2Xv7DZw9u845d26DZNU3zsdLKe
2jwDQtuubZ5edcoLa4ZWFsmLOVvNdApBizVVy03jxC006NDGeOtDURUiPoskv1MZfjc0YlviPOyT
4oJ3ZZB56B0RwEjSzE+1XY0zXtmaBraiqT+m8tTjK8rIziK2m5f6fhjIKa2ji4MEonS7dp1b93yB
Ks4CL+VmpuK8A+Q0ryLwmDwy1Q2ppsaXFT2TYrhB4/JgmyIYbeWCKPIouBzUmaJv8KaIu7NUEmek
Ss3YmjmWdy6NV2WeBQOOL1BJz9gEkbs0a6radZJBv5aOyq/RM7CELIhq2RiCIYRiXj+qrD6NkTgQ
o2fc2Kt2tFkQz7wxjeBbNNPHbFanec3PodtCZh7lRYvXOeTenILvefmVx5b9zKYbFcltsRSbjkSb
rE/Oh13PyTtHdlkxn3ssFDNkdjoDmWxf9cJWDs+rPo23nvM2S09uamhH6jnatv0QwPEIv1x4kLXb
Wg9BsdBTL+FndezWn/QLC7/XbdjF9aZMrpfG2xRIbmNbbCoRb2fowQ/FFA6PNYYxsWnoAEIgC8ah
2PQLOZt6aOjB7Tl0nVgVm0GrcCm8rcLzacGH+4FCiVXeRiXoMu7TfeEBW8v5WTN7wJMx8ceWnLaT
vj2oi4OYIEYmn5V4FVHiK3xjB9cDh5DbKK3v2ZTfN13lT3CE7bwZr0gJ7VQL2qUvMmJGlVTrsSNe
sMQOHsjbNvUidjnxTqOozqEBc5e8mbYpa0oDOmoaTi0/TwayKsDoJHpM6Qw7DdQzpC66xbk+m7sG
NIsOUAbdd0zRu7b2wmm2T0WR72c7v5C+jf2Dsw4T2cT9nWe9cHTdLaV35TL7C2SGmJzmtMlMmaht
n2RPda+vk3V2w4q0NaVGZ3q4yVKo33EPMmlkr2QDkKR4RZENJkTW/STWLcTpIoFW0Oh2qtVFhVnA
QG/1Memv6sL3crvpebeuPKinZYcGUzTzewyswfBDeoX8NxLvdhCpKXNvnSZN0E7VbTR1QTKTfcaW
hwRaLVDcz0DODfKpXfcg+VUE+lhcBrr2BwK9gyshA/B7C7LHQHJi4mw5a/WLGty2zcT2IPrytFvL
DIo7KITVApJPlpEzOdQ+rmXYDFU4qMwsyLso5/xDVy4Pbe4gO+b2yea5M62aQjUMsz+k5eshbXcu
khCz03PhpedLtiqYdzHmAoRGkOFIDrwridBzJ7PcQK/pRg8HSqJVA9LaCIJMq4RplmXws8w+pap5
wFnbn2d7ITvTAOEhjb908NBQdOV0xdqDrK5ucQNNgxPQPnvBOE2BHsv7g7e3DIgiMJg4s+dEjNxQ
hFaDpWekgtTTpGxnQbctBJ/XdUXf2V5u7RCFWUV2owUWIzwgv4+yhfDkDZT3+jpnzuRduocd1bIe
VlDPQiXZx4k+FPKDjNkzctnHZWKXKiv2DjerrCzOot5UHT1FqrjPE8iUbaCXMQ1kWb8OHuqNNxnS
AkPU3vCQkqTz1YBOcwnbm9d3FW73KtfI76RyPstBthR6nfdeGOVFSPPxqkTVNWh0fZBG+RVbRL22
lUhCOKwYFprHgZpitlLLOJg0horr5kIFYhhkwPMJxGuanUvbplsH+pihEcarciwgakudQGs8pGdV
Jw2cRi0uCk/0l2PiM4T5JcqduFR53W9Fo0oTLfOp19axQaygG5TJ/K6LF2i2ivZOIDSs0kjzG9vB
XrvY5WAr/Bp3jXfZTVBQYvVhRKMKaqS2UZM9wTcozBglMXBI2IdadZkBonOddtC/JbbG694vc5Xu
cewBGxXlx7KOM+j0oGq7he+X3AUeL/EWLJpPdV3e5jQa12OcJCuiq8zYTm9HkobRrDK/kmw0xby3
xVzDkw6nrchrkxfZWiMvD2B6tF9ctW6LK3DzsLHNew7zAKgr7uNkaW245TeqY6dL3fnII+e8JTdN
37/Ti7qbUmLgu8TPTFHotol+4qW8gp6wXHtKZMFSlv60gMrQWHWZdM1edvIO2q+dW+iu0NV5XjtI
dp4IYre8onSwZvbK83S8Sha8QgDnmEOESkZB1/Au2oyf61SA82hDWBNthxzI34TiRwYEn07Vpo+3
cUcq01Miwk7HmaExOZfCFga1Y9CDBNp4ZevHtdijZeiCMY0f+j4OGzg/ZmhnZ7NA15K1qPenCSxq
wXHeE5goBdlEbqcY3Gypm8EHgPEGvjFdAIueIafbzIcvZyRGeemt0yCjyPISL0UVwPdFPROlwwa5
6KwisTaoAlCTUYUlPKRhOfoI+vleR9oz2A77btFmmp2hznvuQT4xkezSAM5TfRTFrNdjpc4ynlxg
V+/ZSHcjDEBaBw0yduGYRacVSw4ExRTe5RTXiWGJpD5rgQTG2Tof5ODnBfDpeAEdK6Z5wOb+/cyg
+Sk1zAWwTXHgwPdCm5f3LK1hUkCXLfTlFrqShla7Mk9utYW2fkRrZr145XLp96gOJ9ZxH/O2AIU6
h+Rt2z1G1Vqoej2kTewnNC+vCC6evXYFAyURjMl7JufN1E+l6UYxQ6cwQgkehPAtqMARjx77mL1G
LFvVU3wlvSxIZfbSyPIeOoKNaPPrqMpz07XMBQWIbp5QoQTNEyQdtGQml+cjU+u5TJxRUX+V8uy6
zWPsI2UfvZxcIZWPvkhLZop4qk2Hk7Ucxhsax84gpwq/KxCIDPkSpnW5UUMPAYX6vWtwBKJNddo8
jF5054l5myXswkJ1zuYEmsbsg7b4vJcK0uUHr8aVwWqA0NHqHChZsa6E2CB147zqMo9KbNr2dBpk
YuYILSaqOQPdaIQ8KPZ8DoAapOHYZa0/8yfGJ+c7CzvBkg7KiEPaUJ4GSpf+rNqrJgahDf4/Afis
di6CZkYgaEA3tWKZR30+kYPkdzeXwE+1qrItttkqRulFLEC+GwUwPjYBqVdVCtuhlF15bXlW9/ND
1yXBXEp71i7NFrpBFqTd0yDi5VLW+RASqVNDyOTn1QCCFiNn4xi9pF11qipbbfE72Jh3swSxq88q
mB0tESgUBXOnSYWeUzHOAak8eP6pM8yxfMMW9HHm7AmokqnQhKAKpVA+0VD6ZGrr3aBlaSZevywd
yLrlkG1I1PCgb2sB4XUF5D8J87abTEHifTKCg42DHIO4yy4sB9eI8nnnSDmY3EEsuxoYEaa9PzZk
D4pVReoBOs0G+tPYXS/EgZ7QOQUtDvSUbbRc1zNiJp74taufcsmgtyJASqJxms2sb8gAfCkq60fS
pL4atfaTIYVhBji1mScG1Ri1Zwsdc5hXTmuho529qrf97L1q5x4dHOj2aQJB0McLNTaXNqQVul4q
CtIgqgbTJONNN+PWtJJB7R5ZuR5ItM1juy8g4RU9S33XwH41FEYUFmyQ+qXj7AxXURyiGCIgW0ji
J6QWASt20KINm16BNDXH/Kqr33sIw3CgtCDqpBWEVNJX0Jna5sBT2bYcSW7IGAwxTNdz54E+0bUD
UPzW8+uu00HeNxdFep2i7kk2Qgdlk72b+quhb+owEciaJKsvrHXbbASeUoqzmYznrbNnsgJRR87d
cjZlzeXcaeu7BWQupeKHAc4OBj2HGoqzJLmEmOJZh9Y1gZrWwiFvNIptBPR8VRP2IKf8rADqB18L
ZquigQZkyLr3mQa1uiyXTZ+OMNkb7VaR5gJaotT0xQw9eAu3mZvVQuWLW3xRnOdw2NtU0j4PNfSo
Q99hP5JlbkSOL9CcgZZRitPF2cvOwkCngAPIQZYnnam88oxw1G3bg5A+JbhbxVVqjYgmqErNUyTr
Kpilk0HV28MYa4QBhZpBOZ914YNQzIOpKO3KZaWFpxvXqNCdX42YB1bQCNQErzBkcOD78TAYGI/F
fsPaPoxA7FovfLqr6hGfM9GW6z7Ne4OmcjvAiPo+jQX1ywbNAReFM5lXeOC3NfcLMRbbw0w3yty7
USIvnJeSgqym63USL3dNNwfCNTmwzf9m7Ny268S1rf0q+wXYjZME3OwLYDLPnj7ETuIbmmOnhJAE
CJA4PP3fyaq1VyW11s5/URdOKvYEhDRG718fRtkjB/nWlzg96BI9+PVj50VF4AzQZry9r1WJAvPG
OmnO1u++rihu4Uh3ZexlzVjHqaicChzChdY2uFsJt2kg/T9qaD8dNcdxcL5z2x8Xk2DPicNvaP1E
rkbtZ+0CgWPiatdGVGThhFdaVf0Hi+xjXPYTmnfvttj5m7DdF+mKunDnZMBOF2X+WqE5jmS5oxp3
rB4XiFur/dyG+Cgr42gAejRvMHdErPD3hn9zVDdnyUDLbIUcNZdNtjb0UEYMaqTvpDKs8SoaFAZT
iTuiYTdkoUogs0Ah5LrmheeSW9IXvj9ZaCg4hAZfvrOpfLGNtzNYs9vBKkv22g1LlZW9ux8kdkG6
hNCXcRhlsTOT3Es6mrXx84oacmghKwqPy1RBv8uG0QZH19N3Tiy7p3rkWd+u7bkek2g3FFFCKhBA
+IN4GubUmCif1tXNXK8qQmJbdNgQC0kt9GWMm/ve8cWhi2H2O26bnIYEC4W1X72AinuwI8Pjtg16
ofNaL47Z1eXYpTJDp0Wjl57o7to73a3ul+4gPIuLkGLJfEEv/hzEObJeEDoN/A8JRR2+9ksLdgdb
qcxbhpd48aCwCbdMQ2AzY8Dgdq+6Prh075b2WKNTgldPL9FS+keocXANbI+ey8PPACMEo9MbTdG4
0Yum0uaV4+gcq92F6+9fF972pyrZOyG2galqv5Yz1ikqm5SO6yFhLcpq58V67XuTqFOkI+yQYs1w
RuZhwB406UXmWHkZ5+g8dOPOH82UkkH2mQYze+7Wsk+l9ABA9KO3Z74/QBvSF6KYgBPVRadBoyuf
zeii+X0O+NzkcPELNw5OEAZF1jdkuqv8PuMOlkjVLs9kZXRHRlxhpfhUaL/fwWLz84AD80BZ5Wem
xP/qsfLKWzTXUVBdpwWit2qslzdiKO8i0nm5G+CAS8plR9z5qBnuKm19FDyj/Eqdod5LWrLUaewn
a4XarXOFWxF5XyLR76bJ7PiQfEDJmLK+QvsqlYXc67CvJeNvQ+vSvCVBVOAtrFqbBWvy4cXuzWXV
oZ6/9gSN/0hyiJ617o6jLTOvXKNLItcLOsAgpS69d1Z4eF60vtNK9WceiyqFezenZOZDyodJXUmA
M10US9OYl5Fq3E5V4q+br6rt0Am5eKXrGVIZ96FaBvuFSl3E7tqnCvb20TodDjBn3FUxJBZC64vi
mqYQlVOZiA1bhHxLl6c4aHTeNi25hNq0udBek+poxY2CsZ93mmB7miIn1bqN0saO+x58VTV0H55T
7+cpr4P4qSntG0qVKC7z2sZPBHV2Tr3wOlSmROlBjs0Y+/sqka/l9hzEHF+MrgqXexPcZJbOPolP
3nJtHQFAh21iazTcl77hR77J7X0Nkw7qYgXYsCBOiwUd3VNO/gASfEJtSYxrTqN/s2X72Q7twxzM
kFk6L+0UXi2rg4tNcPoua3tyrX32afXhl81ZLPsWtkG+kOA17sHhMOFU6crrXdV5Ip1IXOcLLInM
H9VLNI3rLpqCd23xgFrIibSyXjbICSbSy+iT74PVOg+C5a1sO5xgIcq9pXMeeorFFLHL1KCpYr16
1/H6MAUNVm+t4Zrfq6gPU1VPd7Ua4+MKHc6tldxv7RRv1ctgsH21nLKUJ/UZh9WU+6r6iCco3+7E
R7SHTdrPJewF3V+5ko+RTA6sKvEv7bNDnD+AU7S7NpTvqkLNUup2zuquxc5CLF5jLPis0uX3YNm7
cXhJGHXR0zbxfqjUN0+v18qdyAnnSrybJH+Jp4IaDouGJeFhaNY3HcVfQjJ8miL7rLS9MxQEBwqK
FIbQ+ujWPCPLez/Y+rEhNEApMrX7MOxQT0ZLgJbGkBwC+nvgJF4WuWhhw++DB7fLwA5daXiaKMc2
KZ5K1l/93mMZrKPHavKfPZ0MJ3fpdsJ7HSq0KGUNW2NSKG6NOfG2hesURS+2r9s0bHA3VV2juvDW
tA7kio32OBDz5Gp0A2vrMBTLMeShT5ZPuasviJimJn4OhmDniCeFvQINwXLii93TCvyiWGWTtdQm
6JjNcFpbNOq67rBL4+X0VBHqjgEgSG5sbJ5aaWd4Yc3DrBK7ZwP77Efds+iqTOrkteuq2zIEn3Ho
PC6Nu+zUiBo/mCB+j7tGuQcncE9uPW1CEkrV2RkOrPHOvC6L0De4yBJHAhyA2xAE31flVaAa3GPQ
slQF9dVADfUpuVvHFYdGKN5aZff1WH6RJdBHqFfL6L4IBi4gkMOAozq6Be6h7/7o1HzvLRJHCJRZ
P7gDN/XuifWdiwCG2lDAThjbdg+eIs5ZWd6D+L5US4duVvG7hYaohnqIPwkqA49XGUXDAgNtzaLa
L9/hSpb6Wg+JOQTO5B5tHz0zVZgVdbbW2OQbHCh54vLCRhxLiLNLsllucbKiaMcWxcU1qd0pVYN9
TGLntfcdL+XQWmodPY9QRyDc0C9xM4NmMygbqMUPrLHJEtugt8SyjB1655e4W6XL7xcnc3R4MLZH
nV+VY2YS+8ldmr0fZkEnrtBBH9upu8JRtWoZ07HVGg1MmHLwRRlzBpTy4XApRXDruuXcl5FFe/kU
8XkXLmI4EeHSjG82WKlwRHojYA47PVIxfAIJ8uaXkczcJvyyOhpHSN/jjccim+d+yTFt67CI+dOP
6sG46yECYgYaIb4yXR3GFvRiX2LrXrl46BZ2347xdhznsm4XCDLgFc2dh+No7OeixA6B55CRGCcb
bzgvjNAg7FzUmlAuqR8UwZjVTfPHME4PhtgD0wEv6AhaY4m6UzWKV7k12GMbr6njBPdd1+oiCpr9
Uqn3ieirS6sm7xrvNtn6k4KV0WOG204P7BC0U5MuVWOKmqvXzlYzjiq8pX11JH0y4ziq60Il9ZHI
7jLWKFTHsD5WYZdL3ZAjaeu7hgX8sNJDxfDWGgrcBQwfTHB9cIgQcOZJkA3Q9b7EVYge2w/6ggCn
SWtWijSCgX+TMTSocWxf2pY+TL377hL2WhJzRwANpn4NGWZ2M7HaB6fiZylZD3EO2ITkyaFyyLF1
wZJhN97JoX0xCcS0MPRt5rs9OiDvFFQjDmvjnMbON4UeG3hry/Q4TG3hKeJu1uOSes50BHDzEped
RWMceHnrJvdOSROIFCitTFUEg5phdISHmPvNyenCjyEKLzo0B49IXErnFREkApBu7WVudZ1VdQlQ
1ZgsGOhlbQnZRRT2Ea5Jd56XL+341WPNfVP7X90hi2R7t7WIywIDb90AWurgSbjR/Fayajco+hGb
Ht+5vCgUOjsZZxjG6FVonnkZx+fI5XDRQvrpHKp2uvrrtIdB/mo9tN1L9zKWoCkq+r2Kg1sv5kcC
CigdOzpnQMH9TLOBp0GDTpVU807FY2Em5ae9G8g9IO1zYsBhl7BgLFsOHjwSP8Yio2G9ftKIAaUl
gUuOimWltsoi2JvJqtEpttF0cGrnZLWkaRvEXeb3Z69Fme84iuRVgk1eNxMuUwHnEUb9MZj2sIbN
nXXkt7UGxMSC/imBTInPObTpBMM1FmWYzQlEcBZYVohpMzfGBZ2gErgnMF4agHE3C3sJHnySqoV/
CSHSZVMjvFSo5QGzM9vdMrA/bM/hDk0ty51heJakoRmb3yuwn/sWzWyvWV9UhGloK1GVAaVud0za
5/XZl0uVIhrhZd7C4HEN0T52UTB2DtrlRZ75RqosSf/q9+UuWeovs9/jHQydi44ZELk2WXEU9G7e
6hYYCw0PblLmQrbrUzOi0uDw1qUusZo8dPxoPMBkaO+xJSgosCQawDgH2QOTYRxnCOtEyvAwM5nI
b7KZh9yOw43bJkRzBbnH/2NywgcaV8mdZSjQF6ccDpP8XichGDvh7r3gAwxhkIlA7Gjb9FfBRTZ3
225F1osaOfqXqhvwZkwFA1Daz3jvSCm/Rj7Keo/f2t7grS9FnwLbujEoHIVlKE9RRBWhpFcu0Frx
lt7QeFHwdRIWrbNm7LPSidqB/H9zXZkavlT7CiI1NIYRrYJPT0qHftHKfkDR2DRFT5+VSLyrjMvk
0I7fbfOM7f5gRknzoRrAWWnUecD3yLjJa6hATBGqyp6DHnuOZfKLMqWBfoWDdsBjTn1Kv3doCzu0
3BoWfmpVzXd+xZ5Arlw7Z9OEXmtvGXM945nReoUOVovvMfuiSQSjxlNn7U+nOQjVzueR3IWjzadW
YYQqis6UVRoIhoOVH49QzwYbFHxxaLHwhzgg51iRMwvCuzbuc07KGq6Xem8oRX0UAiWLJYieusWb
2pTX2bGAMfi1mnkNWCvB9W2FddRcAnZw4Vfsq/B+BhzWBCY5EF7rrKdQ6uFjPSOCAEqvAEe8s+WK
gy0Mka9IXCApEATx5qClnx0BYFPCVY3u63E4OcZNk6USmdHOP5jRPxNY9/8AXv+RJXpvIbRxVv05
afZ/v/yfw+5x92MI6r/+6Ocv8e///IZbbOqnL/6W4fpnjOmXlNbjjxm3/+Ev//8iXGDdY0C6/znC
9R9mtf0rBPbnd/jfRBcyI1scxwsxwoeG/0p0+f8dbGPnMM4TQzL8H/Ma/xLpIm7kxTSOk22wBhjw
f0a6yH8jmQ6Q2MVAun/ME/zn5f70GJBg+/Pr//prpOsXPBlJLgweiJHoIoi0YDSE+zPJm7ijDQGZ
Qi8pbcHonI8hCi/Urdxl+56tO7lCpAxxgjJ0sATOtM08M+3+cgP/zcf4d9mhJAxi0MSYKhtF4S+p
KicIO1uW+BiCugEa/xk66dzWOXH6PrN2NqlyetT/I3mY7ZhNMCGUy08QX/fRxB6su+wn6hQh3ERs
DfkGIkoHKn4XnsK5PlQh25XOvA/EeGjEZ12RzJ3Lz/Ws32gPVaaMRR65J22dnaBIIECSEO5voiDe
Fg/6Cwn+41YjQo6ZKGji4P79co3En81aJgMgxQ7mMcyseUQn1cCRgDW9JWkY/UJkNocvizlGKy62
2xndZAwmZwnpGTEz4vuISLDfMPO/0Nw/PhiCPAHGT2H6BMaD/rwGxAiZHsSrg+Y7ydoKwHUlcgfy
WBW5SBHMjP/mB/4KxeMnYm0jlbjN9IkwVfEXfjyESubOC1Q60vL9BvIakDsCvo36DtE07SVJLWJS
G7QXY+uFU+jiqRqfpOH4UmpvtwZIseVJcw/DNqt9+1QFcN9qlXvsRN0x05yAlEsOUl8MXM2Gw4aN
4iwAu0Nce/9/r95fcfi/Xc4viY1BiMoNKC5n9D7WFRiW9TPld6cIzNHWrKMl712xW1Fgwf7PyHC/
1jRLYG9Ax4cCtauhdvuAq3/zubbE3c8rDrc5gsWQIDiPzOb293/Jaq2hXnolwUcLz0n7qrmi008X
Di6OIIM26CJhQW4EABdgF/Gi4Dbp37zZPx7lL58BIUl0YHjOiCVvYxP++hn8egXeMDM4VDoD/1yv
EvG0HsxBLPovJYEPOfdZEI4nzSnMO4RNkmswh09xS+Ch212YDDfZR5+qtQGs2Z4x2PZFe/O+jkGH
MO93t8z7e4gSk3MxojB0Ed0gGDj+8+d1Td0tFcdbahJS1DBkcXpeKKqfemG7mnaQuh/pyPYb4Tmt
DsCe26Jt3g4Geh97WqBZiNhNtf+xJuEDnO7DMpBTr9qiIeD7u2pPHX6SZV465LLM5hzHw63n09Ym
ZhUgKQA5BZ3RBK0WjeAIb2C+s5FKj4tl+7ZBDC4cCyBHJ4ENsW/ZVcN36NrmUgH6brktLBBOK6Ln
VtuCoD9JvAmuL/y0qtuPeI3GiWQEu/0UiwNeuotYVqg7w80wkgGahtCS1KldqutaAunpY7Tn/aAf
++7JTPd1d60vS0XQpq95zLa1ztLRF/eqZeeRjX2RXOpEF+PYvTpR9U1N6sznEXfxtgVs4qn7Unf9
Tc42xzW8mxnBTcsQDnOhcc5PW6wjBlEsHAbuKdwTjx9FEmVAUGUa7yhvcxNFmUvn+42H9iRWAPSO
34V8/x7B+usiwPH48yLoSFMGKwFPHlbQddjXzaMhUhbGBk8UAmWIn11CofDJsvkCp4pXe41NazL6
OyA7ZEhU+2a97vCbF/rffi4PRQRG5WP296+fqwnoCHkEizMo0Tm7wBiuy3SjEbSK9c7pZdb6Kfkc
wDCgzh7SfY41LFzn0LXqUq/z7yK/20DIXzcYigwoweRCD2nQHy/TXzaYgYWRKN0R+3hJsTU3aTSv
UPEc9kzwhOqhvLWjyWDUIL8NkVwcEw28Bbg++XASky0SRt4WBmmW9EfoM3ZSV0AzByM1QJ0OwRfH
5x7+5FOtIH1vaQKAUg+rS7+yxDsP0ik8/g4vBA1UBYyZZ4vb/EDTJ7TBk/hdAvjvKdvop+v9ZUNF
vhq/JIHhpBQaPQO4+kE+aVhxtm+RB/aKFZprUIorly4aZ5sn82vD4ayP9RlS8/y7zervxdv2cbC9
bnv7do7+vEwNDhMxoZtOq1VDV2pSpLvxesManCN0a/1O40ztTXCnrLvzg+6uxroNq9+9LluE7Zct
/qeP8ctpTpa6nJLtY0S9LtwQJJ8P8tWPPoXN+JvK4d8/gH9d8S8nLU8YEtbbFa4C7CB6FwWtjCHx
8n+/aD/K3r9dEn69AU4sJP1xfv18Z12US57stkuS/akHjh5P61akkBbEPC9BzYMXJk6xNkmmgUzP
3nTvAnUXRz8xD8b0t5B+LAbZNFPM9fybj4f07fYBfvmAEUUvD5DYw0CIH1n1v7x5TVKyTk8SBWRS
ndoRNEITu/PeWF8XDVtrEDTVF5USkYQ3lKMIUgdrvgZuXbS96Itoau6TQGSEjjndIhEAav12ig6q
d6bMko7sVmfluwTFEweRk+IJL092mTbFY14y4iMNs6qOI1c74nur/UyEvCjGGRaYnPAe+mvROPJe
J/yt6jqyX0sCI6Zfc19EMFttJPa+q6q8rfyvtf9mLfJLM6n6MwK6XRbEj/FxVKNANgdSoucXIXqo
Ax+Ve4SQmDnK8L0vkjFHPrGgiZO7IkQUzQENou10N0922PXBeCr9pt0h6XWCYdoBupQfXjcfplU8
oyQr86CR7S4u/TmtvPdq0oCUff9AZoKe3upyBzwQm2lsdgbgh3a7+Z6pEGb++BxO4Zd+bl75nAGH
cnYyaKAqQ51zRvs+lN+bZH4ouXlnwaRyqJDQKRqO7JWnTjhsqVu2RSmdNiuhYB7H1U5w+BHGGgn5
XjnTjuIZ6qU69L0+9a1o7hQypFJ+Gae5LOAcQgzjNVDgWRCcu6vE81r+EE7YnZMy8nMYZ1BSkVgw
vTufqfO41qi5rLdowBeYjjBNsLR7B9DgkMgpHblgacjMY+xH5hpVwO9cEQE66GEGgPDmWGeqPA8I
moCrTOBiaP5sAR9fqBJdDj6LsAVRtICeG6dC6CjG0IcuqVCNbJrDyvuNL13VHlayL5F4oTqBgm9H
0FJAl/YGzn4g/GPSP86xQpQwqMCChv1+djFPIX5vHKjwiCHTDBIx3wnkXUAxRzmHshK5vQKiCBgT
KYxGOfTs1YAX48d+qEGp9s5b7aqdUcgoqzJ6a6nawhIKPL3GmWG6Pp+G5SMZKNmJEZI1W8GvzraN
D9VQI5cWihzMhdgz7vrAw+PoRGdk5JJzj1hI2q+ROLJofpayGQ8zfZxl22VNBEYG8fRz45ewpxjf
MzVdnNXz9lIu30tgR4scUCYqaGI+gVHhrDs4+eHZM06UUhJO1+bInBkxMaepCiwbKETEmnvo5McY
5ij8z+CTsuGSRRWc99XhSe6iXk2ZI5KibumTnKm8JHWzHx2j96s3n31/5HuztgJKUONm3lCv+cjy
jqLtBJF7FYCqlrFRuVwGcYTg/9ZI1F2edp6WrrtMCcxgPZwGtsQpbGkkdFf5OOKCgepiZ/DBGUDS
4wcnRNqpTcwpUMduDcurDyAYkxCQV4H+TJBriz9aj6krd2bsQa7Su1XjjoH/WwqkjvPVJR8kroZC
sQkiJGLT2KkCuYupDVD8iRoDVPRBlNET4Y5OK7d7B9Iocjn1w8mn/b1nXkpgJlklkFsaHYBUNHmN
4aLuA87vjfKQVmnQVFdOti6evF/vWkg1YM6ZzD3UKAjufCRwiYswfmwQtUvDtUKkYIKpbHDaRDCh
MN3F/MCWIqAalUY0MVA7ouIutVAV26AmKfqEJ+TxmlTU9csygHC0LJQgVjQvetiPO9NHnylyPjeC
Z77q8jwZAhDXaZo97eo/utlKeAg8xoyMGcVnnRyTGFRHrRGgr/R+Kqd6H9Yu9u85aM+BiS5UBE9V
2U5Z6DV3BHN6clorkyVkqLPR8CAPKhPs+fxtouoK4RVyY4X0gM8MO7uIieFg6A5O3Hso6WIGC3DY
N5i1QVekNKplPbrTaeGgB+GAAGca5Q17FjBcPCDfX73UXacPfwY0ahsw6OHsf59HpOQWEGotSDUX
0BHOJO/mR8BmzYazmQ1sA9f5Xm+oG5F3MchzRsBVdkUEHs63/VLMGyI30PamankcN3hOgaLjG05X
+/rLPJoKsK0bgjUc9zHYOw0Gz4+lKZD5PVoj3qS12GIgO+zxShHhs3vEd2PEgDw/j4fya9wj+zFv
wN8E8g/Rw/VKNxhQQxSmkblTkLQ3WLAM9BFZxxvfMEKU+0AazAPMn8/xBhrCPsCwkQd3bm+SNvh6
QxLHEXCi3DDFaQMWTZ/3dsVDlDI8djHX4Ge7FmkvgI6ATHHU/oAfuy/c8R+MI1kehsIe2uSIlA2k
9Bmo1rohlNUKVatjwRX88we4FC3oiLI5qXO1AZgKJGYNItOAzGw3RBPuVZWaDdtc4vGp30BOJKym
dJXLI/Jfaqc6G6DjAfjZbwgoBra8GRJ/T/bygYARrbpp7/ijSDWev+7mZQ/Zekz5hpbGXgjXYQVE
5qk3gwHzhZ6fkg1HZSO8znpDVPvumzORx4RMYdpE8yP1MYlDuUAVAtCNSBl3j6UnEaHe4FdB4CH5
FxdM7IBZLWk9AJPtN2A2AVwgN4TWMfyGlAVU8Q2vxSO91Btw2wKR2An3wZc4XLwNyvX9pj4s4HSn
jdflDkwA6XanIAK6jwut82YDfDe6TEv/WwDyN9gQ4HmDgT3wcHhBFkjv7jvdgOF+Q4fHDSJG5Y+M
L7hi9zMsquZYgTZmJPrgjnsd8HvEUpVMCIYiZIRKAsSa5y33unyTKwrFRnZH3c/qOs8sHxP7Wrvy
SkYfyCUHnB9sELTdcGiHYNtgIeJ3IKUxCKI+zhs8PYGixuuFpguUXOQ2bcHZhAJqg65/uMPdBmLP
ILIjkNk+CG2+odqg83AbN3w72EDupcXpCv/Uboh3uCGZF76B38mGgM8bDA5quUp1j7Q7MPEY7uUw
PQH4PyB6IvfrBpRXsLHrKcSBPHxFhOY9Bnm+aETEDStKwtKg9m8lCHULUr17rUCtI/MHb7KfLtEG
tG/YyMTBiEUAqdYNevc3/J2Cgx8gv4gNjCcbIr9usHy5UfOmexs2jF5H8jF2pgc6IyplQdrX0Z2z
YmngaLL4ZnBNBUyQYcPzEd8WKVC6x8HGhw4EPxXVRwPdd5z5g0pEMW6kv4rffAM3bYsAGB8MxLDF
AqYtIBDa+cDcz4LUUb4uha/bd6+emoeIo7Dgst8T5AwQ8egvLtIHc2RwdNuFZL6HYSdIKARbVCFB
ZqEi9FTr+lOHLEMikL500nbB0DL4NRmgxhdATKi+thgEwA3QQX4PpxYZCcCYAtF6J6+3+ES9BSkc
vgfkgnEbAeD6JEaQatYPgVIAIarbFGJUBkIxdqh2k4guIScnLPKLQHaDcaB7+C1i+xY0No49uEZK
xlHqI/IxIfrRJRjwNI0X2O1QNdv6EiAkora0CENsRFjAi82WJBFrfE0QLZkJGoUq0C22cpCciJ/E
Un5CVgrIT1kj24yECvNqteNE+gd3y68sW5JFINJiGG0Rv/uCIvE4zd/5lnxZEIEB8oWDuATobgxm
4CAmgy1+zJ2WXhYXaQQV6uuKSA3dsjWrdO9IiQzAuOVuWIMUF4Yn+QjkYP7UbUJAx2xJHW/L7NRR
ksYI8WiEeYI5udnIu4V4rumKuA9D7KeaHmaEgNYtDeT063dvoDSvERSaA303gM9HKBn/Jc/IV106
BIvQToQpKMGs3DJH/ZY+koo8cB59C7ZcEovxqxUDH15p/Lzw4bOn3KcVQaYFgaYIwaYQAadpSzq1
iDyNIaYPdUp/MVsYSj4EbrfnDr8QD+noGqEpvaWnmDBnM3iIUS2XZstXVar8VJsS/RoOsZhCuArd
2WTCgh92WBzkSY+JCGUznHXf8z0iZg8YbKDS1kOItnYelcYAIEiHem2OGOVGs0bN0c6Z6pPq623W
yGMX6jcV2aJCH5kiiIQc0lKmfhWm3kivm045U8wumQfUC1BIe1PtImUAqMqvPTYxdxjxUJRzGRzn
U7CcR/QwtRd/qnEYhl/FZI7eitkFcs2rudolJjjF8y2unaKFgQ7mG2OlMOEPxCDQlft5Ca98nApe
OcgcODsVYMNWw00gf5FsKw/jT6AQu8mS19S5OJ+8AeErL34JJUOAGbJITQ4K44AEq76QWRxc/Nxu
hOw6rfu2g67U37AV3oUlyaZyyUs0w141Hi2vnuRSFqbip7oOD3ZtcHKFSCDcOpyl3uBc2gWQYUKy
wZpdL6Nnw0wGSxoB8vEYhw9hgENcKQQD1RGsQkQyhZ04DPOopicfFoYD+kMHAWgOYLCsesTkx7x1
EIzXgL4Q08dMqiwW+GcxIAIzZpgGkndy2XNhEfpA2g6FcGzOyvlqMKlgvlvGew+AkoSZzFznUTsE
SagcqbBDBNNpmRBK1XTawQV+DuiyJ+zqdv1JK5nbkO09TdKZhgBDZY4bi0Bm0eoXIDwpreRhBs8X
AiYGX5lgWk1ikYocs0WxQmJITyX5KcaEFMWcCyQAzIfCvAh8tO1mbnI/IkJ769gdgU+Ovc0VEIbN
eMS0sEx1a05J9TCgdaAuyHVwhT1jjy4mCnbtDD25ezTiBJVw3+Aa9ew88oHu+vZb7bZIbjiX0q1O
BHTrbIH8gJ1vRyBdegmus2+xISOjzNx7HG7cBW5bDibr2uHmRfKyeVJrtdwt2PQb5LzhRhW9rq6G
4MYZcgCIcnHi6rQ9OmGXvfIwwAKkKeVYitVw274eFNZfuN6VQ3VyySt4Ttn6Vx5igsAUPc0uf/BN
dfKhyhsnPPWYazD3CL3PW4J6x5F130Y2MNtje5ciQ2ZiRzxzZW78IijGVGHB2wYiWDTsfwy08V/7
/qOGudWa81AXpE2grSokyw22F1heZZIp73ULenvuI7ACIBPfW/PoooDcFPcVGed4GnOMMEFKQaRX
t0X6DXNSTE/TmD40kEUEwMywxvAiVow4fhzXL9ZW7xHYQRABez+6p21+TDVivsOIG6TgqHL1/7g7
kyXJjSXL/kvtQcFoMGx9niLCY87IDSSGTMwwwDDj6/sgyddN8knxSW16URsKhYzBwx0wqF699yio
IBhxurwsX4cVad3jP4qCdUhqeKGBpZm3t3C3dIlHDBSWS84RpzOs5ZqiiRFpg84hSO7Gw7V0Sioq
Qjt29TBXuDqFv+nUsLXJWsjU3NYW8f66vEF62nsxYizupUhEbypt1pH3mRxlYXCeYNkd+SXiRkHX
KMh85BaAH7NdeRMOU9Iaw1zeB7PeoeCVS9vRnUjG7rCzO2+Ae16sGbAas8Sqay59Fz2axWNR1MZm
qrPtpFt3m5bBBW/zY0ONWdrFwXFfRvEVuAV3cbcB0XDMahBZHb1bFDlvY+ds+soTK8qybdhYuIcY
xHFC2YxNnMa79Ve9Wa8Te08jt3HbSz1EB1vG33s5H6ahus0Gh49Qqzu/Rd5z+i7AScQLDMuu2lQW
MB3jGwmDY8JRpZc470JLbUZjn1HpVR5SreKX5Xgt8cxP5XzuSDIFVb8WLRatEBOc6LozaJlpqo8x
tzIuuWxVtfXzQAZem+nZQF7W6GBWCtGmM57SCLkn0ycnYI4luvw0EjWbDYgMw3zbRQnhwGFb+/al
wAcNUnfvLlTEtIjWlqB4Kbj66gT2XZR/JeX4PJoeliS9z8gLUAXqh2iM6FF4u/KARGuT3saptTPs
iGSOt20X9mfQ7CeSKtVcnqbK2UrDww3YAcQp95Q0h7IZb+B07DzX28dtfkn6qd22k7j1R4LQTVza
SOc8AWuGlbKYITal9v0sw2lNtu3OaCitwzF1V6Z9ILq2MSSTqnDq15FD8Rhr78HqdXnG6J+vowgP
WpyLgJzXTYk7OSaJsyf5T21KHj4pOFT6bJvH0Y4yqGecqOP6sfB5a3PfHJmtqYBjKwlpvX8WKEVT
5e+CvICB5a/b/t4iCojer66RXfxUMbrXnZ4JpEz7KE5hRfiMdoPGf6pFd2PhTYua8uoBl+DEu5mh
PHCBbFsdPPUmY8464LnH2WxkTN8skKrOpXKrb/WAQLSKsTwa59KNzoR96pU0q2sYTHA/ub15HOAn
zLCIDnl3UwZQbkv3Xo3FdWjHTddAck3d8DR5UUwJ07y09mOjw3E7gwrGeYejjZflK36sozKSiqFz
nwbOTTSYO8PFYudgb8eLheXFJqNW+w+1m12GPP1eW7y8srvNm4tSDvFT75jYfGoCutAg5VOXdBuo
CMBBrB+Fh27le6RGJ0a7mfXgDsltqniS1624k8x9L3lV7MIp7H8f3P2vtD8x8WDs+N/bn37ftWc8
/HWF4AKItn7/1j98Tyxi9Nj2t2wE5Cf6PlOh30nWwW/wUFmlIC320ZqMNhhb/cv35P3GrINpBksW
fq2wYdT0L9+TwxoASwD6lyB+8DNY/3fL+fX3wcg/oqzZq/bXCQpzHbw4HoxNfhquo18A1D9NUJpA
9cY8SHdFrm+XS+tTsmd9VXi5uZbcH2ZPVzFUNDoE5lZKM9esfUy+iWeTGTOCigs+pgV1SVVOBsZA
Gadvop/Ncz6Pp3SQRM14eJJ/z7Lh2yySq1FaqLbg+yIYzE1Y36UTBDl76n/mVk77QLzaJRfm+0+t
Qlxqi+/OmD7oSJG08vx9bufWajT1iy2mtxgFIPHNFY77lDZz/DFNuKsr3QH2s4Z11l4KG/xLJ5t8
DZADzZWWOm2Mu6wnHq15P7DYB7jb3UetvO9Ba76LituGLTZrlbkvkT0cho57jTrsnIX9j1CfoVEF
K/DnIw+b+IzZP19V3FgpwYCV4+ADV35mYyJ1d1q5z03/lMzJMTWsg2M1383AmNZKu4cayNiqrCXd
YnSuBmbUtdO8wA3nr4zp25O8ujat+9hxbIOBpVBN7cdhDD4q+rpS9eZmpjxfZ5F3JQx3IaITg3qm
unDTQ84EIVL9kl3yQLXK+pMW/rmZpL0KWop0yfnk+KnGceU26zobHmJyCYFJjjIN9aMmVVQHas2l
edcG6qmReFYqTew7aW+TYtoa+zgxmPKHmaIZcLbC1Rd8TmsM+g7PGqLzvlY7bJ7WymlQ0KCdMoBb
hYowRp6dErAuQLQy8zDRcUMnjr+GytyHdrotMw9jRUaBZfXMboNBMlULxTbzonvIMg9xQc2isLNR
CSU7bxy2Rh896we9r9atBugGLAZTdrzBrRpk0b2rsXB1Pd4MK1VnbzxakXVokvRpFDLdDmIxvXvf
qiXykPG1ABPEURWkqTHNNi3ZBS/4hiD9XIfed20Zyy3BDBF+oJ26r9qK7xpp/RwrL9m2Qb2OTPTX
PkR8g/ZRMAmfnlNx0BG0ksTIdkXm/qgn8T1TPLVGAhhRAlumCQ6Bo7pdZNxmtcNT3zphUGxOi7+9
LL8rGLbIFssMTbcHcFWUxcQ+J7IC61IosXKyYFP4IOIaKS61uTx+ug4JT1oYwCfsLon/MI3OK+dN
t2mA6gzvOdQnt8W87LfBKfFr4uwj+ktLRHBl1EwLwiXGU3dvkzc8M4ZEKnOKaiPDGLWRodi2UAg5
7WtbZ9XWNPGYWV27BDsicEaYZhiqJAcmRSqUjLmspdB3CJfCwfccviNmgd1qzMcUx2333OgWr4jO
dllSVVvD9C9MTDRFNO542Uk+ONPeJkMnN2FM1SDvw8DngZnyZB/S6CkbTWwV2GSU6uztZJEDLJBy
bK5QqBEkskC/H5lw31b15O7gst2UvR3swujQzsI+SIU26xrptA4VIYXSSg625mrg/cBqH1NQNiAK
Je76XTFFD1FKy6H4kUvEZtjo9hHhUe7LkBRzU1HQWTF27glD+Eanu759lFbirYWi1wyq7CjghXFt
wB1SQ8zIsXpw515ugAvDiDYvTNiybKLgUQK9LFDvhaJx6d2ee5SfUKt8yeKItTnTmsUASEO3q1dt
yBsk+2VYZ/vHX78bjAmuffwoU6yGjSRktppddQhVtBCC+FFV0h47ek6XGAv6WdnZH7xNmfBvuQsE
8k3vrpt90MU/W0MSAs25sBct1BPvNHDmSlgOo8W2u9a+6rf4tgFKJcV7bI5bUtYY2lWMthRyYWj7
PlDGh0AKbEgy/vrSYRofDLOEbb8iM/DTMtpXo80+CVHxvqr4Z5W/RdxoqwJUD9c3+loAgXEducX3
2b5Go/lO8XfIZi7VbIqe8fRuegNxKOfL5ZB+EpF/cFR5m7X5NVkAs75zF4UUgD5hkG7sXgn+XeIa
vA28LJ4nn3OV/Cxn5nTtqVCEV3xhfevljj8O7Kwf25tkRsRV6Zc1U8HDjK22nozu5hmfmhggBSx9
rii/HIIfYHiZ9vvZZzVxzQ4HL4i50COxH424X4nRwlyOaYG+56Wwqk88fYAJ4D5kff3ozA9FUx/d
8ZaAEpQC1T/ENm1gfFMIYstVnH7Clj4AaR5hBobluOSM1tNsfbheS5J/sZAGY0VyOHsyybKR7hqL
VSCaeEWSINjCxFR5ytSbydiG8zdqjBQ0EVZ3eOsAp5rThAfexk9SLab4GHd8FAyIrMvw2lqs88Ni
oi9x04vFVt/c49p7bhazvVhs92ox4E848RP3ai3GfDc6TItRP1b39mLcTxYLf9zcBC720DiObp0B
bnO42P09fP8ML8nkkgTAmZwi2mjI6e5tM8GBT91z7VyBA4ldVtk702ZGw7QFr+ASNEh/RQ4K4l4e
KQRniSNMDsEETULBI6kwBQ4egfnV1vGPSXfk30Jvxg5KvCEj51AbR1JONw7pB+h8CQEWaop6SUaQ
kHBISrRLZMJdwhNh53bIUfk3dwlWeEvEwuh2IIrFErxom7lZ84jK4Nat+iWckZLSGMrnqv1RLNGN
cglx9O3z7EclnXXZrMJxtHcec55y4mlktSgo/RIHsbgZPPIh5RIUiV8XVG5KhH5lL0ES5tp3hCEB
GLJ9AKvNgrf2V/ESPwnIoXhLIEWFNbwJL7orEc7yIX1zMsc7MqJ8T/AjDEuspVNBtWnS6ZIDgQT2
SZdaB+TmeBLLkHKpUl+RIed9SQMU2V915TSHdEKvrrUDQie078NPXHrBWriJu/aH+m6MmmZDzu0j
smgcIx7kw9QTjdREdoLiYC0RHiBn+kZbD9ZybBzFEvQplsgPA1PGVqSA8iUOZJELKskHVUtQqFwi
Q0i1BFEi1ztxHFyCmahJXMTfHLo5+qfviSMBLxnp2aLdDJZQUkk6yV5iSsyOLBQnVRwETzautmX7
gbe1LIa8Cul8VOjONrVS2OdfsIbBa0X70JTxdYpOzvCVojrxbKEQkbiFmaVU20CYP6vvruUEsBIu
KkIwsVjTIZG1Ck6ZtLBPGnK/zFnKoBv0cyO8lENibEYqIT2Ju6EehxWG15BFBjhpMM+eIvCfvuHA
UhgonUgwogG1Lz1g4PVgF5xSEPvvWhxZADC8e2Ub2AmqaSMJdK5S7e7bCsBBUgIGWprwMcOgpIv+
aZj1uPIRPwgp3po1NZMsAHEMqGLm1FkrqxQsW1Ag8q6WGCQgHPktLuVWT8mZnN2rWQPi4L6Ca8dV
9iJzjoolq6pQGDINz6rMDTKMQbOdqz085vwSd8ON7MLwxhEcjqWQV8sYN309/2xIb9PACvPUmt5j
6hrvBWUhzyn/ia0nT2FGQjoL4zvpTOnGbMkktHZq740KCSt8MXguTgTuyshkJFu8Kctci+Y5Ihix
6fCm4s44JCnM52l8atKXwTJeQuFfZRK+wBdxYIoDEqjNgWx26l14xm9l6id3BndYXdt3dercZJo/
kBfBsQzh0xt/WnWPQ2f+abt8m6zIgUmmr7Ix33NLM3pSyCpxRAHYRffW6O0GYxTMHiJWv7jNTjWg
ke0chMSk4JqT2Ax5BkBkTpOTilW9IS03R0BZHWM9ATaDK1i+5nn3CtnuPu/D6Rh1nN5dy0fZpMey
689lxQXndtldHvtIcGNc7tJhuLjKx1w2xD0BX3qyJD+nHyDbe3L631HVB5OHRT/ihILt+1B75Q/M
YN32RzNA0+B/N2wPKRfzSd5WX5mD2BIP1uM8QHvoY19vnapFfZ5gfHCSguDJgWVEFZm8mTcjggtQ
OdHGNCK1gVcNEhczlUiD59LyXse5BG/h1e+Ugelx4MlVTPKdg/+x5G5f4n73UBz2tRWkWy9Nb8KJ
C9ttp3dTZ0iSzPW4s2H5WO4urGZvF0f+t0rNyD9ExkOfp6qtvZ1yvfTgdcNjPpsB2S9+jeM3zeMc
Lp6Caw5y/sSYEJMkCcmb3n7iLuiv1mDsXUBGlzgTDP29ad4vm4MSTBOAj8FNGamiTM3cI00Tae0C
g3Zm6cPSEKeOAx8lSOCh64yocvXNiuKfjUj8LbO7z8SJbginMtRx4Ae4c/eIuQx7wpjYGLjxdfsU
InO9qiL3rOzSXi9mJ7Mjjp65MQSz7ppX+Gij9jT28qy6Vh2IoMB0FM7e8Y1p534rieZuZYWWWbY1
QX/3diqLboFwMrCtNd3cu90y92LVEoc4p5Lwj9m0iNkOTW6OZnb+5ZphU40rn0VME4CmOa6BLB61
QVYaU9fMaIhgDpwbvBrRdFfbOG5AIh+gON3WzuhDNBzmXdxzVupxn/dzsyKsEK/4wLK7KuBqnJL8
Ky5pwQtAd3TFV2/soOxXPsJy+1y0zlclypOtkO2suHj5FcHyggePpzW6IdppPg4nq8vcHUfDJjCI
P9DHlitaBC4L7SNMi2pNABYXekEDRDL9IQ/dbYN0fFiOdc+Q76UpnpUA4xTnzRHo+Q1qrjo0NYM8
6YJuCGNuWTM4TSiw1BCjO16bjrl+w7B8RZkijiYms9T13DNv6QayWGMh24Z91ayp+r2NFDgwg7x/
MzPnOClrgWu37+NY3AU9W3/iCFYJf+BgXvKSjEuEJW4BcDGGNbxtbj/FjOEYBGYW5CyogWbx1No0
3sqzw4sWcucwDR2Z4DsToz9VP5nRuYajns3ganPMt1AaB5N2CRJAU9gI9ejn7citbrwOSfI6zAFH
fXHDIwWojsXTSzuCkqGnhYtfYGh5N72Q6C01S0HKOHsv8Zznun/UU/HdaHJQSC4G+yFF9PVjeDkd
XSdP1p9G255s13qts5iStcTQJER3AN4Au29SRNY1i41E9xhUMWJRmT7VwxTuB3JLOFSeFJo4Ykl1
qUdL0QSFOFuKfcQCFShVqybK2VdBAYMRkShsiAXKng7KG7CYZsEJ+D6EcL/3fFiK8Uc2QaKocWph
v+VDzG9LgryZ0PoOh8a2svtdV1BZDBMUKx+nkMv0i9QHXJZkqW/r4myX+AJGfrod94eUbRx1xkMp
KF7saLi1FSJq7Qyg6/mKQIRPHjD4IOqmXevK7zhoT7Ne8igJowSo9EHxyXm/NTDzwiP0nuMqP07T
zyanpp1NHNROX5qbZkYYByMNOhxs5PzAHfcZzLCmc9iF53FiTDNXmyhAxh9kj1NXdt8yw/ryk+oK
q6BhE0ZxCToqw9Sx9CYtzlAvgRhNw0GUfn5n+thCpYDn02njQ/fB1xDCrRKlpgKf5ZtVMqaOnAOL
ltI1+43S1eTr41yb922Zn+ecq6ZhW0xnHIcsIJ8QA+sdCt6AhT5bezWgARriTeTiZYiz/o3Tl1Hl
0KGWT++W0NahWrpr9DkK6v3kteVWlKLfUhLqNYMAj4xMbDCslsleG+0FVQmXtsdd/xhiWwCN9CVK
GC2uDCVCJKhpPAadRuYhbQClLuMqjzjsdWq8OGMNKq40bvxGA64GSUfxAaCsMiC8+wle5qyI1wgK
H8yumdEun71q3zMHMrGtCuL0vnPCF/7WFIBw2q6hvGDshxOE4LBBv2bty655Ntx2fA6c+FMnjDYL
TDdOiDEHAyqZPUnAulXRri8zAFPTCMrLO9glYiQAOBD0Mtp4fT+vd7VUb0EvTRJV3E2mmn9Whod1
ybGeuIB94hsudJwEXnWoP4KlaJnsEr4pmo5bFSb0ru6LvDY/2CBE2fXxsaEZ7EqT7DUjvdHzidJ7
1He9R4BU1bjyO64f7LhsD+ABA8nXhiK5xSrHIgXC+FXXgXTGmRvbsPQqWEkSGpWLUFGS05rH8LaR
uN46KOWJpxhxVfpWNW+8enpiZbwEU4UqObtfFUG8df8irCbZpNEo17OIJtLj5LmhtnMGgq51Ba7D
pPy0K9QsJVpjXcfhTdkE1dEJg7MH2TwcKTlTM6bzIjpm5eo6A1wSAZYzMcOFd2GZdj5es2rccPUa
Z69rXwfgZSY7zxIirqAHNDsV5u+Vr6m2Yoowr9wp045OtaQ0MA7WSPHZ09KsRrCOezcLX7wWxcZ+
haOSMJ4FFdSjYAYCU5kSyR1M9b1TVvNLnJFV4+MTuxlPampSFflRdReEOGKKFFQKtR2sw7PfsQxm
HJ9tvcRktuVYbf0svaqMRUeZXUEGieZ63Ua23LdyoHeSDl7VxP0Qkb0yVcXAvg+/MI7eTQi5q2Fo
813jxMZWg0ymJa2ic4hA4kagadJ+DDcqzA6ewDHmPzpXEUDTc1NAaY3Kn5BxMhaRzT6pwfhgO8WL
l83V2qCt7ergrdMtk2YXLXJZMhD7ct7UUD60gYPCcmjGsMv0Ds5gNTvfui450ZO2qG3prlZdv0aY
furYJbfRhkLDm50n9pGtneUYDwQoM9OXO0OOH41P62WH4YiOlUIStvH2joAWS8JT6DiTuZ4c8pmY
h3ZeKtD+TCIOOAYYy37yWrApeiW8MaeEkkYIjfwohjaF5gc56bvp32PfzNdpls/7HhoB/niLaWX8
FbqEgIagV1dRHrNyoeQw02WsZg8rI2l/9i40nCavuEOcH8qhtOdA/Ap48OOToWfyIIIAO711cufL
G6vilHkG/QoqeyVdni6CgEzLEy6etL6EPNnsRfMOMti4rm0d6/mii4wFe3MYUasCeu9eigw2kGIx
wTYhkyYFn0OsKrw3Oc/9YcD05gtOqMBdNKx6RJ2v3GEL0zvdWkVASHrR+2xwEpPep2IXxKa5cpN3
QwGW6nVwQ2ZGXhOn+moM9xX+iz4yPi4PsAFZvwhnS8r6MNSNt7Nd/6mI2ouEqbopFPGx2KZAEznm
1LiG/TW6+MPzzxhMVuikX24GuMXwEbp/veiUMXPJtpiNGUFfxYu/SH7xNq0MRhytEdLtTM80O6xT
mO2bOrSGk+neFIA29zJKCRVl9rVjlV3dkLvXjtqAevsxGQ5dq+btSIPyxU5rIDQGcMreWxwu38Nx
USsk2SrG/4OZkUUL75VDKLEEzsjDs0WAzGmJn8tKiee+XtI9RfthCmMNfOyJ5Wjnwexegoo6xc/I
MmWDpi+LEBVpKUwYLXTNKRmiS5uYLI4wtokTxDet6f40c8G8J4w+cITNW8LkHKBgvT0BuZ9VawRO
in7DxiUOLtCnk+bJMIVrz4Ir6U0AWiUPLznI20LmB12Ez2DNxk1m4HAR5N1dwISDPfngtUqWZRGX
M/pEHq2gu6YSCTg2gheZ0n/gZX8oVb6EMVS1MRgB74yJCwkeGsBlp7IPZHFuaorZzqVfnxg/Yw+2
CYot8B+G+Oya0OuqcR8a4xpk8zLQgiTWmOS96hGGooMxOW2Ks9HyNIx9Ng8OzKRtsgpEapqjXbo+
pKTHKNDtKk2gInh2jdO3h9AbpBcimhL6MceDB6P5tFiD5sX6knWsK3RMpnjFi4M9QGh57YY+gVrC
GcaoEStS4m5VOZBsUG+NmRgnyoiU4tyWTEBkde5ddi1hKpwMnULdCZKH9Em50wjbptGb5Wo3UjKS
+EbTuzRtX6sGK9XcWixSgM4j+vo4RdkDq+KOpU7uUnfJ+Be48R0eQ5M1bztyCGYeQQBK9njB2HYQ
OLD3PPuHJ33s+NO7Mqej11YWpVB9HTt6K91iM5uyJ3/B94mwujAPpL1v6KRxp2A4sMx30zWpY4Jt
7VFo9w46J9Y1KR3eZQonGleS3/mwm8bPhp6Tkw2Hs8cetp1VnrFwT/uQHfCYYj5IsYUbt/b2kx3q
tYHPNGLUvA6N9qMyEfbbrMGW3dvMWVt9og1iu0zpfJofy2ijL6d79DYW7iWmWN/gFtMljVaP1yeq
gaZFMHOK1VeQyo/YicHL4jsbfKzTJJAJe9fuxa4wlc6OIBi1BHdC+H/17CNNUfe0XsoEq6vZ1hnQ
B5UCAVo2Hw1M4DV0zoeINpH4wPBBlrPaxYKdlX0YfWsa/jMOECYANQG2Wsx3Q0KthGWcafGIO33y
GLt5l2qw87NKE9wgLiKoP9arvOKJlc431vDWGwhxThG99lvStNAzDJVum7ZFLDbc+qEYC76XDUNS
J8ghTvY0uM27YCBEhnBx/1Blp0L4K4I8m6/esH06viS94DReuRPLYTwLY4zHXsVrh+GZ1UBuyPW2
zizjwZSusck7ezww1r8ZxL1MEMxpmfchyy72nbVFjyAdVOIvBpf+XEv4Vz2OxDH1QJDhus7Ikrj1
LDdzA+Wb/DpHlsf5a9oTc76lWM0bsUAzMcgIZmT+THUHeYmximZcOJPT7kPumqSlcFxGhSn1AVLN
UlE47bTlw/U31VCS8BhYQYK2zSh08W2SnG9yNviIow/vzIuTuyqp5TquxmabGy54pW7hZTHsaM3F
V3+dey84RdI6V2lq3Vuz72wrnOgno3/S3lV7VbfLK0agBlix30Of/yMPyf6Hun0vfjR/5eb8Tsr5
/BN35/8fRudTdWWrp4cfUaLK//qDsPPLDLJQMv57F8m/Fsb/mZrDN/zhHZG/eSbrhVmBarJOlIPg
X94R8ZtYfBtIPRhA3AD62v/zjvi/4RqxTQhUrgPXQEBu+MM74ni/sf4BDI8w2azuML//n3lH/uoc
MS1+OxwfkEmm6dn+r1T8n5wjyivquSWUDbMSFTzz3iab8yqLoEOaERdrXxYX7TtP7IfyS0KUVdGg
9gmxpyZ+JYS2tlHrtDujWkY/GoiI/ykezBv353CwbeJ2ARokGS3ZwhULPejPzI10iAg2s76HKoXU
U+ra6cEvZXVITSs/8S9wrG08ayw9lpxBzSlW6SfjXoS6upiOKsnACSILbYqQrciFi5IY8UOOqmp+
/ukz/8OW82f8kMcH+ddXCsgo+H2Tus9n93cmTm4un6BXz6uZ8d2bivw3nLfjjRKEBWPNCjOshPcg
XCFUtFK8zqHpnZupqEFvyxz+B7sH0aCS7dy5Rz6W8h5Kw8EllrhVXTV9h1x+sKu3kNUr90Tpm4fW
qZ6iCg6X1cmeCgvVbN8G0weERUqZLjxiKLbFPowTVtDRKN7J5psJ1+mJqqslaZrd+C5bq8IO2BDU
HOLLBYAie1GyktKGn9gjhmAqQByS3dXLexw+pWS4tyStHo10MSjk864NA33fdujQ//x+Lpf/399P
LDqCW0aatsMV+tdPnkxBxUZZPcEYYi9Qt6DOMyYllKXjLpN+ys7U4JiSgWinkh3U2nsCBpkeUovZ
SshSxnsfleU/vKZ//4wtxwEvhNYCBYdb56+vqc60xVqXCbh6jbY4aGO8lPP8Uo1zezu0psEW8U2U
z+IB3fnnzAb5tc776TsLJV9Vx9T4n1+O/W83B6eGJQPfM02oFebC4/rzzaHLpOlgvpFTaNkZ4rfx
MmSGWjegg63MVr21oztfWcRiss8HqNSKsUNLYrJ0j2NYV282zsizk/GwLzLvqDzzTQ5D8M1N8Wn1
nfoMK1ec2xFSoGRt2KaYU5vGP4uPXQ+E0ComHzWnyc+lkyW7f/7brH9/qwGDSJ9DkOJb2v7f3uqy
1nZWYy5ZNXX14kpt4/+d0MXj6IPlU0gsY39AKJ+eZfjuDkZ2Hmzf3pVO668L5enNP7+cv9FKOH0Y
RNPd2g6ACo6jv12MwRQKpRqL3x+wB4oix9ra3KNXQOvFleHDNRgj9/jPv/PvLCbbsgEegZeylzsg
4IP+68c79TNPZhZjrnxVPkMk5TBx0EtK2ly9aqdu5lN022OcJCGWpbJ/7GYd7AobxGqS01qSmMzx
L97XrvXNtuLwCK2YcaOQ7n84pe3llfzuVFyejzymeG+5IWyHZ5Prw9766yvF8paUluuBqPac1wiT
Ks2H5dxYVv/W4MdhcWplNPt6qJxnl9VdYxSED2Jow1PadW+GCS6hbNzhzCKuVxlmfD2Z3JntAdxR
TeGcuqpXt2ahH1gbM3LEN7TpQXY3VuNLMJrN7S8+/AQ54nUiXfwf7jLh/v3Dt7i3POHbzAVcc3lo
//WvS1j+NGYO6JdcZ8GRgnI/tI6+5m1jnNuEFEfNusiwsPHJGyq6SCNkjMbCLnMq7Pvl/41Voh4Z
Fhhn5auYbZ4Jjt64oqrVbX1l7eWmq534MVPiRzfZKWHCGe0Qyvuu0P3JSHp533labgNDfQsDVR4M
QYwpHJqnXvr7ORvPIRCy54D4xy696JEheuFPwcHt2DIq7Dlah4HpnWrfL5lsO7fhlPuHJmSltmOT
geuB3R5is3779eTKRDRuiuzGYKrLUJxsFAZli+Rx6TwV3o3FWPQ5RzvuTVD5quhMUiWccTpEqyxn
NnA01sDyg2boT1JA7cWB0K0COyYkOmrvEQvjkzTKYJebQMiDOnBeTbPeQnlKVvgE2gdOzfkuDStU
P8xdlUoDMBu1uq1YD3Hr2xMWK5ZtjH1v7uap8bcRgGN2MhMgbYY4uolKckSTHlgNxS8/2i4rPvDJ
dTy58eyz37uyHwKrdW46ZAQ2D2XsF9d5imLE4nQpWIbWgYa97XtWOcvEVLt+ufjG5R8eHPtAZg1D
HZ/NVaEwyYIUotlZrlGdWpY+HFyDAdPchsO5muxvBvtFzuDVjXPAfH5Xu/iSbE8Hd7/+Uc9jQDdL
QTPWJV5ymMVjVZo/KMpOpfcVZdF3ZbeKRKcpz4VgNUKd1QP2FToacpUIKrq7a7rIPEqbE4DW1rnB
9mdys2GJaYnF9E791iHP4PZpo4vCZUeiiPRilc983vybQhXPyk7dt+lbMwTFU2OzrOD3AwbPDcJc
4uv7cvLrg6dQPAYPH5WsrW+RBLfM/GG+b92WYZXFdp6sKu1Tm9Ax+r097PwWQIcx5V+6dPU9EFFW
q+X7YbnQWd3LRM3QgKecoz3X/ZvrUrWwfQJwn9nU57TrmSYl0we79sRXUdbbPDNuft0IEtfWA/jn
WKns3BB1Y22A3LYW0XvzVyHk+kAIjMhHEiOjfVC99ZxGXrGxx2hBrKOHe6nJADq8znyESC2owKdM
hSzUHqgqJBFRFiuzsmlRDqDP2xfS+O2udEuIOAw8CE1hQKFYXdZBU8P9+tbad/x7Q4bOgfmxONap
L86GqF6SoE8vsBUESbNQEFGdv0Wxnk9MSXri+1y+CCXRaa49wK5BxAi89t8qc/LObJZW0ZDBoeEf
E/u+dqNOxQUEA+gJ13v89bvNlr1Whd3XXMPwMIyc+AGkWlzBtJq7MBt/YFyv3hhYiDUR4haDaamf
eabgjvHImP36rtLS3jl1lDgNQfuDsfmwCcnWYNhkbg73ntUfqg3JkFMxgOZjZjv77mM/Lz5XEoau
J7KbGfmXTPtcYYhCe2TzGSeK1djrXsen1umKpwyt5HFkO9b/Ye88diy3sm37RQToTfd478Jnh4h0
9J6b5ObX30FGvVcqCSjh9m5DnYM4mUqFI7mXmXNMk1G3kXTWcf4OAsFWkaShOnf7c8aUbAGOgM48
AXM4Wn74mvus3+NCG9aGLn7EIza3hj3iluSW8FxWWHxyqz6NOo5VYQJ9DFg37n1TNmtSF1yk4XfD
KSNoc9n3oLDMN6+UH2yx9mZTy5to4uQ0KmUHIpjRBVu3dcUm7OCG44U1QHoZC3IxyWchLS1S40fQ
UnsKj50z9p+dkQ0+W2yg8/6PAETJHkWBcx3tjJh2eClpTL5LN8FwNCdfdX08XBNiuza9ygR2GNyN
E/ThqVF9Y9EPzAlovvuP+aMmC/tXxozvIOPIbB0ZAJKIbMrQX34dj27e2Ls2wGEVOjlA9RGJkDMN
bg0jeSnVqHtw9304FkFMld5OpBAt2MQOQCXTcoudaoU21sPOP9bTi6MVRA1HKp5ty86QvFJ06w4H
kzF8jyyT7OxSMZ/CwV+bnentuW2sY1RpFvm9+Nja+YBPgkM7ZsqB1gh4e04GpsKmYlnGAwzEKEyR
J+fRVmvLrZ6U/R5NxW+AMeUhiCVkApDTF7Xwm1UStI9E6V4Jm0L/Hvf6IUgI0GzcIXgwK0P0I4z6
1XeS737Do7ytWelYZc4YKC/3SJawP5Z1+KQpJM8Mw6FJiu7ZHiZ71KEeLesI+QdPtGnIb5FyHUR/
8QtxQ9vFTa6zInXwGTPUGwfUHFPC+9TzhIrWnOaOy7PR3kYBEz7stLcmNYnq1pqLrqL8D7rE3XWt
u/NqkXwkmXLpbQ5gVhxXlZ5hWyrGBVxnfQ85UVeOJO6cnCzvZFpHqWo+wBxkfJ6PYtUre+tI/Blx
y5pBQGnmyU184IYQN9LE5W2kcNqQobiL3dzb2hrbGqRA4aGMmnTTuv4hcFrjUdInrUAKdmsZF/1W
oIURbbkLHaA1REqf5pceBwQpUuj2ihA/66hnw85gx3/SCCkgWaE4ju4Qn1OV8ZSVRN46s+r+fMjj
sDmV0wvg3wTuxDBstN5tHhZT603Rot/awLgNVwwMjZcsLhn5Gv40xaWy8yqSkc2MWZTwgpckW44e
g6wYbB6XoXftGaPi7EicTdOWKAiZY9VKxzIe+X9BJGZP8bREwkXvPNjYFpwxQQZM5GOdoMcwwvFY
gVJ/WMJcR6YaPlk9YIsRK8S+iDFqZshNNqWbneFnCOYdY//sVoTNZDVIxFgrlVUkDbAHoR3vE1Xf
w3/hXeXWpxrfZZjX2aUFQDoawnxqJvZ62cv6jh/wpcqdZlmy73+UqEjXSaYluwwpBXAegYiMhbyG
TGqgyrOYTxpJcdSn/63tIGuMRdtuAQErh8biX5SZX/HtRejRecouh9AXx4S9wRs3NM46kT38SH32
qja71j7rR3Lrp6dNHNyzyOA6iI0X+BLaOi0fw2AnMAadJxGEsJCmbqBLBcvRKTmHmXZ/6xs+BVXM
uBKliNdiqEaW5Dg0wc9EV83vxp8dmG0cMQdqGwreQI7LDPfhqpi+dQMzvZwGHp2ZcgxMvsKxsi8u
C5+rP3ZA/ju4GHEYIKL2mpuOirtI2XHoxQXpKOedJbN16aM+HqdgIyYmJ63ye/K+UNmJNmofxKcq
3H99tCXLGHds9dN12CvqtcfV1BVtvO3s2qQHHRk0p5DSEm5drbP1lzFl9kl8yMswiHdj8B5un+fP
zXQaNSG0thYJoCcftRqSMR+5oIPUFKGR6et7EfDr+u/t3J9BfDqzNoDJxJjS1lq2rU0urj/M2lig
JqWh5bTQUXRQRzKMMjG0D7q8cJUqwzejGapjqLiHqkJu3rlNsqZgbK7zS5A669Yyg3sj6u/zDzyM
dONQAbza6z27w3T8m2HHX3o68MnMXRy+bJ2n9p/nWeiW1NR3e51WLsUsanoBwQyRv2sypzkXkX8x
O7u7JG6Jb4O9zd+BiP/y6bHN2Uz/LA+rnOM6f2op3dIJPd3xWXeVrTutlAgD9QI2uppg4aWqNXC+
Cpl/4QZHNgnNxSEgw92yfN1gu/BOkDAIJ3SRJ9OdTPu1kBYST9PFJwJt+99/tcafEIa6Bmt6msV4
7I4wAf75iw38zOzg6JCepSHL7RLSzmPql6EA3u/Y3XEMk0elY02P2qB7meTD6agbb1OVc0pQiuAQ
ARAyF5E8MrE+sdJY6Fky7L0WTzGeX8QzTS8Pfdn97KMGn3ZDiLXS+dEmbFTro3Y8Dska8zp5wRsX
C/vfjeP++i16NL8m/kIm0zpRB/959SKJJZonIaZlrigRDqkDaBMGSyD0irUg4AidAFer4jTV2swV
jEKqHx//+w/6L0NB4PMmAS+2a/FpHM2ZpkZ/uIdCoFtmbbJhDWsciEKJEfaqmL6iLnbvtZtyXs+H
Qzx6+kJhss2uG+rgBAgKXbv6OUo95aER5X9zBfxlXDV9YbbNmMo0sIPq89//4QsbPZb4OU9RbOkZ
+XaZdip0kV9gvuEpC6KngqxeAQZ/reRIiNI6NkGpJh3QDBNIhQPy7L//pBji86P440xGh1CN8N5y
TQO8LtDq//xRBSGUsoY9Pavsxl0QrfQ1Y4BtJdtyZQ1+f6g00WwDs1E/Wrf8oXpO99QAF9znXsra
OsG9HjCAU8uYOLQ0PZCpJ8aFZ4ndOJCebqX5PY977ewhG0uRKdWLJmVdiXrsNczTQyKQoKDBGW+2
X/xi4Z8cqoGkXuTl1zYLsus8Are/dcFQ4F1GmJbMFYKlYK10oay0kWZf4jCJd/OdMTdabqewybS4
PcYg/P41XPqqiSN8WtsoUuo7lrgPfraPtGUsW2iTwE85unnLtxJF5jP8vOs8aajHNr3r7ru6/ppu
j3mIz14ptWfM2nKdtj2F6tTiDZr1vQbyDt6sNV6iPLkV5djs/dxTT/is8NQDi9Ua86JPL4U+ac2+
etEuNPYUbdbCodNYlwPBn2gSejBCjdOsRAQFoLSd4YdJRBJd2a8eduhCJTyRZjiLjiSVtVcESvTa
nrpPkfbtZWxlb/zQwcIQUKW2j/lbURVv18H+PNhgy7eaRU8RhZa1igCyHd3WKx9G5/9O/aYlE8bH
jKGgQug9tXqoqcqYn0RYDhsn3JA65G+yIf6oaIt+YVRYAs9Ewi9BhZqxXsDh6rNzDdySgED5aU7B
rZSmHkovFC5BnQ3PvVc3K0gY7R31qjHQExuM79dGUMv3QGJQ1Qct2agAlZZiuoYkkmiwYNTkmps/
y4zRhzFWuzBRmRZxf+sU/lQM0ETSqQgSTu8sCec5GSjZz2bjHhFCV0cneIhMGW5Omw4nPVRbdjxe
fWpbAaEsQhBtkMPrTQVAQgrwM4ugr8uGXLmNVufGyzQHP0HzLxcguTHchR4uz4iKTPuBom4iH5sq
EUZ4ukbonYBOEOmW/PL2JknyuT9yG9uy3+MpuuRWU98jhj2110HLwgy9wofGpRIaG09vNW4SBtqQ
EOsfFR7xly4n7+f/v0N8D9cnblB1Ebhxw25Bg4iV9tVtBDeG7i4iqcW7+ZOo4JsWWOFaLlR5T9B9
EKtX/LIVAzmtHwX4ZY3H3Ln3NL2H0BwpORkTr0oSoza1mpoozotPTwdJH2mxsvWNbliTAdDvQ7bY
i1FY47XOtGD19XAlmC5aO6rxlhhmfpRuuO96JThlVD5Q+fuUG1DDYWaZCLas0Vp3hDm+WSUQW7y5
Nz9Gn9rH+s+Mvd9TyEp6V7aAW+gbtmmbWk9Z53N6edpPeFbPNP7mJcBJTGsYvdmBNZzwai2kJtWH
r3TNvtMEWyutDtaRUkanMUnP3XQJ1KhcN45XUwBodvgMtao5OnkroSbS5R0jn8AYPxkPgynU02g6
H/+6EirgiCMWe4IjqCQi+IW5nrjHcvrdInmsjdJCFAfcSYWKR/ZuduPUydgB9Aa8EGK2UoLgt7GO
f0yoafsIgwZzia0Gq9Hs74MIivP8gpq6OAe0y6wKU32v2ln0ZOfLLLO7p0HGDg0qnGVtKlaUjAmu
gZAT0WrwOxPOcGaFqO81d2PRfC7nztwdWb/MxzKYE3XfD/h/YBFtVCVuNvNXn43qc1zhnZrf5e4l
AaMTT2fmFAlbu/7W1J3h1dX9QzkSvDw/asfebwj+1pCJMKc7gCdMN+MUdOzal9QYJLWqqm1qC07p
3B5nOE9abPrLr6d1KEH6AR26hW1mL0Sjb+dP3riusvX4bS9wmo8nQ822QGqP2OWKS4U1WLVi82BP
ir7aa+NdKau1rbCAxL8x8tiCgYqR7OyqUQ2NMqu2A8u1lSdtueVwJG7WTC5mA5rHCKxPi0TzF8IJ
s4scnc/RcfD6kwqG/il2zjr3yNnQoO7qKmRYiDD+MfVH/2jV6DziiWWT+mWxD030dq2VNEuDGclK
bwIszInVrNqcEN40JVa4VpVwg9hUrriuJ0GXQxsyFyNzpT5Nc6LUUEgmMsYt66Xyo3R4po24GPF6
DvkR99E2sQbuBHyvDdlmwbQfMJ5UzTj41LnbyrHyA061oxSF/IaYHq/EIMgng/aoFEgWlS75xC4K
J7HJlW1aJq9W7+MpTjxUn06cbKvATlc5W9UjI3cIIXTQYR9ru0iv9F3TY/jQRxLrezPZmpyxm6As
3bshcO4EVf9jQvHci0Br0azSaJtpauAw9kFTMgLcdGlWkUcbp6iD6DCNTE1W4ADJ7XTTH4oE5m8V
Q7CbJxsIX5EoTyenV4p3HVHuwrEAF7ex0b116jv5W5eBOKwAH8h3cmzlr3R4ll33DMOt/UQTdhH5
T9S7ZC9Xeb1W5oeEgZAQkU8OtlFim0s1ECwEc2wJRQPKCzr2BMnCXhq6AQtAGA+5Q4voP/QyK5ek
Z+nQhyr7On9VE8QV6jKG3SBNNkCG6hPFLUHQesm33Ks/HDN1D43RexhaaSIbnWmM6MSxI2bo6HS4
WX1BZLRdB0+yJZyEM2D8yLG5B6imqzy7m9LotuwcOrKNfXeyOTlrr9sJK4q+Z0j+Ve6Vu+Qg5pgo
8Sqm0zmmp4TlZlUvFnH34SdW9KYazV6qLCLzXtOOihk4u56OaplYCAWz2OwOWoEKC7Pg58ijkMEq
gmI9t1Ssh2xlGikZcWvNfV7omHm4R71/qJqu26l9gZXUQOYBkKGgnPAqFkK9+TvtknOr4x4OWDdu
stInskIfcDammLFtPSsuDYheqDVqIPbcDtlhbgnq0GR+QCW8YZ5mr6JAwf8+Pd2mKA8JL+lFoVhd
hNpAcmnq1tccjiC/4W3fj8VbVAQhjoIRCWqgAwWyZfIQvvc2pDgVZIZL3mQo/KxjXV0axfBiqczH
zMoLn4rSr+6VvVWU3yj3Uk5pClKWpc7KLA1xwL/R7zDrQpaaRiZx+urYkMg6kik/0rLB0Zpr+aFt
XJRRWTYpWmV4y33InV5djGDbycTpMhHuSE/tU31gksVqDA4UmleUoxideJiI6UsTXsugLn1TBjM9
CKsfzmEUnGtHKZ51q0Fx1VcfZK9/KUc0QwYrNMPF2dEQcAVe1+/zMObhkjiBsU0qhh+mmnyMFA0b
qjSgD7WTbOOpqikFVxbCvb8JEaGz+nP7RzdBJ0Gwl03z5QCp/89uQjezpDY1DOxdVFC+Wro5TF0q
BVZCPLQyz7i6WoxbRZPyaOOcsl1p7HmSyeO5GSzxHR1Z9ToKJKo9ZGZcrZl56cNBPfXOu4qLdCIr
B5+tmq/x0mpI/k9DV3fVCuMIAnvbJrwvawmdIyuS0biLSwPg//w21bt//QU9skYl3r6KagxoQLRs
b4e+jtWSGDiIyOYVimO8jkh5YesAD75o0udycFw01GH+3EMc3qkhRDisAHBInbM2vTDWlVBQnQTH
MBsqep7qIguvu+lZiR7d9MsnTIXfCB/+BSRlknpQoZqpUd0NGaIW7d3NqLTF+d8vUUZ+UCLVCpkn
Iy4DPfimJd2pBVa2dvK9KaTzw+s1Equk2BD1lex92vNl47jmSyVI7EygJAYdPOq5q8Mc5+1UXBw4
7yNtWABIN6I62c9Tm5zviKQP7z56Y7fzbaS9pSO050Jz3a3iy5sWFgYHCBeh12N1rTumaGg+P3HF
+Jf5RTHCBsJ5v+hVCK5qyuzq3z8etlifbtXXu/kJYFXhqaI832cScFrngdN3Y3ufTQfDZCExyKFE
dds8k8w13PAEKD+sWkUIqfvFvegs0O457k1FQFwp0Kvs5lEeWykm/cM5y+roWLbGL1mK8SaBKSQ9
R5Qw9fTqeAMMzGktxDz8wqZvaryH1yIrUMZaSOCnemccVJK/Y0DXmYtZyyvJ2ZrmsOBu6oNTDzvL
OHVQAL81nWOunZRcBVNCw/Cr9tmBtvqaW9G7NbjlXi1YDrPSZI7qdRldNm4IO67eRD0457B3uG5g
8S5URlt7JYtGzJYNO6p5//kz8Oz8a7qXJXjP1FDiItPAL4TMZM/NtEsvhAw2YaGaT15c4iOpvQSg
uLqdN2V01CvbxDnhC8kWP1T1l9wq9OUY+2LPKuH7MLTAH/S+uY4qj07ix7bYp5GTdiK5M30fJfNd
pdPlG6SlrYcZcY1LeqAPJ1WBbNkfHY9IhMv/qo2lp4qvhirsTWOFZlHldEoxXsfT54jSTsEzQz3l
2b88O+3fVDva50Wy/9olJ/3YP5WuDRh3QMwVar/T2lBPdlCjp1CznaISOrjISQrctoPXHxPonrt6
+ogll7IbmymnJCEtLlAz99hJ4Ac8s5OLV7s7oUErxEHRHFWrkwS6t9YT1SwBGYnkoVnU1l1GwHOs
tn5J20hyvGnW1lL8p0TxlTfC82BtKE9emI3fass4DlESvfh9oh2iiA66hrFRsWpBnE6rO1JlXP1G
zW8KdhevqV9GpFO/VNbbSLJBBGtsNJQ2cn9pmBT0krwALEe3YWi8ZwXfL8Qgdaybcd23gdhAOmBv
w8iOpW0cPkSsujsrzs2VHL09IlDm1Cj28K0EuG1qOSGrPA33VFrsEhfxd+/6GhcdBAyDAeIK01W0
SaDkMvnP3E0TVzkUxoGRHRDFRSo6AwHRblZhZJ1BzZgrwc40G5vUFcfeWmbUcRtyiqf1Js2/g/1d
83uQ70nWIP2z+9c4mdShdT+oC0rKm3Ajez2P04WDrnrMWCT5pJAHViJv3mgNN8YS7dbz/KMSxZ/l
ULcPW82bE+iDR52kYtvADcTqq7h0miMJx1+HbVPhcminJqnhHjvPH0U6rhPTxKk4DRkxCeqXwtgH
nB/LEbrMupVZeBMgOW7pgL+80DMWXtPbyDBrdp05uRRJAUCvlQyJ+/bZnK4TVQGMGmQIwNGPdvS4
qPApWqubJMBimWAQCGunfS4M67uscGDZbuPf1aZF/a9UBPkZOV1AWe/rHKksnICFqjKK8Nk3W96w
Y44TXyJITh9+nbxjkAvOrPQjdh4CLkeTaa9tP6Unlm84dDZ6IuA1xD4Y8gzr4MDi9dlnH16W8ct8
uM8vrmTFXTlnvojw3DmgycIAuzghIKyMdO+NhgaH6lzA2Qb5l36N8gFn2VYK5H0JBlVRsVUftLBa
t07kM4OKtJPFWG0FeRnICBk9FZZ5noYwZCheQa5HloZYQRmau0jHYslBnm9mNU5QPEHZLs+Uqsve
COUjl0F8CJVk0XqDe0ip3AAphQODDHi3mnyrfR1ErNIHK91FlGPHAc4cn7QV1SURY0h6ZkmDv3OT
Mb1qobLSmg4zp52YK8smxES4ZUNpZLEcbFKs1HWRPByF0MEiqBKC33CRBZZUCAqGx+wQ8IyhP9Qv
zM3ak+l7LjZL1ruE2X5Svy/qzms+ahtb9mi7v+GHJOvAUstjjNQFn31h/9R0w+LYc8RaNdriGZEb
5ICzGpbRO4dwvtLozQ5NnsTvJr5xM2Ysr9b+cR4wDcEsBcY0pKp4IIQZZreq78RyIjkpg3Duvp1V
H+ROcJdVjwrAJNbp2OWeaAkMwEA7731EJgkRjW2+FT9bS0VzX5IynShreMbsDFOGNqL30G2l2hiM
iqD7ePUdc9dvsmmqQ4vrHvt+f+FUaq8uopPKC+yzoovXOOdH08L2X469pl8zC1uCOvBsWapDJjF2
Q0QbSOXG+UWS9Fd/nrK2o6luVmaPVayzerz2evjUzXdwTz2zQBCGCwjGwRYv7nieP0Jhwy1Yt3Sc
YXu06dje4FtvKhHKjdP48Yb9iXcOR9tv92QGVZvBMYwbOp5tqQfdedq+XLxxZKIUwBn3knd9KrQp
ysa9k4dvRu7fy1i3G46Ieq1BJr5HUzHsAKSifLZeur5VVpVnxY/5pYGNa5iqdpvftZVt8sxv3is1
dFaFVofrXsbkLXgsirBXWdrm630eF+O10cW3oq9bKofmjcPAhzOvth4rYgTy9M1X9ErKdf6oqnxI
MXkIqxtJApRnGgfTMqyn3qUs6DNvPNaTII7kuGZF5Nh70eXE+rQRZrsRls/ZHkpuh2ipTt+tHuTF
I/CIcp/Oeu4jlgyEri4c116VZe9yff+/VeF8ItsSAm3BCcWCc/4nFQHNzTDIh5aSYKLLFFFRcesN
3zgl5Grc4Wo5N616ErkT7YIBSIicni61xrIKz0t2gD41EtUcQ+nmIjnovshADPJDzXs7A/FhSwSb
EHYK/1eb0pXE3M2DVOTDKcbkopEY8CWWa+EDk9MRPzU2UF9KUnVlQqHdabnmEzdP3kZQRxZZD1NA
rs441hk8kw5I8/ZJVwYbxBoLTFVAyKOq2o0IVC5mBscqjb11r1bpyhRKcjZaC1LiGL+zImru7QDg
2rKpSFUnt54MURxU3+UpNnYlvbn8Fk9b//klzI1jjG0c6pxBplIA9avRgT17TnXvTWIkGESa5+6N
FKPyVXP9KQ+rvwZNurUNEcKeoiG0ZERa1Th618r03GvlKZgo8HbpjR8tZy2PNR2zCaNXyrw22gSe
0I7zi14W9c7Q5cFOR3kQA+7soKIeGkvk9j6GyK+5ktAZmUQvaFnbg+WquPXLisdA0uYmwKySB0Ju
XUwII7uvsfU06exahxSE30PjgNsfku5oV4qL9MH6LlCeHmsNLEYmXHyFmXqH3rsLlIceSW8baR6r
IgZG80tDwpnVuyVPSz2Th6JKGXlSA84XIIxBsdCBv+xD2+VJUnAxIe8O11pjmbtYcIbikK8emRvp
O6errLUBYyqKW3kZtUhe5o/cUt1E1E1Mw3CGzQ+D+UWzGcyxNynIme0+8T9X514QkNY14sNrx/Sp
4rCivGkfTsLjBYAbcauEapUJuN4g+vmls0wGmnx/qk7Qu2TrBPvbCrc/+9PGkRv83Aw1alss6hyE
1tB5/TpuAkKUSyM8Em+MMQbqXR6b71NptRSYAJYGm6pVHzP/0d043sra5wmeD+9Gq7qr1C7Hq6Nk
/TY0sh7JIn8ZSVj8XUhj5tcODe9Ydm++AgmpcEf9ML9F8nSEu8FQuWQSiaNlePCrPMbT3ngMEhjY
+pisjAqpe9CZ4lil7VuOhfW5C/1h14dGuXWszHjFqHHC8dVv4jSn/liCFqeoqBOeuuQF/LL7+KUs
POeb17EqbyMjPnpR0Mzn6BEf4LCopuHIdKzyFo3E/DYRobMzKqaKBvWuGQnnw6thYGROpF2GNO/u
Y99991s7Wmf0eptYT/JbWWegzYRpLOe3rmE8RSas0EpF+CUFzbBGPfzcYbc7oNocF22SoyeEirrO
JuGMHkdHxrvjxZqGO2VFDhBWS6z/oln6kTSJK8vMBwv4dyy0+Wn+o2YMLAKcTMJtREYgxPS91FZf
HdOcMID5beFaFbpsBWJcTiZnZNEGm7jvulFBiT2iYJqQiEHmMbWtM3ozdGIFwxLSYIbs2W9b+87h
upzfRdmYPDMAJ9lxIRycw6E3cmcwTbrijP3hoUxATsEF2pS+OOCkvoxyPDqNbv+MM5uoieiXouXd
w3ZZWGdV4x+LrD5IowifKjXeNd64ywb5SyZ1zPRlmtJFGkFyHmUHz0XsvrrKc2F+cAcjxw9sHvy7
jLUW85EZVZZ1oqjJvxaZ6dhB0IrR6EyPaxHJ9yolBQquJby7tJfvg9lD+wAR0QfBszVkwRmmeb2k
XVc+Mnto8SPL7lrUsqaRx/aJRxxjPAuhXVSF2ZrotXHXEmX6DgHomkol2Wl93y4p6LyThjmJJL4E
66bVnaosly+iweBthS6bHb0GcEghw6CvvlN551csycuqIWK8dGV7mJ+1GBnoWq20XQsYBtBgLv9+
MVhqLEvtE56EwgHOSI/7dztqavZSp6I/DR6+6cGKlLvt8D/VYpPgYbTGAeUYJ9sm6nPtAxTXsApt
B69729jPJtS81NHWNZdWuCCMCNLCWP42wvpZje3mSU+amy1CZJRdGd6jyux2ZJ8YeNUisIfR8KjZ
MK9Jqku+7oB0uiuaQFRnkwWOMIJtWxndebRt42aHmXlDtQkeM8drKsNsb3LGvoMrqrxxMj9PwvMI
/1viy+IsSNcYYHv51VI3mh/tQOAZGymVGAWN4YSihcPeD96iSSlnw3w9DaHrwlutqoW0U+2USdY8
leG/D7TJIO3y9GZFfbHp/fbaTvt5O0rPKU5o0Ax2tcKxdg+zst06CoFKVkXO3zxqSolQXkkeyjEo
EDwqse0fcw1BCyWUsZ+XAw6ijZWhY0QZ81LuHW/c4AHLF5U1eL/ObSPNldsRvmrHjnNS1avT6/FD
AeWQCa17pvZWH2Fd7ILA1c/zg1k6vrLs85R0AgR++JfU01yslk3u7PzevTN8hBqiR9nZnHotfl5s
XsHOYC/zblyKYmVnMjl+TSpU+Cj3fnr6DJxH+0JOZaT1hMOz3tU982cJnSfIiCDCS3ymdffveqDl
N6PvSQJTIDMMRLvMO3nDwafol+09K0Bn8+OsofZG+0Kw845EDNfG7F5kUoq7MaLYVgRqaRtiI9NA
85Ymwy4TVXKOO8+4GaChrG4cLoh533Ph9kcF/zIO8Ny5gytY+JbfgArCn+RNf97ZDB5YIO3n/2r+
o1iSwpEE7Nw5tgSS5IHud9DMR0v6hO+xaTeZWAdpdanZq29RJpMOOwn35/opsvFfaHGOxt8WSO9Y
l/cq9VYhYd59Ne3T+H1exphSmJfpsQirH8v36IA+GjOpvjm69THGBQsZLakvViCgnZL1cM7QL64B
YuAom6atAgRc4TP95jZbQkywNz5WomYy+Q1VxQ4454rr1FiyCKysJf8EJlAHDgrk5GGWzIddG+7i
Pv7mN0YNrsmOlm1o+PuKeRfgZwYvVks4h2lHPyTc4IefK+4JX9+tRaR5GOqqP9c9ckmmwMR++SRH
ojWKG1J1ZoNMW5bXWfuoqIBFeg0qr+VRDOMgkxcV6TOnURYcKHswQtjiTnf0O0zYo0BGdLe6Xv4A
F6VdgzD9XisMZpxSC7+bGPoLRBBLdu+vObXnMvcdfCAJjsI85f7QrJrjJGLEy+TOIxk2lMqZqbZv
M3j5BN7SXXIEc8usCw7/m3SAf0J3/wnd/Sd095/Q3X9Cd/8J3f2/GLqbspRexQnKzELJz7qFsI+h
NLz1UGs3QUFkie0P9rqtvvtOWUy9D1M8gQ21YO+6MF1JyI6EYNyHLGxoTUkljSGIglPYqhCmlgXb
oFWGUXNROsSA6B2Lfz/ouoWnQcqpzFqsfR/zAQEeRBKoTGNJZDRWTtle0pbkad/MWSEQlbESI9sD
W4EbhWQyX8u+0TYpBNcyiHe1C7al8y320URrRUW38kna2qKgcZdZFJHIC5Uv+K00aAN8SdkekAK+
qnq93hgl+/DQdzdZOq7RNdiLIH5XI4qRWte2xM4L4hrZZ5MtMdnzro5hv5OR8oqMurx6LixJZCgA
pdyVFkK+sIc7aqUPlcXvgl3gd0OxomUTUL6aVkImlm3d4+6zIyF8VRf1Z6YRMphN4FM8iusy6n5A
qEd8ZAyYzcS09tDG5yhgnBF70dpy80cmgSTXOH+ZWEMLg+Vq+shch6jWd3bdvDoO9hkDgsfgX8eU
pFY7Zads2qO+snP0xYzgQQ62MCZj86fRseSnRvZX4dgeNSNiy5UAsWksL10YAkWLCJRfVu3i6PS1
C+rEfErhqGmDd5iVIBEFr3zbR1NXh00Z07qMDEWZ2omRFq7P65xfUQSyORPeUtM+bNHjGwV4oGOX
JAWclUnNXE31B6JR2J3yq2WNgGmYhBIjzJZVhYhANkxCgqHdZwAxlm0cf0eShdqXoMvB9z6R86Da
s4mW9TzCCJPmlHWkmDdpgHLl04oo4lzbqWnWf7hO/Ubc9BPb/ZT4SB1HtR/iRulV81an7UoHwJVn
2PNQCOImle233vOUrUsnyVxyJSSyKKODR1740c12u27pl+WEJszyNat4Y5FLg1+lT64tCnkkQdVz
OQYMhZScQFDrpiX90UAi/5xDYNtQpiIWdz+ROK3DxgX41f4MW+LoUroYpSaMz/KesMWSI+Jj/RtK
m/CWPDqRTa1TiYOUbNBvoWcC1h82abskJ5L0kZhyn4BZ5vnFuIqzITkpOUvKFqbnS+2wrCzLvSud
n7BBP9R+6NZ+yYa4FsTjqWgme1cQVcZkEedhe8Li7UND3vie/dYKMKmmzIjL8MS5iwmeSCvlf4g6
ryY3gXWL/qFDFakJr5JAeXJ+oTxjm5waaMKvvwv53DovLmePJdH9hb3XfhfqzbTrbudb+iOidQO0
MV+Kw+cBCtguqelUcDu+AVRwcEECz1Itfk/YJPSpiRrDKU8+DPKy06w+zXN17EkPqKjeAzPPngAV
9iA6dVb1GNOaSOMTqUmmqnrR3GnzMe1IAyJ1AGt5RBg5KuokbfFLmDU59b2H/HT2Dikr0/VBsCFx
lRCndlbnP9rx6vQtTDC72dc6Eyqi8adxyT3FPzopM2ZqvLBwFeT+daMFflTD6taSnYRfq73Kcs0m
JGc7mIrsBxQxmFSDBCNW5uE46s6OfZcJKCshxXOKida+YyWRhkvFyK+PLAb5ZXeiY/I3w6hwfTfu
LwJXBcMMDlMxt92OKJ0yreSjNOO3onLao6n9JMS/qF2rCiPQOxCPCVHkeCYOvVLvTSuzPWNwGHKQ
iOcOUzWSA5JfWvk8+2ZB7HO6TSWLJdsHGKpZ64fFc07OaJoHUfjduWp3mk0CyVihV8xi2nreqXlb
6i0m+qjZ2Vn/MldK3xuuccAWoYVIjN3NxMcBBcRBLtO0R7rAEyCtkGUbaS79Xizp717A6msNd2+3
ytglxDCGqCH1rQGW/9D2/RHHKXmHGUdBvTigXoygTv1n8m/OqjplkUsCAB43dpOE6iJnZ3ohQr83
rXCq4Cf3tnlmk8DgMyecWDCIAi6+Haqc1FHcTISE/tYT/0mvnTkkmwUbrBxBqLYfgAQYhMEc262c
kK0PuHTBAO5m3cnTXLEzyDbOGEbk6KyQ6Mv+uRdrxHJlkalq9V+FX2lPEzu0FG6G435XZed/6i4i
pj4tAc6KnpCInhiSUgrsrjGRAkLCPXBA6LjM1Eiw2sRR5LAkiEhwTUmYj7A1b6aK4IOu0vN9rp2d
PotOuZX620pDrgVZDWUu3AlnCazIIVV9MqDu61ESFGjwzLliwoxEyS7VnqQOwPC+HwCqTkJniJIt
vrfTUEM39mTdbYHWPNQuMpN2dE4pkSOkYNSkT2JDU9N7nNg5qOkEEjEnawJuhOD36ZffkfbVZr7c
p/4fqxuSPfG/D4z8N32hWJvUsGIJ3oWV4RkPHYfy3mOTzjRYCxqhTrzc1yR3x60YokdvQoFYkFwB
aUUQCRosqE+IxRkT6FMLAqF2h+8EbMAAAd1jdjF7aN9ZeW0nJEwM1zLmiQDnsdp4GxHLLlQmdt9F
EngDiUXxrhzzXH+TRXrAUkCMcJVb296BP6AadI6bokOEgggw36UG8ak2WvMR9++uz+WXlWBwYiF6
D53U2yMubdEIo95gfG96PI8oaOO2e68weoYkjaOwyRj4YcQPOlTG2tynBzsatgqQaDB4a2Yl38H3
N/1KxK43mOBIhKykr7L9PtoRdK9pNO54B5eDmlt0Cv6rMJF6Suh0oxt9u91wbGDxBGyMyRpGC71q
Nln5FGuaY6EJ1FD80PPwDvRsBdFl/FaWRV5wx3FmDntzrMy9dMwdxJl4Wy8T6A/MM/j4Z0a/VwCD
57Yk31LX7OqhnS+ths+ssxNCxvs85kgDQBDrlXXpu6oKLNn8qfvqscYMxPnA8sStPtH2ZfsmXT5r
zhZeM0CPGbnz0fq2mR13RhzzkZVPmjCXXWobG65CzkBbnxl9JntgTHXguZYdYM8LLdc+gKCvrr0i
tmVFcG1TiN/zMnKkn9EfegdnWNPiVhCvNBJShibJHPtXbhoN5z+jWQ4IMsGkc5cu/bjtm2o8x4uC
Rjw+R4RskbE5v1mLmAOpPRpa8jW71qNbqYUhZJKHUUd6uLPwGqVWaeAzIIIAoQkiczRfrf2Tm2J8
bDTnFXmfddYW9azLj9TGcO0iuGLhicRDKlboWhR61GGElSZcseSuItJSG1snqQNxpuBIsFnYz3fT
oJV3otKZiM7taTAyd4tIh4xr22JGlr1LxL4BlW+yLybyjltkIaG0KQQxYx+AsN0VUzJiyvXP0oWO
PMLoBy+wxo+ZvJVDwRqUKFet1LsHNHEIvkoSXYWZn6JEuYFfdgs77elLVvWzz1dOdCBKJ4UUWpKO
uEk+ipRwu/hAZlpHRgO+6hcdusAdvuID28oUeV/ymjZIMITdW2Fl6IBX0Iy2thUMjRW2MHrmpoVr
bDtPNdPooB2/FySxQVLi0Cyr6ty1A3mCw3JvZjzRPmkmKIyeWP/gfiNnSyA6htzrQZ72xtdUNk7g
alMfTAaeOnAzO90ouVhca61rUT1gC90xNUcrXlrnov+VNeTbG5JEl0iGSzQdOxT9W6TpbUDawN2S
6MauEfHJGUyUVlUHvbWJTyn48IKaFrZ/+9kM3Zsti3AuTJ6OMhtCr5P3blzDhCWNhDO12Xfp8BGp
xDjUWv7NIpeMHLOzNlaMzFKNNrI5UwsWMaTPg+uckNnCGPOJ115c0A+fAyTF02CrH1Fkf4bC4onx
BxqGiTCPAt96iryzqolEQPAc+IX+pxjNJ8a81Y5ubloRqGi8s28H+XRYtnG/3Re212Lpa6EHAx+T
cbJs25G1wmJnpKEM+Wud4f2pC5DcpBKhopEaAQ7LwCOArEpPi33jpKC62/kwG0PMSW+KQ1/5D1ky
bgcDFI3jqik0YyHwdvRiixkEFEKGcsEeXZLYrHxnUhPa9rBc9XI4WJ6wNoPPLDxSPi7kpGfdow/Z
TjZuvY8mkMAqY4vQNsNeqqU+mr35gaxu2AAD1wPD+klVqh2s9Hl2yTFys+kNeR9cdRLTWoFmya5K
7MAYzh3zCVDStXER/LdLaWznfkH+Ofvz3Syx7dxZHW/ssOawk3thsUkwmVJbGMkhsE5Ld9ezWdvk
I24EQM2ARBHVYjeD0IStfuMU86FnubuRRv8YIY+gfPZ2IisaMlXuGvwAZ92tfpmyuLhNYSPiNa6D
En+7BJax4m5x4IpvF5NYQFSXVVTAZp/Fl4AfwNw6/ZrKS9uhQqSnVJL+NukQark0HUneVru5j0JN
zv0+XthoirS6CLe4juqlqchRGketOaiI/ZooBTr2evl0ZJZcRYngwxiIHdJ4PmEJ4FUMGjLwODgQ
kA1S+zNb5ptKNDOk/8blhUPRa1jwGtgRANS3W+Q1V3rICCExnxE+1l9JJA9xwZNfojSvj5mZdbu2
1YZT1uxa0Ejshayt7hGhrBvzr0Fv9NPgVb8U5EzADfDLK2MG31HdIal7Fb5uHWqZfZkWpGqqq28l
qnI7tuh4ZTe8DZXmXLxsb/EYZvBjgMYPHvze5ex3PcEeS/JelZoJqBE0SpTCOpCE9+4B3v1N5vZh
YQ3bGlN+jnTUCEPuNryP2tnVW/WuFfKgNzaROJoih8FOeVzw33FIPqGz0rbaEP8aCa0gsCDGocj9
uq1AaLDdI9naqnqojfpjLlQUdrnFFnMuvlIoGyZUCDXTuSgLy8/KWM5cPottZTxkQ1UEHdHEBLJ1
V61P7get/rER5dPHUUV6Ao1gORNKoWMsLLlCZ1Za74nbZ/ct9HDIxqY095HA1tpMGWkHWGJ3g1Ch
JHQITLs6lhbaMQyWz4VbzqE2Wu+QO8kb6MeJa2c75HS5NDprdMH4LrXuUysqIl0Wi/DPmY3SWJTP
MUkyuTKma2Wcmg7OziIwgigiWrjgf3cLGDT8po9ehGpIWulukj7ICMvMdwJ/PmQ/qlPEFg6OwnII
ZFVBXdHTd2Wl5zkv1EGYKQVfphmccXlM8ohKiaVaqdooknq24+eIGJfeHXRetUHRz5O3qqJ2tfMT
6uWBD9wudURkYkSyFzg4BiNaepoW52msMy0sbRf4ToOJJjOWJ5JKHmSp7/jAZ4+5Nz73bskLMb/N
amie8Z2G9Tx84mSoL2hK3xwcVJMRXacqupZyeo5rtEVOGz3r6KBqw/yVTiXKREG9rX61xIIHc2RU
l+FDGTrNPC7SIknpBvpYDzpvxsKSdvmlViQG9YokExAwXK90u5zX8x+AzjsS5qzLgDpbTPLL8CF3
Vx2/sSSNi6FQ9Bssd3ceM14pf4HGkkuixlK9Ki5GEeX/vuEl3vQEvQTxTLjRUMY/tZetNV/y28KD
vrfThIA7yM6aDXA5NaiRq5YdJHmDANWS7SjkYWk63vm83OcWPT9SQKCw39JCuyeBmdsGQtBIf3BM
vdpWtfmVDX8mhgCbMdaNazfMXKZuIjaIjb8nS/1NSxoea0Z0Wv2e4w5hwNiRXWQ7H5lPw50bxDdY
tA8Amb+qxPLg00VHo+3zQFQxU0UBdnqmCsyzfa11xh6fosnTBDcPyUaQjnZyMBFb4FjKAmStw9Zb
nBepTFTQEPQJFNJ3KkaUFasstIapg+0y6oemoJRaMOHqqAI25FfyIJLKZ3PPoafRdljiiRTEFZLl
3iFHLtQsPdFJ0vrTe+7JN6zvidZys+hdQAFf3A/MSDtkF9T4S3xUjc6oCzEQLZdFAJszHtOWADQp
LRj3k0CEXr1ZVvxmaxxqOBzgg2J/MhV+elW+RtrCha9ZdHuDid7eI0h5boaTq2d/+iQqiOOsftHZ
vXmLmx6RzAI9UN1T53vtXragKnXD3lqTx3zSZjCkfs22wjbBiS6K6XWc0SiZfxLR/+Y1B5yeERqV
gWX/atAym1MU0WwBjMcpt/ehcD8WdrUjHi1MB2AhhNl5qAI24OzjgC/0S7g1x4bw332OK5mu7TYS
LVP7S26b87tvTjh3Bs4BvcR22skj07dPr2HILEz64qGdAzXxwdNpwnSmgYkY7NB1qJE4KgsoX3lr
Xy1BWUBidgHSpuhDetyvaO7hxPVfaRVPAepARiAC6Fg00V9T3gHWizMvZP/LTQMECNJHAN+03nWi
5upQERtuzb7k2chL25rpLu2Sne0xJFEznZWf2M+Lr4qTZ0zvg5ekQZzXJ+Zpxa4tEXG0ium564Rd
NDuENmY8lqW/U4i1AsMwUMp1e10fmyskLpWgkV8S1NRugYKs7Ra5VQZnjUiK15QM5gRc0gmxxcYh
QYF3qQIRJDBkRclhoYnf6tS75kRGSZrBaPCVh2Zggc2GLeOoST71Xc2FpKUMCXzg8wECIpfUyfrO
sBgVUBNN295Mrjk+n8BS36blE+/qNCWOJyPfxTVDeKeZ6YSM5Kl1zD1OtShULc6FnpIx1UuDrr7b
23UptrmZs/kX700yAtNb47cshM1YJo8RMDbaptWJ6jxX0iYo2yuOcK2wRG4h+7VbkIF/BjTx/vgZ
0V34ulsejdJ5JorcR4phMFSl+Ogi7NksC5rvlhZ/Tj96XY5B65HYovV8EGOOE11RnCoPOYc2zlsw
l0GZEAc8QUnYRAb6/ghLfSSYz7sedelQM1kfF4Io0d/MNF8Un0BC+Oc4DQwGcpt8YjwD1oixQJ/w
N3p0bN1sPTIZQWnnkJVZD+8l8smaDNEnWReHURBsoMmIyqfxjhMDABp5n1INGBZHWr4fiq9m4VOZ
ReZnLKzy5K+zwXWM4sgZZ8fY1oi7POtoTdivGlNnoFdfgeJgiYAHu/PcfEOz2+5cOGA7Xnei9rQU
m6VKt8lSXlQnzG3T8Zsk5NCeVmpbl0zamAMmU14QEh1zIdX8Ta7La4CBhPAYQzxpeH19yR3rTXcV
oP6dpzMoJ6LlmGYLTtJ++imjYjr45dBs7drvd539jvACzaY75FeGN5A2rJqHrGxr8lLo4Hrm5KMj
q50vqp8MB7reejoUgxm8FJrWIeXN99atkVYO1RUd+a615pbfnVdM7fDy00gThViKx8FP38dVn2xj
KzO1GhPcHnXUo0+gwKNTWOdKK5ark3uXbtK2tU7knSO0FQjW/i18wohwJ/NAuUt5LiHalDGZp46v
/YoBne5b4EobH1swrkhGzypdziKOnnTy8Zgf8R+aW436n4hrTEArKtGggGgiyKc+RYTunlKN9wzl
+Gbx8+FIXhrKOmZoMia+Qy1r1FX5PcELCCJo7zRCegddN92UWsRcE8tJidR9P1MDC+pkeBMSryW8
ml6Z3mWIyOKiWkFAJ18Q4JwNJ3aIjQITBvDQPdQgwvjceCfySlZQy7zBYPbYtImz0ypK7bg3vxwT
C3n25A2aFlLiiJBTbiMVBNzB0nfT1JBHiATOm71X7uP6iE0KAkNLOD1kh/PCiWD1FMEGWIhjmuZ7
Nc9/aOVIySbu0qE70bRuuhAgccbG6wStmgNb0oMoJaDjcgf3uKJOszLu/K5pw1xVL1brXGF/L3dy
hOJEanK+ZQZ5JNMPJLo2l1sKE3BDzD3i3noaiPMJWASRKj7QwQr33NoJEXR6STiaZZ/wLvIoTHkU
eON0sNX4rQ9kGSHwrtEwOfeMHKk3mRnsysnYBbVBTM3Com3JSyukDN6iE+U5dzLrsLwWlf414gh6
jlaLyJR/J35R3gM+u5P5z1SMD4wq1KVxGCEBucckRYCxCYg4TO3pVAPODlvh2szMk48M7A0bw88R
JCYS2w4bOBbbADnmXxZqgoFHcm+LKdo7PXGgUDRetcy/5ll5NayoQcGpazt0zY8xxp80S+XZLpmV
Frrxpta06hnUStWrP0PalUQpkkOjT/ynuk+4MxnPEnpqJb+qnE1Pxxm9OHyE04Im3QffHPMsHdpV
1egsBHPaDKuHrg7Mdn7pPBJyq566JK/oA6KGPCVMDGYpUDurjlEiBq44FjWsweUlislin0Eqwp9N
eh3cbcNE0sOyY8eMZ1DshSNGeG6glPY5xkFQ/LEr392i5PrS6ppc9sUIBRgrGuL4BecsyvKisLnx
cYvrKsDlJYHkj8IRYYw81UtYNBhup+9FimEg8k4s3sJiFe/PLDr6ZHw0CFTi42GZ0NR992TVTxJE
jNvvcxcRmp4ZX36utI23tDbeRX1XKZTpumWsSuDsklFReY4VWtPfImf+aw7PeixZCPNxnlpJU6Vb
8WPu6Mwf7gstm/eM4i56pTFK8rVmlyKIDcvuqfGqmelfmm7IQj5hZY5CTBNkYhvVoTZEiCfFOdhL
TA4PkbNWqTMAsOZArHe3M5Tq4ul0+5OjBXUGntuFz4+ecIQmM5daiRHTzXfJ5BJdzcyLwce4qG8Y
h6tBtq8Df8bXQsG5xwVHGl5jz+kpLXowNWyQPbUUoXuCyNOdW6G/GYwZIVvGG7aAoP7wjl1wsr35
DpURR0jo+/j5pcG8War6cerVdZQmcnbKh4YhFBLg5FpGib+L6drhNzDGmO77CmCqtppIGOiT1TK5
2kFTxhdxfkb6PDJ8ZxyJdUQy069LghOBZRodVVYxaeouZuZ4mvTmyYrLvcJJyoEn/fNU9w+G0dOe
krGLldr9pJxuwzK+tDmeDafI4SOAKL62SFs3clZ3WjOIU2zbOLOd/trgfQvd7MHUHgyRQHvUmbNZ
nXewqJ02S6PFNIyejsUNGDDJZTN/h+eHN85FrY/ZxpRJ/IDJV2yKuj61vQ+BYjX2QQri7SC9MshX
vs7EB86aFlC9CSiyWsT9/Q3HVeWKu6tg98kEz2/x7ENBds6uZmkMYjQaIOh/Vus6B49gnk0lXLWn
eUJl6SLlLFn2M3R5uelCjYqjC5KQvQd/fi+g+J0TlPRrjnjOAp+R3u23UR3mZ1TA3ubm715nVytv
uc9GPoZLh6MuRfo8TtGrCxslbsC7dpinGArCkOdVpDJLyb0nZJPz2Y9faumtlYv6nkAM2Zq316lz
H7m3ukc02CZDtoT7sjTk9vZCWGJk5Locb9JXOJEI1nNkzc4wXfPUC5akMY4SxetrV2GzWxp7Mwmo
FXWEzTJOoBskSHlfAajQDyz6k1LVkz+ANDM1tb39y4YglVDKTl2iOvO4OXJsmSqpXpT/CzUzhedU
d/sbdYC6Od0BPBFBwh8x8P9QNbOeaX3rXdZEKs3KxHKdkXJye8ccstxOEPkfxDTOl5skFVaJvb2h
5EYkEIR4WHGI17EEltQz+Ebnew9Mwr7Hzi53EVQWrEJziojUkIxAzIx861b8/MOvlXZvvziUzOso
l0qHah5nMeYyhqXDP8CLy1CDDA5y6nHR3L6pFoY8SU/U8yAfFnYpz5O/7yaWzmNWaQeo20edEJKn
miXwlqAKdpgatmDSTa+3Pz8USAR8y30TE57F2L04llbsXWocUopEcCPHuDNMo7GeYLUDLLr9b5VY
IpgmNf+MiVWonlX2ipkTUliSz1tx4/fqZJbj98EUw1g3piYtxC5j/HWgnvpT1dQQMD24ymoFUUEj
1yL2RHYZVfEyds2IidXvcNhhxMldTH48PBYXWIdpTrYvnJGfdqfrRzHpcLHb3H/pqqNcbXZEZe5u
2Sgl0S5BPsTEby6g2BnSNJsGPD/i6fxq6OTl2ZgfzmR/r6HaU7RNe87HcSTdU9Xi91RYON2Y7w6g
rOaSW6nAKLwzjOrPSgA5k86cPWHAgRuxkLeO4XC6AhbfE8ed3qUlMdK8l/nBWYr8abQ90ugMOEeL
+2zcTJRd2d5X/KiTALzrqILoYy5bVxfye4iYEaNWSB4rY7KQWfHWZQ7rlintl48po+Irx4cqUc3r
DJ2KF2mKr3n1wVh4vI4rML8wqwht9vAwje6nbtl0MMPUlFuSbleGSGeUlyaa54espcyWS4zpppzP
2N27R2lTLN7oSUZCFDEpcoBlizIO7QqxFUePcy6X3xo/H8y4JTHo8ulCwvHsQgLYJYlfvxFGvYsi
wiJNk9jIWC+5kHrlQpbJVos7PlUrE6yxbfjEmhaPgbNuuk3RWzhGx/kBFj/rDHz1NzxMqpBTOUl2
NYpMGeQPrkQWbt/0PAkYwSabhW0Kfmwne/0X06byNCfWRPhKQ4A6gHV3TkE+rrnBMmoX7i73QRMV
54BlFOe5k9uoYngzz0l60LrMxhg2GoxMlc40/FMSdXhgkQOXBhbQqEP4ScGOhUUBiBkf3Cl3iXWo
fb8IbQMgdGwTH2zHfnYSFSVxzwH8YLEvXj3QtxcVaULQNNlyC19nW5ygpPCqO5nAOLCYN29rHsCD
N4/q4JVI4QlPzfa2Xc6XjllVssK6YkhZhuXej6tZFzR5EkYWbufR1cxALxIa7fUtiZIOw3rOVJ7f
hzeExe2dpiV+WK14TKwgxuQ01wqneDjIiE3yPJ5qWxCnvKL6KOz8TTWO1ZOWSTesOnR5//vTsa5/
gztw7+XA2oPmuSAtMfkV0drm2N7TqZZ7mylkMNUGOHhg4Hf8RJj77fmGq27XuIkqZWBTVsdUF291
0oc3PJe0UdjfiHRTWaKM6Jf13Eiep8qUGx8Kzu1AxFAJ+qIqQqcrkA40tD/EUtAk1x4zKwye4xT/
Q6nVZdCWSr/cLts6tX8EGcyQPLLxQqbneBlAV1ygcRuHrLtnNXLhkl7P9///pvQ+XbPW75uxfhqZ
JVAv8Uu2E/00I0ih248WK6so3schHA50BPMHsa0StzW5gW7Dh0DMtvWkVYQK9lJ9VT01LmJC6xrX
ZXpBw8AvKAYaAtEadc9bbyBB8Kb5Q5hnRyX+sXKHaLvEZfZRDMTpEhtFZyEdAsnbNaKlUD8q8qzP
1G0vSv+Y2ij9A9EGHYfBiPofNairyShOoj8xgcAPvVPtEdnVb5oGQxwpyiczXuW2uGraKQ6NHBWA
jdTwxpDpEQhsDCbrltMOK97RfBWz8ZaXpXWV6dvtoI0iv4Ck1n24MtO3nCn+/dREfBFV/ABNUTyZ
YCzG3A4g7IpnZhrVFVHZI0x6bWdbMf+5ld6pGdHXiAXkhOMxOlQg/YIbOkHF48O0mtyybG6Os+Ym
r9XsP81A2O/m1khfh9RgyuZmAN3XX7RWPxwxfGwGWkp1ImyJVdSys6djIqynvGH2hqt/6YA3awrc
aBOR7L64xKb0hZz2Yzbmj13DYdzZTHRnbjpSpsXTPzZaNkIAiOMVr1LskYhA444YEaStuk8lVnnN
QG+w2neWSj//u/BbT/mAzVhWYfTTer6UydJxRRvhvzcHv1RNU8x7vc2BTBSVi2sbNGRXDa8ZQ0dU
bpN2nhIcKxi+u0u8siTT/Ho7T7S4mqDRuTaOFRCEGlXIpuRBOdwA7cvsL0fmFDQOAytGN2/Tb3AG
jy4n1qXFNEhYlfSOup63wTi60FGwnQdxLadrW/y9VTgl9xrtK9wnc+zdMCeG8vzvfq9zd34gUfRN
2cJnfstplNgYAxF8tIGVGU8N6Tt3npnZTxm718VpiCLR7ZmyNDYZ1gxHx5dsa3or2uKWd5k9ztGR
D6XcDn5UbNM6QZnqqpOOouq+j0iRvX1F7JK8x39fAqJCDb2Pag4WAdLvM+LAVWwH1qVrmpOWrZkq
qFxPTmK/RVpU7I2UvSPaAJh4cIUasiMOsGSyA1csgydgRryW6x8iauWB5Jg1ZKF+dDSMaGUeISzh
+MdHjJZKlj82NIK+G+qXWOpXJIAOMyCHH1HAbzWc8S/VSG+lZTY2t6a7ZE7V3uN6o2fgceAsmT/w
eMNhWyHuLq6qQWk0a9jdQ6YFxqWpHaJsdXm5cWMG0fwX6fMPSWaZGXnFY1xuixEVMxt+1jeiZbLX
EE2T2D8dKwEeq+AG+c3ZCFm9ZT+quAFbUIojMp+7rEia7Q0jY6jMfogV+b8RSj8V238BivB08J1R
JHtc02AqpLi/fSmkydrNXuFb41iNtCAZMOYyTkJ91unz55Cwuy277l61kXj2x1dIB/ulyJJfcVGr
bW4bzCdTxw9znX0K/Jr9DZM6qLQMh9x6qAdC99w1dsDAH9liwAaGmq12+f+2LHEKypaobfbm7uQe
bwDj26kvEmrlNnaPBkokvJQpKJ4W5jG4QACPHeXkrW9rlGluEUsgHF87NcRUcdAVab1fgyNqf0j/
6iD9CMSOwqmkpEXjZx1wIaNsX8H7pITax2xUyw4oNfLDtp8C5bCMVjfugJEVxzGHoojmLA062yd8
26BEdlavMaQBFhotOd46opYqN7eEJhGFU0VQTv59VyMCmvmL3Bl1K94sj1AYP0vFAYWDeFNewt7V
rL6qzs0vFQgrTqOh3gyVY+2MFYEpoCKco7T9mWxvCG60yVmiY9HnHv5v7bnPc9f7Oyn/ksuIJdUs
+KYxWROCqN0yehxZ4ii0tBj9Qq+0s6MWRS8C4tC95Oxp17QY5Kj8VsXcpR51/18KFa8PJTpikBSj
d+YKO5ypEJFrUemMEUqiW0vQeK5+JHJEW0iC1cbJeKoim0lq3n437ayxhofLIcBpbiRXzu2svJ2a
nJ5NNZishM9g1OotjSDpbyOFoFczOLh9VYWRnBH1xru+AZQtXFhJo2b5sK7Mg27EfxVj47CYS5ar
t2Sf8YIQpTz4yHn2s+9c0qZPX8r+QkXffPR2Sf0jnfQFIIj779yx+QCsf7IfRH5Jl7gLvdq3tzy2
bii9rjo1GgHQpBc+2+BQ2p5cLDeRP7gyL4bOrjzFyH0/Rt5fLdNMBnHO3wpS4UPnqPcltYcQCiOj
gciOXmpiPlXi7BeELFuU0cN93WuHCYweAHA2oeyOcHoWKdzrmIasTCKk2gMoubWA13riSG6HSqx7
3Bai3/HoLnexubBI5CSDkHaoVTLvq5aianYwPYuEiW9VOUeFQOZi+9NXTODd2RWLd+aMzCHAsPMq
OGOfG86zqFzGl86kSfUK+41jK/udFsOjXZYe2pD4xGZt3jVM9Q9zY8g7j4/tJpeszqZ6cHe3235d
cjNmmy+3r3nunytvah4M2TKbNqgLbiknFuz749Lrx9tlJlb7tLR1HmNSy8hY/9/Pzm38SVqMAu/o
j7wgrheksXyqjdHkXfb8kyjGR7swD+1qNW8b87EbNUwAjjqlJl5wb7mALBkC1KflyxzNC6AIKqiC
9k+scBEIRxabRQXlHuLikwGd9cQDgy5qGajRLXJXhK7k4/9+IS8icSBRjbFkmzxE60hhLqK/yMVE
iOH6h/GqFcqxFgW5JjApBU7drVt63omW8pdCbsNqnLNLs3KiqpoItd9aVSSVd3JSsAujAe61yp7h
T/XwZmJv368+ZuKJkl01wAqg3p8ZICu5rfTimEwdmXJDEV0HH3lR6+XNQx+zkjW5NPrt1HTWLinG
D7SVIKaxbG+F1f5dECAcC7SB3FuxRyeX7G5xKKWvsf0lq+q4ZFW6436M94J4gGtTKcocthlYEiCl
N1GCXG4K9XqaD1pLxNvKartPZHn/D0ksbD8ckpyQNUCwawOdS0aDcH5QMq1Rq9B2ktWtQGMN6oqt
SkaGUtu+OvmcMYTz3UfNyE68MNAoBqvc335qjoZXAZ1mK0qDfC6XDrnz069WVfuiLMh+KOWd1omv
3GEu2GSc+5XxjDZwfBUKQFw9rETR20HCyPqu7JkK67VwXvJMv6YJXP++ElDAy7E8/qfhr0+ZXRqb
xG9b6v3SgrcOkfo/uplULvMfwXVv39cC67lWnAySHhi+xm9TLBhGLLuWMmgyjD0p7wWK6vYv6J90
SY+oXQ5MoL90f1WxSsD83QwBs/U2icXsYST5qLW6NwIgWU4motmgGH/oevsZMWWAZYrrIDOfx8n/
bkwnqGpgP0vdELYdi4eu6S8mdA8G63wVdnYocvMY1wpeHeSSDevEH2RDrwQG8pKvIUVeJY6Wm+GV
N21EtPn4lAz9xte5h7NIPtPpASRilevb971fszHAkt6gwZFpzyRkDjT802iQxyjHap4QHgS+1PBY
N7YWa6WFsAK7NAh5R2mOnFKzdKK/vP8j77x2pEfS7foqB+eeLZogIyhIukgybVVleXtDlKX3nk+v
xeqRzkzjQIO5kyBg8KPNdFUmbcS3916bY0q156Fo/knBqfnXglNTty1DN1AsheEYxl+7ZIumrtxu
SmpGzaU/MoM6z+sfqbpJW9bgtZgrFCX+kEbFH47829/+/rOwo45Sd/GmNJjTrxipnqywhjygFRk1
C5ZOHsi2rds//6hYckL1iP9stPmXarwP27vt/z0V3u9fJE5wP3RN/Nn9Q4W34pv++/+hxPsyDvsm
fv9P/pu/9Xjrf+jSIIog6IF1TH7W+N12dJ9Sx01zkQscl/uc6o//KPEWfzjS4SJZW7+x36z/zd9K
vIX1h5SObuo6zb2///ZfKvG2f8tX/r7rA9u8bbrCNlm4KEdXaxfI37WPaLnB3gkyMVOc7IdWtls2
7OferV/yrDvwGN1rKt1XprzOM7Enx4YLjP05e79Lh86tfBKYX8HfbFIKTOaY0aPo5TkIA9x5VYtH
i0o9ehR2ut3exDJ2MW1pOO4xeOgWIF5sKw24WHOSZ2g0BeSb9KdT4QEb6dbOrVuNRac3lDSvBLWz
q6L4I9bijymDOmvW4WNqiU2t4vtFkMC1cn4fNd27ZIbIMsl3064QhvTBE6q8iJ+IEkBeb9yHMciu
uta+opvvI4y0h8JxHwRWDQDF9oPjEocYazwHLuJzxqJhsQG1qhCzH0umXYi40MrqrreNixzESSr4
UtRuKbofbNz6w1WhRT9KaA+1Jm7pSwExa7BQafdmh1TUHtghT5uKX+nEEtQsiplJ4MdCdjaYa2zS
LH3qFxuc2wznY6SyEnc2DmqFTtmvhWTrPLKqaVLnbxyDb5enwJy1kSGuunQx2mraeJFXfKop1B+Z
0GyihB+eks5EsqAORDCeXnEf6CzUJMaeVXHwfk/JwkEjx7Gng+epMscDs1CWttFX3EQwcBfSnutP
scb8w+htJpI4iuN2BPtrdffLIFgQ08QiAj6TG3UvWRLwIgh3WAWgHzOmHPuoxO61nGdijXBz5hdc
NtnWSVJ9E+Fk6pP8ks0I6pk2NZ4Nm6XXkXhbPUn4kuIZefMa/8ed3SUPA5w4T++7bCvQKn6/GN7L
A7P0B8pomNHmy67B766gP7IMN9+J8MHelPwqzUJz79mrrNCkcgNdH2m9/ILFgkODvFEfxuOWkjs8
3OAbk563lwX9I604eCEOoj37DnBbzXjWTArYCuKq6ydPKihYUxT9FLZ9tohAjaWLbwkxsGSgv3Ed
YqJaZT/UhUu6Dg26noAwiRgPPfjhjZL1j82yeFPp6phIpBjMXeeoa1+qyn2y3FXDbzfONJnbOUIc
acrqfgmgv1R2wk4TajD+gJpQDke/zSflTwxY4bBvtOAyGOvPIXYf7PLVNKvJr7UthRGmV4brpdhM
31pS7hDRq52suxd2+DfccBVW9ClCkl3vuK5Pey65aj9FzDuT9jWcrGOkBcfF5Ar6vfzht3sBFzfG
sh0sbVZ/k/tA5fAF+M1qU0wc5d9rdn3GlGl71ebLVWT0p9Ap96RfQAVOxU8T2cSc5ZlBmUV9lyKV
CNAPSKDTMsQpS/tW6zmiSyvuuHuPjQ4bFzsZY+XyLc/5Nlzv7oZXYZMff0/huHADrj9j/b9aJUkD
sw1/yjXNmHXMQor2JcevtqlceP5qTD7yIL+UWfJTk3rCPBpWHixDjGPxWUzQKwfFWRhs/bZfL1Td
XMmX0rodF7nOoD7cfG1pBW2b55cu2GX26/3b3DrXrQNbFMaRp7vzifjF9GrF+zDrQh+qoPJjeRuW
NBs7s3OE40oEKLoaU7MiXpoSngtp2zRum8cW87cRsUpGwfxxA8iT1XO/2gdy18bjEnOMh1jykYr1
WpHaw3ruUonI8XuqCQERi6seo+FhGcDRweHSsQBeyDL5SURDcrG9qRyLfaPMXQ+ivRfo/acpJwpn
kNs3c4jndXI5AJXQtii7m8KlZm1M9StBHoGkVfqDj73bDpmaSGOXNeuij8YWt1GUVl5PMoSFaGRu
2N1OyU9FLH9DrmVTD/lp1NQDLbUP8wJotWAd66NA0cs18kFi7TLkLe1Hwho8XNnFJmfztD5D4RnF
m4AXFH+d2vFHwTNHqOplPTZsBPmkmfuQjBdE+tY79SHS8x9IX5dpwDEZSxq/GzFc2oi0diVPQjQu
7jJMuGHyoNuKparkOsTdZdH3R3ushqMAVBcfye4/ZReACYeFHPLqsOeOzkXOuortZiOs7FA1fDuy
/qYXWuonMfXtaI1XNm7zdGx1X59sBAlVXE10sPhYeF9njrA2ad+qq17CajURaM5Z79QDnu7B60Zx
azJWYPoOMauMf0rHHDwK4DbRoDGJCWGeQ9dFFGHKFLEF76dyWxXJTSOjD9MgRvR7LQheKrh4ErLS
GCsQ+/1MOg/M0ncYc9gbSgTCiVKdTbkWXxO4TRMea8Yauk+Dt8xZSNCls+lNJe1ShqRIymEFENri
Dv8E9GBO3nqndY70DavY93X005mcwzzT3ie+BiUP59ituSfn+ZIjSElqYLb01ETA0FPOLM1DH4rz
4pDw7nHV/J6B338j4Vl5bW8c+Jy9lZwSCP8OpjWvmllSaAzYcNpkHT/HVA/rzRgn5u3v5cqW7SE1
39llORs5Vi/a6Jxpl/SRIF7X+oq4nbZYXj5nzJ1/nk5pJh+/v3mqUjDJxSGIzX2sB0eMNGfRcWVM
IfZ2W1tn6Z/yXgaG17JlgT+2DWIidTG70RwvEguJRKs49QEsSPNy6M1LfDOHTImbCn1Os4+LVftM
FHEu6pdNJRABiycNvyJ67rZzZ/bH5XfeUo9hHKTRbNcrv52Ym6jVBOI+D6X4Jkt3DYcT7h02O9CY
FuYwjnWSrV9THlcNmGEnm88v6kHadNkOen6g8YPfjbU9UkchTWTX9NDkzVbHQjVQei2EQ02Zs0lc
fediTVmCNTrkHGnn2kR9sCVrxmCBJu9Lc+J9Qpa9ploqNhAcFp1EJt28Wr+feEVWg7ZdudzmGtfU
gm20hqLKUyJdHyzvbjSqO9ojvHG0TgzTNk6HJIGhWGPpOE2WbzHTrsgBubn5++9n/Y3/BU24KyZM
K9w1ulFtW2iSTYsXSh3VWLFB07ZN9m7PhWdG1hXYfigBfMw5823NOPH/JHn6GzYeUssPV89bVm+D
1wizv0RSdjSLiA8MPNzchmt4kxK+Wb6NGGHbrqbqud/Ks6K1lHpuAJA9nbsl0JA5zreDDYK8BOoc
8LvwljvjVpCkotzvoKFcYDd5SOZ2H6vurm6bLXrFYWjw7JXmJT6JA8rBFvrqPeWvdzDTNvVkMATm
qNbyyI/1atM81QPSTKtt18MXci+ZwX6w5vswubfG+LXud26T0TgeHOql3ZcRDcZYebOck67XW2UT
Iu7FhV3VOH3Mi0HJYzbRMT9g2goCIlGkpGcuiMW6MgbzEgME4SkIHsmXa14EZJVoqont6GhQTD9o
5qfTGF5hmn5HH1pHaZCegXI0sYkGvBSFfZ77GheDc0V3O5OdlMnmXUxisYVUjw8MzKx2PRvN3sZ8
PcAWp/I4qu2rMAn32UIeEusxebd8FOfIAeg/ipMdprch4qI9u8hIGMTn+0GyzwjNKyeTR2tJbnOi
HK0EsOfWmzyluFmJq5JqaUtCcQDGfe+M4bLBV3aXGDwNOZ/UnzdPs6remwLrNYA/OjN41O3SqEmv
arW8U3Nylwcpxt1m3uLDuyqDNR+ABxpnrGeWdHknw326gBWYM3jiSZY9dfZIcpnbnDHvsAcXP15T
aPDjwmIgZNOQA/FHBeI5IzdiZDl22S7EkVBxiYV4ovMUO+xoYHdb62UIXG+DnCFKx3BdhQH9pMul
ZIQMplDb2JhAKPJdk2Q8IBvMzVC2X2Cb6smncjXWGyras7YgwMWmxi74YfPqXC1ZWM2TuhaG8YQa
w+ucHgGCY3PpOTpE2szNQePoRyDPD0WDpBMZ6bGzq3MyOddxRP0uui1mbkgD5Jp+gNQEGotf2ypw
/hGokFg3kjjIL/SkhwjO+jWmMdgY83PW58+80uklKqv9iKMjjQHIu/ZPpY9IQ32t+4hNuafq9tBV
E6JyTyV3ieYXYyb3rcG4l/1YX064pTHTmdcpQ95VUrpJDFYLHcBGhyKiMhcutBW2MAGhrxuehMci
NXxngIRqj0WC5dF5CYf4sorS/qQtsePRxndOse94rMqTG6SNG7vaLkP/apXttLPQf8ogvA5ooCLy
iqKdu9ldRIuXZz2zp7A9MYTP81JaSLEkfqK1QGjZM2Fv7yvdDE+LDT86ithzSxCtxsLSVYPLKZqD
wQhuQp5z+u45iQvtImK5TgrmohRk7B1FxkaPA952ULSzEhnfOqUo4hQdEllybPNZUkHVFHQOOoW6
ClEcqQ2x+20aF5+OcMirmOd1qMnUlAW9hXnQA+yAs0PngMqXjpZeD7DgFwQCWkVK7clZCMuVzqtK
ujNtEYrFWGyguWZ4c4NzmQW+TizVyxWEeYRyJoEWLhlzX1R978do9l3NjsDm4AluzgiziFvHmzQ2
At8pa8F1Qu7L7o3NjN7BMBrjcyB1EhkKuzXFUhrjNCvCZq6J/suuCBObnA4PJZaAI/dFPPcfiOlH
6tEm9jO0H8yWwdbbXjzyUz+tDvmAanT9SEj6FSZkvXhhBlQ/7QFM9v3gGYM4DPl4GOEl+iqOeavw
sqNHhqhVgNfdVGG7aePlDLTnEylieiz79nEK4Sd17hN6WutJML59qxNOaAT5tfIVzZsGLR4BqaSU
RwRvYl4AYczBsE1180NkdUTJ3OgbjJ2xy6BOUPxJDQiLs0NquMEVwYOzytyIO3B6EXb3oq9mPhY9
g6+AGc+259rBxCsB/34ya2A3BACrOiNUCk72WGiCpFLF3k6TCNbU5pQSNzUJky8NXSsqsTdJ2DVA
vDuPVhlQ4mb+OVfVpdQfUMW6yySjpVIbfV2jmzdE3nbVXWAREdUN96vMae8Myk+HkH0187ZqxMRp
AVzc5JU4Donlp4YZ0wCfneloXjcfslp/z02cHcuoOMQ4sTywlmr3TfGoZGDJNS2qqxxJwy4Z19j3
GIl2I+VCl05C+2WpCeiWjnXZSl3u40EhiteZZzTudhIJy8fZNUgMgWfRErP3myQvPOZWD1OY3dWx
Be/IBjJ+zRJ18Oxm+Sj6xgCkQQQ0XwgHMOZqUKHF6xDkxOlKwh5jog6UEL/90q2s/IuYFlmYXh2S
4sKSM1KCFwRR5+nd8FJiod0EUb+1skVjhLCrwtukYfCiIALj1rmZ3fw2tbLWL53huk7ZBcVNWu86
rdw1VdJhA4Pw3pv1ZyeXxacj4BovzdHky25cU3R+Y34M1sg2rSXRa1iEUbOKWIgCpZxye4Y1kcVi
6Z8yFDvdjZsNxOfb3iU/adbNcSRRCfyDPPdUZn5vize3RJxmOYWmRa+mT9iZzT3zLLaOVKWlYbwd
SpZu7fLErkdijSdra3N6J6OMfTPpS6/B80lGFstx+LNQ1sFtkr2i44Rr80CoDwQvusNCqDSHPUN2
4WXVmMsyunbM+3p0mZ4RBl+M9AGu6l3V8dYpGu4/+ilHb8kd6RX1FztKAAi40snkfZoFAbYUy9ZB
A5VW9cgl9biTIVaZPCJklxOGdNJyl9I2B561qgGz0y0MTKvwYU5EjBmJ4xl5Rd1Ldf4taxxF+9zK
8bEV7ROYNmaHnAy042InLTaEtai049i3I9iVwl9iEsiqHx8VPQbHuSeTnEQxVRfVuGsLss9pSXZy
YHe1pPIx7Qfot+WNUtN7PGTI47QLby2WTV/KIpo1J9SzmZNz009q11PjLEhpe/T80o9XpPVlGmEI
UymhuLUjbiEjqglg+prNa0sQDuujBkQDVn6tidx9b58Tq9i1OiGuMmfFbNjpj2ZUJXMpuXbm6gvO
b3VangxCPS5bMFZU3Pl6iXBRdTdQgaFQJw85uBj62FkOk+PgL6jeXI0FpbMQYI/eItBzMsWoOdix
tWlZMNEs/4m4DIA6yRpvnu/nUX+sZT/zwMz8duY9OafM0BqRXRh2Rderavw0BeqcWOWt272nRBMb
ERJsyqHtWgZTz6YD3yBYwZc4R/0qwtkFEmUX2pBWiGJeG0D2XAe3ZaDYi4aNgfySWOx9xytFPqwJ
vuu5vFa1vBUGZg2D4e3J1Wqe7/F1WIm7cGbwwSvwiXUdwj6hKhMXLCnrC3o2fQhjG2GwQAMs7Rtu
Dgaq7bfdoK4BHQQTz4pEiJNs1IklPKVMKjcOWXIMgWaNt02W0pok7IeqlhnhOu4j5TKfZvAXNrjW
dPE9x1VMnrJ/sVMWTqwffKdxPoNc/4RBEKHS66MvdefNqCxMUQhLWHqde6hc1DzGX72ev2IHRipr
V6v6rD+w37yr2UDtOggWcOKy3NCO3GepR7Gv9JYaSZErdtouAfPOYhhvJ9cYkbasZzPF0/H7B9Cq
c0QhWR7eZeGMI2ESsPc5VSNQ/DFmS5YXlnszmwhHZBLEQTDZC1l0nkRsfTpdqfnx2N3rDp8sGMSV
hWPqLMPsxqxF6ZNXk7tJsSFutZxLctHAC5SnJp3MPU3jFxZW17DFXWDRzMvwoH6wLKw9mourZCwz
+ACC4XruBoT2BFT5AKIy5LP3sueVWDOMGqeZyo0iLDaFovxx5HaTeryisfZwJw5zTIBxHCt8UU9x
QXTWtlt7k1sfpfFZKY8nae+XkO8BmWwN5qaNbLGplfS6psMIZ2A2+83/N5ES2CCuFyXqu+atug7R
iLx85AMDyWpqvuz4fR3o2133sg6Tgso+2Ung2TVmJRUuuBYbkxhIdpms27+c+epM9nSTGIT1s4Eh
mozOWd5TB75OUEAuAXXKom3qGLfUy77GxCn/1Bk/p/8afpc3f+pY/4Yb4KaMi65FU0O9+kd1S5Kv
lcqUBm8KS7n/qG51gZrxT9r6Ju+tHR1kTHwj4kcAwVOR8XQxvV/l71/SNfff5fk9/27/n9A2TYG4
/F/+x3/784j67937v30XPCzm9Sv893+/fCe7+4/K5u9/8TdlU/yhm9JEulS6C6Nc/G9t0zD+EKiT
rms6rqELpMr/EDfNP5Ql0Tt1aZqO/SuI/i9xU/9DIrELF3XT4L+0rX9J3FyLRf/+5KONm0ABFeZn
HRHN+Yu0CQkzrDJnRlyymZnGWD78oXFuMsGEtnQTl3n2mG401jSBQstnsP5UxEwAJ56s/+Q6FMZ/
8lmUtKXFQdK5Fv/yWaaoJ2k3w8oYcVT7jUajeC9RwYYJTIaIcuZ22bYWiuo5VV2G+KEwHeobZZ3c
Zo5RJA3pU0W2ypclu3W/ybUtKmrmPZP1rfunXKXsCRQTgYVcgl3c9AX2sXhCk5ynZltWydX6T4Np
oPS94ft1+b0R8AF0g7125RbxfmlpSJqSGzlkbzp71n9yCP56K3I2LCZCrskloxC3/3IrWpN0bfy0
BpG8xUFRXswtW3xC3GzJABawyi2i6p/8TsM21gP7l4tAOI6tpKOY0wl3vUj+Tt+WosPDWwMhMiUI
1rFhAaRqgnQVPS3gS1N7fIrH+RQoQh1UTUL5Z3/Qt/YFCxuv7lHJGhZWfj6/YYmUFwUY4E3UOTF7
VYZ4nSy8khJBgMD4q4JtNrCZM2KG6JW23EE/vRttiJBdap8XGtRiycJFrm5fGboHEY7vCVAANjR0
rRgqfUO9ynb2Utw4GNI3sMZejU/DGSHeuNVlq9tbZ1renZAPp8q9pL4NOKJ7YMHzWlgJnC3WiTNC
3vTd64ONSsMTWCU1uf/YtbypZdmW5/2HI/GDufHJLLUKfMS4C2Jn3Yeyh2qj4GCOxjXJxCuuzNnX
bOcULAdBX5gZTmcYb14/KzaMa8Os3tCl85AvEnslhwV/52NliquZOj+mFPTSElJ3A+0qEeVbGtfk
QYyTZrr3qtPrHeOgZVM359bEcB5q8j5XQE2IbTD6aWe6SpRztEL1LlnWHuBOEqar8mMPPyToy4tx
SJ55Z/jKiXSKESiFGNzT4ix8cgpjHcKRUBKrob9PaRT3CLFs3bh4TWfnzhqYhen23Zz1H2ODFl41
+57JNK7n5Chtui5WDCYlP2+ay76O5csHnTKbNXSyzeqALXn4m7YqL5sOzLNk11PWZrbOZDg05gHT
FNGK8ZMDYOztFbpboiw22N9sAA7Rys/BFT6vveN9UDzNMf74yHzPSoMOyJQfpNnDrd6WnwQ73kTO
yoQHHOFo8643qWtMNYpHG1JwKtOeRqgqZgCcJzH9snW/nLaud2IcXuaZ93cYH0qbQYutVyEOBC5V
krw3bmXQLLVMftwxidEb9yu3GKkRZEtwWqAO6fe6QVkZBTJYCmzw1KG4Uxm7ytLhPS7CJWKLXHyE
+fQ49xakEbBb3MT5tsuSQ1oAukwVQ9sgU/skt5qtBLao229hyu0dc3fhQDC0DQpmAA0YEWzU02Vv
z8nJtWbmU6SFjICxPTfZLSxfZyNU/IDwyfZvvsCt9NSYr4kOawmI67CfU3Vb0HM8dmyuOnWTRT2n
O8OHMtJo5elkoipIrGc7GTc6BTubFaKI0RJl2sZNR1wQHK5fp0Az0JGDbdmKb0wpdovEWjY7d2yB
ho/qaQ5aBmRVCk1EqtyHQ1TwfdE0yOSdeln3m74C8WrZ1EBX2bhXNeuazhgRQmp3ywiOIdLabqSC
5hHXIky0VOWHbpqPIVcE7AQK47Apx1P1FAc1/bBUnLRxQcM9CWx8ohUgFTQJFrvrTb+4T2TQL1n0
knaqy9swf8qz4Uz97JcsaYeXVdjdDhMp1aQOjlXY7EdCME3cd1RD0vdc4e3kyfvWtlI8aMUtqZOM
e5HLwLE6G+iV85x1cE9JP3EjKS8cQ+YzWClFZd8S2FquZDWBe3Z9yxCUZLo1dsD8igjDNiaCZLar
ehsflY1oauYkiKSsH4r2Ih6C6CZVZJJHh3S4QQi2LpBJq7T/yBJ0Y4qGDAVFE6jNWvL2k+VOvZdT
6ldG/VwWlLvRyIkT1zmHbbNeP5aPK3d9fsB3bY1LY82wjuuVZvUgLUJAzKou1rFbkG4XvHqpKciB
1GENCsS8zXI2aDJPmGO5GNs7YeLWkBYjldh4DumuK102GUkXTtT3orDqJj1zwh12A3XASMZp65lu
F2/NBFAB71myw4y408C5QWp8IrOErTCvPoR3pNP7iwohiDlafh2Ye5as017hI+kbXDTW2ipoQxJr
DLGyDC8jLbwcm4DeJFqBWs9Q3ZqMc+7qtTmwdOHptOeGvd42zbWJsWX/1Qvgys3oPBMK802LJwVP
9dJPpoWguVuQsGNIP3YYZEMMnI6aSHAM0vLcMD5FFF+Cq5LtAeb6FcGDDISmBhACdG6+3mKP1lLy
FmnmGiM6Z6djb8Upum4k83ULIoajgdwrzWQd8CvpzWStdpYJg4xg8E3csGDR3TDbgbQ3wWJkbgLd
ZGy5Jbuz0hRGV/hRV1bYYNNonorBPpYpM6EgGw9OyJqoxXu9s53ooyi1n9YACqQSbU+goGdnyeuR
UQj0rGC+Md3B3NbY2SvB66Ouw5upr081AetNnyl69AgLDFa+bJOZft0McajTnBuryM9MZB5nE+hL
DTLED0Z9ywKg2Q4zFwf+D1TWkhaiC+zODxKoqFdX/KDHPkzqE8op4cUOMVxgofVRN6UWs/kk4rkJ
gpLGuNoAQvRTieV+WigLgkmvkkrtG25aoCSUbM3aV+sUAbGCtEHUJiBbO3KbB5JvMgNrnZyJWVA1
A4vQ7logd8c0gOGchkgMC2q9hbKdS6v47IJqN6QwrGvmf34bPxGG3iR6kmEcr4FY8rQyGOnCDdlG
jp0R+MlCfPlusAkb8C5d0k/baBrsvd7oaDncmxi8TvFFDaoZT4CFA0r/gR1zHVv4fICbQk1GCqif
tV7eh4Z2ih2HW6oTF/MoH9omtXZqMvkLiFLAF8LdqEBG9G12EVpxv3NWnmmMHctoz6F+GLp525kS
gcB5g8yW7JYGNS1T9Wu3Ap5VZeaQ3eofLFtcjraj7VcicmhmZAVLroo2hQRVpwJKARUMfoPdbiGq
/XtvyGV8jJTxhc+Q7X/gJtv8ri9MCjJTr2+FuYsTXIKWNXrBpJ2J+O3CyUDICoGHtIlVE+05zHZ5
BeBn2LSwGzdNS37AKJmShrBFlpQYdGc8mrLdp/AzVDsREgSEDLvD1xzYJg2ofXPUg70Gjawz9af1
ie5VVtGQb6hIoa7td2l/ZlhxrbnueDWQpdjmCFAa9ZLmiBcp74+4vFK/bgxQwcW4nZn5j7qEMQ3E
3GwYC+chAbqA4DicTnmqHHvaJQxPNtZkf47CYhYFu5fZ1iA2xYBXqG2GcJc1Xcj0qSIfMqWepnPU
tdA0fPqWn2Oc5ZfmqMpdDJAJeSp0WBzU4Lyd5FA7jE2m+qnBlyECY09cwmOmvuMNkJUXWZYZVyol
ehf1TX1N298uABO/I7Qa+Q49hkJBee8y1qpD3ED6d3ZFt+Bk4bWy6/vsRGXC5RKGb6ZRXzl0P5IT
6iKfF8GPORTgw81z7WjywiwSJDkUfb/s4X1wCFI/FeU1Xgc+K5bQZTaBKobXCT31sxmqC72p90Fo
mBdMl/aBGX1rAYsbsgoMMdbVx0xLMvSExdwRMrq3QWZ4ACsO8B6cSxdPLYshVMW0DEv8cd1VAN/N
q2PxNhbLWhgCDq22yNqKDjY59YIEXhxclzMxQdgPqfHtamZHqo5Rug6Fj88PILWDrqOJKNrhDeJN
rMxuRzOr3+tdfwVzFi+chp0EwnK75ZbYZ87wpqt1mjlTrxY0zRcFXsVmnHk9ZMldr3FmRhuRhfxp
B/Gm5+gN7s2oRV+9SSgrbMNnp2I2UvcAnJw68dsQ0RvgLSwJlzifFVU7Kxb1EWfjeUqJ9NjWAXy7
j5USqAqJMQaD8hbCoOINfrDb4lVMwWs9AkTLajc7FW0d4+FkcbkULaGW4KduYQXqrYqPVIZDHWmA
sj8J8l+Fqc+M2RR3ZRBrG0ouuQrEOoa3eByPQaV7n+1ojz4t7O9jpr7i9aoqp+E1V/hj23qBu6OZ
3/30ohbD2jtx8LHo1cjtt6kTwGCWLnYGRCAYt0yuWVxuMugvmmzBZRgNr0xbHdzZuBkWoK4zcdtN
zxVZU5DZvPetY8LIKB6tdmR3rbUAJ/TPMh58Q/V7u2E5twYDHSnv0QkST+P5Ozfx10zVabpU/hg5
l7lr4HLAfliGnc/u6EBQrfR4iR77kE5rADMi3aU9Sq8t72vWk4FOKCHt5Bey7dellVjEx4eSw4MM
QrJMY3WbwGPd0JuL48F1LzrKDanVTN4pHuYzDIiR9PdtJ5gxK0GdWLRFV2defQuL6UPSm+RlOOYz
ps6ppTKkvKeYwJMaDyB4wbpSz4JGuu3c9PciDA4YP75TkPSpnvzMlXmlNfprE3Y/qA+lPTHzNo4R
TQY4tErahzMkpTLFgBLfogk9pozbDroa9C3YlW3tnAsWWWM2BNfzvICXnJx3rS3vqasRZvdodCbF
Ai13DC/xqW8/xJJuY8WapgLGmJrTh5QDNCUebqduZu1SDkSdmuzJagtnX0vjWu+LTxl0aos1pYyW
s17N+s5ZsPkoYJppJu7aBmWnFP1tTX4e9I632JBWqR95Jpd6zd7ii87kDfy/qw4r2kbF3BpBgMwB
FvFCbx3UIIcoSY4MxX05DtDO7srB7A6uzlIoStYIr0J+B7RxG7Fp8kzcnrSLnGzjtUpWGLTWnROd
klALE48BPYQ3vYui4Tqu36nUZitkkDCU6srq6T5IXMMPKsLb3GL+HE0zvDt6Si3wIj6Nx6/wAstN
BHN9ykEBlVVx3S/rnghwFTjLgxZJHd8BAm6FmaFZwBTKuzmogs16oQpmUozoN7yUcJrCDdIM6kFG
7SZrWW7Uc+9Pda55bjrhzXTma7NIeUdn/dVi5yenwJTpnpfUvGmsRt81NWtxl3RpLdBPbLYliTFv
6RgeRfkZx+hBTlt88/jEKbIuzMAdbXl6BSchxV0JalZVFVvPWP5oi9tsQkZbm5514WmsqUrMI+s7
b7gU+qI9dkiUC4EVNvnLtcpnuaHl0ye22m0Yu8D4B7kEKWhLz8lAeP6MzWcdBZ+XHiLESpGyw1q/
TvL3jhITqi9wpevSy6ykuxwqEyfYtK6JoGjEJNhZKyEo9vROZEnfnpZk8lkU3aH8X1cIG1Houj6C
ZOxRgO11A1Qm/MjRaD4vJMgYsWWX7lB8oTZiIx8tA1Ljt4ErfMsiN4pwhFg1L5m6sr5FymM8LZEO
HaqpdB1AFz4lB8DlVb8IgOCxnWPN/m6ztxZFes6n6FyH67MOK+eSloehGkDwKDiOjvUTNzEdpk3X
e7g9lQ9cEWuFZNYzp3CGxmQ3gifsF46UW24nbWJK4FotKHTiwQ30JW5dpmPmc9iIkzmQ8sDIzhh9
zkkDuMgz1nLfuNNVqRziCsawE3J8b0v3kAwx1RHF9WToqLICC4JEgQao09rNk1UNZ3Cy+JTG7rUn
2q6/pDI6TE78NWjEQ52LhC4Jn8VzdimM/tAZvAUIEUZ+yEuS8Bj5j5y3rdS+wuJlzCC9ja39Ycdw
HFU+2X6s5LtuaTzuJ8pTUtMZfFEWXlfizgGcZ+IR0KpdLtMWb3o3HNOM2yoo/yd3Z7IcOZIm6XeZ
O0oMgGE7zGF8d6c7Fw/nErxAghFB7IZ9ffr+jNnTk5lV0y197UtJRlYk6QtgMPtV9VNt+l/ojJ/h
Y+JXRAQaNX28ZzO96mlpEeyiSTMT8scuu2LkItZZLxn5YW+reiaZczvUR4Rrj3mjjaEYFS3MAvMy
TPaPOcrSu8Q9DfQRg9NS58modwvOwqfKG18sb2ZQGPbNSkea17aMcX1PaUokyyM3Z8Q7ksn1KQl7
CURPckrzkAgNPz4Pg9jpevGd59MtApqFo+HAN/3cCcaqSQzyqrXjvcGBazffeXEXUonAnitYvBWW
BhDRGWzi2sk2sqh/pVaruRoNTRwJqrxiWo2Rpve4C1tUAMyGjrNmvxWsjA46wFRxnkixVS4Rsxqq
53dT2Fs4V5mBYm3btOJKB2m5SkphbX1h5dwj3U0ljKAzm7ogFugWme8oI3HyKiOGCVIm+7Epa1rO
Q7pKkOyxqnJ7DDT1fEspf73j8gZ1U4Ao8QbcYwQGgfrjRqddIbZQ9yXLC6zu7Zi5d04xBhuIA6du
ATEuJ6feK6c8tTlWciyWzEqgJNkYbjZikfYRNONRjc66ccbkmHhEpN2GOaerDlzH3To3DoDi5ENc
Beepa8Yd0D8Ja54jxKgXyAo7LCejI6eP+wkRmaYR8KJDku5TpmQJdIkHnCQrT0n7FBfhbnRYL8Jh
AlhoVpoVsIIrSK45jbCqsmoVVAL/McWfJjyDg8shsKKX3uCTr1O/3NYdc3Tw3jDs2e3jEjr0bV+f
S+UDmmenPDCb5v2ijDuF+xg47OsztFbUiPrYeOfFL+rnCjROlSIekJ0oePn1OWwEOoDj7HFB8hyz
VfwQtEBRbeuBbVB6LH2APGHMcI+DecjjVxa7DpvWIc/nvdGA8ZCF88rV62+6BDjFbBBxqKV36PPs
W9/h7QGudEh8IzuBtNm1QefsaoHrO4GWAI3VRpszsM9RHbV3tbEZmfFUEvndInwfnJRc2VjTImeD
Z6RWm5MhzCZHZDvLGMJ1GJcTlEeCMCBh9vECaqcLPyfurVPsUbgSDo+lxP8fYVA5EbK75XnwBumT
6o6Rrb8c4JHDBaCwgmDU1wX49SnrdEPLerF1R6i0cLBN9hG0gVliX5R8jW1aeoeKObjsmQtFMwAa
BHBiMulPyqzFXjVhsmtfG2GW7yHT8iinZzsMT0lnjIe8OhsxpueJOMBT7cd6oUveOTDxURns5NJa
OWd2QXWzXF0G7HunpY8g17cn/8QQVlvCBx3GS1ktiGawty0J77DPz+wBvoLZVds8a3+3k/fZVvKn
H/bx1jU509Q+K3OI6G3krXswDeNcE+LYN2Zzldx9d03XXDt91ixSH39+l9w1s0GN9izuiceMUCN2
RbyUYAYFbvi42eJ44fmLJWvbc7hcdX1t3TMI5tktjZwgvkt5y/BrgTZBRnp88MnWsZiZbBBHkB+O
OcKmhEVk5fKGv4b8BE5BDhjhOwhi6pfwRrAvYvJpfJ8aivQgSUxb8ATfZ2q/NhNtCeTZ03lrLvz7
JSVNNyNNQEJpCts+0Uf0kNLkp5OGXz+KNZNNnRTn/38U+k8K6r/QpE0tOf1NknKhTzuO5duuFLZW
yv4kSS2AlpjudOZqwPm4MdnALdUwblo14FpzWAtaj2rAsDZpQjH3dVx81GB+qHWZ/ytNzkSG/dtL
sZEjhYUeK+i8t8RfX4pNcFV6Cy+lHbh72jSsvnle+Jo22fuA0+zEdu1dYlsmRWZdetvpz0buvEF2
AwORxUwd2vH+f7SC7mA4/NPX/08C+vpHUf1Qf00H//Hf/LuE7vyDGLdJONhDQNcR4f8bDzZJ+joB
iqmAuyb0TOH/SejmPxzhAKO27cCXtofm+e8Kuh38IwhM/j6R4sAyUZz/Owq6/S8uD9eE7ut5IrBt
guJ/vTxmETczFjlrpe0ewUQmiWbFlTu4AHWKsyCbNBgYPHTAg9kflLcBZ3mTfg4Z08LMDG86y2Tq
vzakp9wY9pnpHMVATpeHKA7FcDtL/qCIFiuvAQwY7VKqLzuD0F7mcHSfkwdVFx9W7d9i6RzHKP/4
07fxL25Gj5T13+8AVmgL8wLTCwtcw1/fYgnq0isUsIpsjm9OBiReZyC/4nKWJNfcF+M2wzK0MvXL
zsN8RxEHfO748ytu5+DfQtWivzQlOq3TTqV/LHRUFEnpslQJnUn5eVl4/RUp3ACaa0rmUM+hizR8
zy4tH8TUjIfWPSvbfJoJFiDK5ee2D27+tIcRemcraIo5ZaVlwdIHHddnnti80SZWLMmHDKDM6ehz
FBcnffzozfiDPhwO4vRjedW+q6hWC9wSYpPOLhL7Csg4mhl/8EJnpygG+YpfhRx51q3OR4/5Ni3R
yfDRngfGByCg7pRPDlgnEwW+2ZVOuk1hB6o7fSKJ830Z1WZQ8uk//3K+XBF/XSk9adnYRbQd5J89
A33JGH9xOMy4YYVDQl9Mk3MYux91D9pZnSJYq7ZXc6hl4DZjnzeiO85Uu2FUj84YngZ8hCF/e/jj
YvVRhlYW5Ms2N59cSKptTm9STsAU8jaha2zw5b7HoefSBoHlehcvpJuo1B2zgtRCvvXNs5rmXcXP
YzsLE0IeyH5wEPINVNb0gaf0OeE61ZHQr/8j6uVDwHFLfQPr1ftXw6AjtnQOOtuY8l9Xjr3PmapF
Qu7j0ThBDTvDhVsxPnX7hGItY/uff6SmXtH/9pE6XO6e52HIkNbXw+kvDx+LrDm5k1UcGD9LzloG
SmVYuMcAnoS0LIhRGOIb9VCG0/m/+N3Ov3je+I6UNpgBX7ByOX9bUARdIjVjaXwIkqw34ah4dDB/
ItW0xTlMoQboryOYMVrWZUtvCzdSmgvQKihc+okdcROVjfO0NCHhQmIwZCQp7euV/V3n7TtKIdbO
5OAs5GcB49/UPYKKDRjOdptD6hQf2kLzdS/33XVhfGnVXM+jmX1mdvnsB4+LxZBVpYrTbPbZF7B/
S33YYSHEmVl+fsVCLci8K9N6DQzBds8lFwyP+0OW904mriiC7aav2XxFSfVWle1TzfvAaslK6S6c
OBJ2bmWUp9/Yj2DD9G6NdHeBVb/0YI6YHrhvhqTINon7neiglOgSEX9ZfoQ2KmOfIvEDnkL4HDjY
Qx9InvAE/47JZeFeGI8zr5BEbTpwJbOTX2ZF0PV+sl7IrnAMA0KFwIFrfFYGelipGB5SRDERK9Kn
38YaCepOXrzuuFw5L7znwnvIjOwJrimEt8YyNjkSsZIJWL/UGvin5jeE+FtpYrWOlP/ItvNKQx7m
jkjMm4icNcU22c9m9o5oeYrcx5hsyHuyxIdUN82z/5BZ6mdQivBkBiQzcmZPBif8WIw0hSELy4mQ
2Uj1rmda6dZZBmyblmBnGaGBAyznWB7FhzYpd0VjbEpRPvZueRodQpRBhcXFwFUxt/3NrYs3em0B
0tqYRC3UcjZFF0Ni42j6ieguTtYsm57bSHwGAQXLtEau3KJcHgum3i6jrNrqL7Uqj9GAsMAFeY1J
aG2VHbbAJlMKhnSAkSJg8iSWe53rCthMwQEZ7RB2qXGZ4k2Ayj4U9oPbq5cEqxlBMBO6dTuxxBef
Y6MViJH3lGTWA5DWZjVRhluW3pk1wzqUWFyTmMskUuOTr0j15O47oP9Xy+brES1TjCqUnx0CQkm/
NlOyMwTlQyHwg2SBc/b1QuqH0cmaaCUJHrwgfGUGQ/I4iR5k3ontlxe3NcufRZ8+B238agBGm1vd
SMSCX8wlLW4+CpITRD94DAJrHLsbb+pQudLeFBTB2tPw2nbYSATatN2/UYfsPwuApiDGSCnVeQ3/
AAYfLaLfrNF9J6Xy7ixA0QguMfzg8lseZivF9E3jp0gLZ0eZcbaLBk6KIzv3keifqOXJj08Rc4JV
IrFbS0eyrIt+b6hNYfCzy3Gd0CGx13J+V6ptEz4YU/kwklFmdPvqC/VrjDJubE3irhilFMPeZsjq
N/AZ6kh9nz0iD2PdnoX9qi9ZB5p4ExlUr9fBJRyHl2IBvyDh5a7Gxj0b+AjQT93Xdorfaymx+uXM
n6LOrBktdD+kV5FQOHGRMh9BxmmnaR3bEjdZCwAfr1/eme2lYTWeAiZ3RZT+kv1MKsCuAg4Dzrvb
OiNdIBOlLnV2KfL2o+4GgL2B/GhDnluUUO3hX7QM3Qh82sX3Gd7uGHKqxfN+GiVFABHFy6XgCqDE
7Ngs5KBUnL+h7w0st95nRSekqQgZpFn9XbIGt0B8U5iOQd1EeyzpBEZc0E74ezhZWvRPSGjjoevx
xpXh7yIvfEtj1793i/FzQmbjjefXkIwWrCH12yiH7K4y+nU1hOa176hUyYqNUMG3ObPJVDTHxYlH
cnu+/j0Sv/qY//DllN6zB7z1ZV8fEsxOSUo6MuunZwUAdZ0vFrc59di0ijSn0mZuR7LIXFm5QJ5a
qNoLEIvK8i6KaLwJiJ7vIVPt3ZkVAFDmT0x0e6Ho62BTNDxmbH2ifDnmcJtIpdwFNjnmaY40EtV4
W+qavgHIIqLGBV+b3qPnyVPR1xcFst82p3O/4CDw4+i961Jokv1CciT1sN5QszhSTbopGvuF4Q/E
vygEr7+zMgr8pjbc1TkGRLOBVmeLRyvGq8AXigNj2foMklaySxRjYxFi3Wpe4u+dZwEmmC22eznm
Pc4JTGe4uxgu9Gsa3q82PYCmHz6UeUfUNiatroi0NVkqtkTvn7VdfsygvfqFDn2wb++XYxOjtw3L
j2Zm+SDhRbq/mAICpaPCDdFcyAPwnVHDkykEFCKBK2vOv4+mvKIeblu3u7Qq3C/dnQctHx8aZQNz
fyhqAmbW0lxcO6OVTETZbnHLRy+KxjsLSxV5IeyvrHlyQ3vzb+W1O9NP31zkNaK2u6iYzTVa47UG
vL+SAQq/6/UcSShK3IAEfGxDCasx4EkMSY68m826L74vDT4pnc5LrPajLHm81fX0MlbTtY0x/9nE
bIMkABigiMhMZ4rtWdL6AZrpTCxM1DZ+E/FRBOXOloeIzkDoIAsYQWwXRe3+JteC9By9Z7NiumWG
e2H1exAxNHRwGsK1NT+oXk9xVDmRGC+vIeyN1mWWjB2KT6HD8OVBkod3s44b+Q4+dpc66g583C6q
u555YFPdt8zOTQN7wGE0owcqUfZVPUk8K8SCl6A8Otqm30e6l6S38dU0TH1a47eRBRY+CfEsnIIS
VSepcFlE1tFj8YLfHt/hQ2IHH68dhyIGC4wp40sPJwTaNdTAZu1TlZma4sy18+xGSXlwnPFUJ/Md
SR5ORK1xJIX1rqXuTI09zcZcWvZn5fJsQONQW8OozqXpPpGV2rQjneFcw+Q8gbisXGf5FDL8vmAC
xLvlUPLCxb4JXR74hnU0m6jAfdOHG9kXLyPj3g0lYI8MmfEI1C/KHogBk2tdTcyteuJskUwO1EPe
XK/5gC+Foaf1cl0YycLi70tMFStdebmzrOwdWRznr/i5zOK1zhvuGCbiRtihnNAVBtHU0qHmNwVj
9h4CHY5NNzkaynpaFrxyBo6S3iUDOb4TuGNKo0ulXF6HLT/K2bv3kvSwZMbPYtKfIK00E0FIL87O
ErI+FtPlsRwYFhf98PVttrIyMQbyoGcitkNSstfOMkIhhqdADG8IFDjFjp8p0JbJpvP5QJqGIDwF
jxS9q1M73qJkOY+p6B79godW7LTMTUnOR6wVoeum+6Sj5E5VNRNqaW0KSur6EqNh4YhTW2/qkSk/
R1XCHV10Gm3/QhY1IVW/qoBH6vUiJuhHAXPUDz7AzWNMexhO9B/1kpBxU91tXOKXppqPUjVPlaXv
7nz+PeIK6sb0d6TjZQPpmWWZX8oEG2RYqNesklvTaU6euzUtHVyOflFo0EVzC04DT763TDgFsWBS
1EcjvDgUdGfeYUX4xFYHYCl/9Kr5umjaUDon56Uqo3USmtvQXGryavaLFSwYj+0XezGuWUv90oiJ
yUE03hKs3gaN3FdLsE+dnsBuS20JltlvrlpHfL4180MKLTt6XZed8pYb1GhuNlw+fogtJkLZJNXC
rgDoyXsC5XyiMS0V6p28OPbkUpLMpDFjn1L9ja99U/UotMbCFY3EEhCH9unjCfHJYSX2UtBNVf9B
XwjhxFBW78PnoGJg94WXHHu2UmVc78c8vblT8yGFc5UYl0UP+AgjM7iTraCcYV0P/Tf4dZs+NCXn
9eMQTA8SK7SJJdrT3uhmIfWAWTrANG31M4JwdnS1m9oII+2rdn6wrzja2nEtvZJdiHZhG6H3ra1J
pyXxPVRRXKjasR1i3WZlP6VYubHMveMivVQMTPzORlgKh2seWJfRdp6DJitWNJreguCbiUdce8WL
Fi/0jMRuYyN3sJMX/HY2KqZBkHnEbt4vy0Mr/AM0NhMlwsJ2hzW9HxN6YDGrO5jW+7n5oCKTB5/2
s5PmxDysPe6FR/p9CvrfuARn4sbaCz+nxXdf+Qdfu+QzoSgktO9qA22SdBsBtLOlffXxD7NMv2M1
p+nAJLBWkpX3uwE418iopNTWbKC13D4EYPn62Gp2NkZPDnE0bKzU2FzAV36rPGgj49y3m8WefwTf
I5dtcZxW7aatKqBOdb8f2+LR7FP6FXkz66iHeoCD4xcfLtV5g/AJKoKybqaCI1+jbwujoIrCfxwD
fldRQeNNI8GJg98xE9vA6UZSunwGnlcy7eDMADH74gs0PNZ3itcb5gskoYs42lVGe+179oJUzWDI
xE6tc4F7Dcxu5YEYKdqMHuyYPq/Ai5N1SZH8OJu72dJNz4YePsFWWrfRcJ3S4ECN/a5nxLUbe/7T
dPreJWYPMw4Ms7DaNZUV8t4PaqzznTRWoNRPQ2n6+o3bK7P3gq3X8FS3RuswoB2l1dhtmVbcJuQV
3AxvilUhwdTd1DQHM2YqSvHWG+meBOxGyehOz3Uo134B0HpvmeNlmU4F/3qejR9e5R+pUQJpFZ+r
YXkpJa7ZKcZIzC1q23tKjr/FVn52TPUem9gvqO9N3gE9rJORNYKxQegZJ9fi1D7wExW1HEsOXoKZ
g+WaDy7GPbKci/8QpvKjp15qXYv8Pbdfgzgneo5gNbvZR92SKUjXlu3u9HTCchoG5nf8P1uzo8VF
5Ab4meqtb+/l4J1FaD71dbFFNr8o4PaRzeG5u9CDtYt7tdbWgdz+mhmR4JZGcILFf5snZHGDEaJy
GB1lnzNF7mvnp1AcsVG5lRee5lKd9ceXRNVjA0luag7ko78TRP6cquqbRTdY2atNPMKcLkGAFTjg
mX7umlz/w2ro7JNRjOysA7YUATn16C5ool8a6kYm/L7nIVu5cHnCU10tL1nWvvkGt3rO4AtQ74Jf
vVbevTO57IuJcacG/O/gGCL1lDgb29oH0dgDjyX00nn30GAvSS/3Scs74G1LfOYSi+pgH76mxHH1
ONUcek3vyGd6AGlzGHkE5wvv35Z7w/J2Ynb3c+cda2xdFGSZQImGELpgt7yEYfe0lDuDYzOrza/O
xt1lJt0tF+xuDfpfudUOfWXBv6f4hCOnf/8F9fpikdlt+aMaOF7UezHR4KnJUlHKKBwMwXMwjtuw
pyOmwKgHpyVYtVI6bO9W3F7JWn//tsaQWc3VCHxoTExfujK4FSAr9LUS1pgpS/fUlXHA91w2Kwj4
Vw7My87XVZ+z9l9lx9aaKih2PMgkYRzLI5eC7vhULOIGheC5zJOTOfuvxJIqIg+c4vKR0t6Y9hWn
+j1KbdrgomapAp1XM1u3lX/rIq5Lk1mj2zjYstn+NlwuNF5x+s2177eb34iB7ccg1PcH5tMGjElr
BZ8gTILVEgPrmqv4I/M/qtY/Qco825CnbJ4WfQI6s5qYZuvpfjQ6gND87soxMBTWUxbw0/XvysEs
8fNWxgLXTJjP5sjaE3wkXXaHg5LTGxspPs9DLYe30WBKF/fufSUA4cGJS/VPIfV1rdqLM3ZvbCYY
44HhizRcv3F+lgBluuYNNv5NA8K+Rn4xRKwvJGfryKcvGqEXWE8wQMEuomEALL0vSJaMZr2dFF3r
/cxnFSV/jPpxqNIM5/Ftij77KIxoQ26LFs7YILw1gkGcWqxlC0wsZnsfGQGflW33LA/xt5SIPRCd
6JNi6GbVTe0hyLq3L0Cq0lDPP2aSqM2Q2Ckrk09J3b6ZMx8ee5V7LTaI2qSTOM430rqFlsChqKfw
WEf0JRYrF8H7iQHooxn7jE6pvhhF/fYVzAVKkm0MbVEPKTUUUKS+RpheBZnui+emf3xdgqhMi/dW
VVAgiBBWC8dCcIspWvOKx+v+C7hZc9qJObfmc+jjg/zjtzvoQ1WWb6s4fYzGkOZGZz9pGWOyAEtB
qqO8CgYMfuPSqy5uaNwy2jOmeD4N/QUgUQgjCBMdZkDQakq8irzZznVgXkmiruzAGBn7MTQtse7i
y6X3a5PN8riUVAdgG5834DyvqkxAdyEwAaBedvk03BccHXaxZwh8+DEwyHnfcuTmCSsjjGgwCqOl
dDGXtQYWblM8R3lz6xvzm7sE8XMsvFeDLoAO+n6Aw+KAEUGsI2hAe8VukCa+YF/ifp5KAcCLdgMi
AgxOMRT5pb9WLhtQ+DaqoeCSA1DybGYesdIh+yy68q2bVMk1vVazfyoXBlBtR5c0ts0J6IeX34ME
NjS/zOeyyB8j9vy0c0OfnSeMdnxPZ9tyudiC7lrCq0g1HHDIWT48cCPk8qx3AjQwSjBuRMq7ISBe
ZjbiX0PsPjCfbEV4JlgMQoFq24NaXU0dgL4vxSsx0vOEkwTajvlicEQe7PwsKnEho0U6Xm9RrD6h
UQCcmk86XHOC6QopmLZvvjh+I7V7K5uOKXprg23kVrsYo2aXi2eIDC9Wxhf5RbkdU5OFxac4cLS2
OjGu7wDMH5i92aOkPZEhgki6PLClMKnVA8jO3ylJ/MCBwuMvPMwcNBcG4Bn7EykbqkDpgaKlrJz6
l9GC0fglamnOZGi2bzkKDSnM3UhxypTJJ3acMPz0VYoP87hMzicXerfluX8t/eUmEmiCOUZ7v+vg
jjfRJhow+cgMbcByvAcRjr98qJmDNX5TH1YQfQhqlDPFALfaOjGLQYyRbuIxrR+Y9dC8fb3BgSyo
zMKnaFk4Ow0bo7A59mhYZoQ3g6RftEuwjhkpAwCditfbN70UcK5FekUu1T9NPycFPa76aR0O3k2v
Fxp5qAmRX2uafgriOeNfZh9ztc1M5Av9noPJvtcPaquKPr+Unf+psXd6//6kXP2TZv9/PhoOG3+J
vX/9F/8Reie/TOodLrdrWVr+/4PnjWAvTJ15DzRrwHJspGRVNl38v/+XJPOOHi989ARfkv52/0Ox
lyas74CfRkjeJ60u3P+OYh94/xw0F7wAsvOYsfB2ePymP5tLaOfAdUz+BiBRd4IMNO4KM7sK6IN4
PMx0K+cCRtY8HNyqdVDHIncr3YwgDhJnkdjGrgSV6nXcahC3LB6bcXWqovlnNpjxTVHW4eTymRAQ
8o6KugPe+QyOGJMgfhL+aWNiJbQ7DhslmB5jqWgvgxqWe2f6w15iGyhWJ8gcmNZ4TelNwuoZrepY
HiuctasQ2XmLrcBmOXKPcM9Wve80u6RiHhDi7HSamvF/+b1w4wPVMSh8UCmBbepWXU7/D1B8mLjJ
uzLNtnFh6vH9Kq79mffSXO0U7m7ku/dhPx1T/Uzqm/SXMcISUmXn7FO/vwuSTq4r8Th1uMqHmNqZ
KXQ/rKF210HaE1ucYDLh3TNN8iuldY2h/W2E5Z69yBFM1COPPXq09+Npm8pqwe3OiNHwySxGRXDS
ukgeMLK3u80U0WPvxE5HLPN3ksHZShb9P1V3EdWJAcvRSfnjK2b+raHQLGI966uYWuWBexsq5xqG
X/GG6QLtBOs2RmNrinQOmM8lGCcipovklNkRyLUqw9zUP2bhXuMKGBqe09/CrhjY37zSWadoXpPP
7BP7HIXLFfSsrpMXRa8X36N47wYyv2MaVSvHYtzQSgi+M1MWs462UTE8RcqB3ZZM+6L36XGR+QWs
k097xWdieD+kxaDKKu7q/Gk0FcirubyZ6mwY9oxrkXR20qAwsb9bo/b/nuDRnpsM8SGLeyhOF5on
yfFET52If83SfW+olDY7gjOLh5aCZW18IrsMUigaqxcKnCGVzqBKu5ldb9cg5vv9tZvnt3AAfDpn
yc10loMo8Wg3bPyZgCKKOsGhjbFvt1PxjQKS16LLLyaBGCcpgCkDZFBS5ZTTcKUUI9DzWKp145sf
kZrxHmLeXs+JwFQa1zfZG78zZcqXII3BDkcvJP0zkBLYVmf4mE5UHVQFdoIYV7IOfBflJV5+tSoK
AOpXL2Pzq4O7OZPCmEvuE7+1INyk2X0HI21tVQlSZW0jAXWAFJ3uWANTXNe+/2MhFINOM2wJuwxb
ZSUXkhW00JRtvUcP2OT9gosa/9xcdCcORa90y96SmNF6AQ+IuZNp96eqoU9PSEhjw1X/2UgZGJOJ
DbKGmNFSnGsnv8/tBD63fGnzLQfNrUNHX+dOTNN6mARMPbhI8PoJ17yEGdveeCBBSYeqe2fI+WGG
kwe9Uaycsjv1ib8wGhPqqbTteGfaPlvmVvAsVcXzoMUWq4P22ap3I71NpcyPXubgxvAMkEtslggL
UG/j+beMw0dajtcmSe8Dybxcjt88f4fgSYwnJJNJppMNUmH6wKRaEEAjCszkzgVjJf9m86BEj/E3
1GDYW2ym91XT39Emta26Ak8QFlxzmY9her8U1AimP9gz+jI5jQWTq9E5uSxq7YDCEsIrpYKVrbGJ
ZI+775D3SKtW8OK4NapHQ1IZqYldhTvdpVM3bGU0xS9lOrKaRJD+Qx4iGxUG7dsA6YjASHnrXkH5
d3f97KktywoZoux+zJu9WsbrYrLzNXBSI5zyS0lBRk1ovi3NSEmXiMaVQ/8lHPLaPjBq8AgLR2zZ
jOMcs+BK+RqnNt1cBMUuaQ/RMQJSwjKDAZFwHUf/kQWI+GO2ccfmDvrEfDc7wXC3UC6w5fr0otl8
Kx3rXKUeWRz2UwQ0rG1pcYotXbQan10hZIL5wCAIAydJWw7seb5j17MhuoQJzLDuCHiKtQevANnj
zNW8bqd6n01UmiDV6ENZM6KNYlal1HZqj5yWLj1w9Ci1+6NIs0+POEUDMYoT7q7oG2ezGDZhzIH4
XmGb9bqwBuANlFNFJn/iUAsOhkTxItO7sg8cdE/cGOOCVJ5tvz5TJyM8ThtvV8yfsBRTyzk4anj1
k/ZkqOhBhY9NZZxE5RmbVOEO0USQHdoB4f+270Fzxds+y+Zt33g8XlvQIbb7M7bmvT3I9qjaCsDW
4AJyI/5sk8Ck5mbytnOAJSd1Zj3dFcfB6B7QpeOVjEMGJbM4go6nIi9ZBZLZ6zz/sBIgVqidgBRE
8KtpOraD1JULQr9Jb7UPvvwZ6fhD5IPCy8iQQhcmQAl6A2hgLI5J06tVaaYB79347jQNnxuLmuAV
MaSjFQ7KgiQPuDN6/6TS6p5+psyeCUJxVFlFQQQdKwFAO3BkR/fOw2/KM7fVXBdwSohNUEq9wiXs
oJvmFy6Un9A8+1WcqHHtZIgg9nINvPS377VoV/aodomDjFBNDCgkJ+gltSBP64wbKZLHyZEU8HRq
F6R4ionuIofWl7IUd0XmfSDg/IrLjAyiyyFqUftxor8JbvAbMKuL8BOGo1Ve7PyFPHHqjs+ZMdAD
kn4v8snagcuOV2msKxFRBBTpvZTKsDgArh6A9hhpuzKZXJtT0mzoi7QJqc4vjSOY9pDkrYmkhjrb
y6Yr5ut2VyJfLm2Unpn67Fvzedap4Bak2wra3kutE8NkDWC7Z3zQc6wuob9v57EmpMnfGRmGbqKi
2BVWcB/rLHJMKLkQvE5OGwRrecePdeKl2xgvI8vy8stfxmdrJsktCDq3BJ5bpD4i5MtMUaHVcRMS
Dh0FH4JNVBqpCZumTk+TEPtsy6EA8+jGCEDld8GtuI516hpLCfNiwkHEsYGvhG59zx+x3wgcC6S2
O+Lbg85x19R877J6INRByLtpSHvXVFz4nbyrfSY7wONO0eB9oz7wVREUd3xeOLlxSBgPhiM+FbP8
SifL56MIxSmpmektBM/zvGSGQFn51qjZDJqhEzITDox9J3hupyn0zoHa446+emJYOyP2YZezj2to
edG5d+ih5qElCp97ZOItpOBB7/c4xNogkLko/0jQ+4S3xgczYoPa5V4KB8f0duBCt0nCX6IhvgER
Tyo/JJ5fEtuodV7f08n9knJqneTvAvObLT4zAv6MySh415l/V6f//Y7ZBU+eQXMBBj1+Yfhbn3r7
GcyqqwkC5ZLelGYKOBrhzo6K52SqmQMB8IFKUwgmzSOAivZsAShwmO7UPuViSsb3vWYYcGY8c3gc
97PEGDYCOkCNIdpAaBJLza53KmubG+Nj7GTeakYM3+QDxARmsfu256oogSm4QBWA70FXwJu1Ltz+
ICXpOc+wj0NdvbDnewocAOqBpjQwMp9jNp2F5jf0bn3k68pGTg+gi/0NkIZHqZkPi6Y/dJoDUWki
BIlS7Dk8RFtNi8CC+UAUo9ubgCQyq64PckHfXIBMQK8ogFzCnWgBUOC7AEZhjV57QGBIeZahUWpi
hafZFbamWERR/xbYzI4Q8neJJl0UBqwm0yYP0+Qcr1P5+nVvZG3zq/WcaaNo+dzOor6fDPd5DouX
LJFXy4eu0SLNTzmpBrDJwDfm6FybPLWEE4LYDYtTL+gc8sMFfWOY9hYspzR/sDXRwwbtceDoMxcf
bUCBiw36o9EMkEUS54AJwgIPJ0BzQmCoECbT7JBYU0QWcCJCc0WyDsIIwGCcRMo4lb39qrRtiY02
2VZNJnE1oyTTtJIWbAn77nqTapLJDNIk1WwTT1NODCvdWJp7MmgCitAslMw4l01IFlNTUuBrQwyF
m5ICUIk1SUWBVClBq7ggVjLNWnFRITV7RWgKSw+OBYDHNpej1t3owNTElgF0S6oZLrGmuRQtKaz6
ZmrKS1aydM9LeizqbhNrEAxAGJjil0wTYvBg37O2bgxzuEsisbCA208lL/IYjcYmRhwNNG9m6pxH
u5OvjibRJCMHklDTaUKFsACt5t+4O5Mlx5Esy34RQgBVjCItveBMI2mz0YYNxNzNHPMMKIav76Me
0Z2R2VUlnb0skVykR4anDSSh+t6999ze+MiNGENMQLq4VDNEm4LQWAVQH9TNoJk3iCH9g6s5ODEW
vxwwjpFfPTA5qeblKMA5fmhccVa7hFlh6jiaruNqzk6riTs+6J0Yw9WmKcvrApSHr7cFtMpKHFxP
kWGnMyg+xTzd8pb9zWxAvB7kGHBB88ddRmtqjve6hQd6IE0IuLniYkA5Bx9/zJBcWsttGcblhrgy
M682cTUghnzNGsKDiHMGRJFclaCIHBMm0VzgumjneFNL/8yuraJWs8Fy165ZNtfU341ErWEcLcCO
lKYezZp/xPiUAVHy78VIDriAlAIqiQ+X2pe56W5U9mG15bXzTiagPHykcE00bSkCu2RqAgITeroH
07bJgUGTDlmQzxy8g5rbNNv4NlwaZFlV8R3U4J3cGYMigbBAY580/4nLUb/tQEKNmg3VakiUpkX5
XCZ3XVJ/p13Mt6LKHvRm/yOfOp5DXg6juXrmuP6zMu+/64JKmi57m/8cy7j6BKCb/ITW+Hc2459/
668tlfsHSyqpQyAOlWXCJj3y15rK+UNKcg4BDXO2T7brH1sq6w+Lv2GaLLUcC/oiu6V/5Er8QHfY
WeT++T+2gn9nS0XA6P9eUwUuMCw/IKXOcs3/l9iFD4bKhkZhrwZuYuveHtl2536wU30M9Bpv6Rba
wxt0BrrPcIKTXbbpOUjtxww/FKOOuyUyg+8+7PYjcgjuz3pjow3xJvVdWiYStXd0rLGrknU6Yoo0
zPmsKuN+DEPFFmgEcwNtPK/Zjw7ocxYP2XzmUz115tWIrUsl2UyHKVuJeUmeQkO+DqWq91lX3uE3
9dCtXaRgce4dm902W+Uxsemuzko+MA3O8GIc1tQbE5aZLbLY79zhFnZyC9je5kMMxrAd+yyDYPXe
+fgSiTUfupEJzqrGfBNAEbMBQ0IeoB3JixBTMV2sRpZPneiZZWjbaJbhRycTuY7CeDxF7fzIS04r
0tCh9tFrsG2FeFDIIMDdaS8YguJm2UgqFPZFUxKME+mldLlkw2PIm45bv9uxYGB06l2CAEH4kjld
Db23P1lcTyPO2Q3hZA7VoI4fSnG1ZmgUE0mK9WIOD8vsjZu4Y0U123IfIm7TQE7oG8wEZgTa3KhX
2RW2RLPtQZJ38bFH7V65riq2jdnu6sgB3mXgo6sR8Ee2110Hjy8y8UEKU54ItO7mwX2EQM51yoR6
Egt1K9v50qebwG3fY+kRHvAfeDzlayBv+9SUNxRbeU/sWC5DAUPPmjC4K1M//Az+G5Xxz1XT30vR
5XcRDBUSGhDz2oS7XBoy4lUL64EAN3gqSYaG5xKMCW58dAPwNGxGJf7WgWsecU/KiHCQKe5pKxOT
wG1Y5IdpMu4k1Q9Xqa120TSsK2NMDgMLMn5ui4Vj7Fhro7M97T2hXyzA3Vn1WKwGusUpTOZGMsbe
EX35Ed/iLuv3E5ZbZVC7NW/jvLtwB7rpWtadAzKxE2zNBDMMBVTnqQLUECwyX4d++jUHIMMTYV1D
uezzrngwyhb+gj567hNHN10Ma6zZX7ZZ/phDb9yDyd9aM/8CYcr3URnOnoXxLs/3gdk/V+HXIIDv
VyX3xN9IbEFQOQu5/WgRe2i7C2dvBmnyYEaMHh3H+NyPm0pER7Msi0sVMPn63fhWZcsnio2FMRCm
C2CYKNF+zQoF2oRoJiqKE2xgKCpawOjjaumnqt4Sk6U1ojIfW+9mCskD+JKPDe6cj9BzdmZRAsXI
MwoWxLJNmpm5TzqPhGWfLZNTsVXFvTtP07mu+ugShu5RCcglYl4+qqnhRgpQoamxb5S0V2W4XQjK
c7uK5/tef8kMLsYkY3w7ycGMZXNkNFiNtkXitv4SiS8uSRGpF/2nDN75ONIiMNBFkVnY6MMPx+tf
F/aKrM8Yop34QGs2TwSRI+q0l9CGx0mtHKvPKLz0OSsZBwI44tq1KJobi6H54Iz1DYLPzTDxCISO
/TOLQ9wSz1hI9LOGp0rpfbHy4CfCeVtUtGSE+8zmYjGDvVzsm1Y0NOzgjacawgW7caRYJ4XmXhyQ
fXUJwnW2l71rqTvKpUkF3Pm5OsSmtSuyFIetOd4Sb36u8D2DPetXOcEvljc5oYcRsSw8+BHwhQhp
tvikch3L0kjRiCtajW4z11SqnxJzuOlg2rJL/5oK56MEcVJDrvDD8dMf7fri+LdpzoPP7uLLPN6F
/MiFwFGWMG2xNrEgUtnfmkFGKoO4Xld0K554eOuAohdB1393hXGYgWvew2vU9goHiMcIF6SJ6Q5r
4M7WNMzP/Nv11Knt9GjXgqz5NNLp5EGf8sTs77lZpzsofpDxg+Ve9Oq2ncZ+T6QgPE2dTVSfNATX
2CO9OsUhb1zrxa0TEPfZ45D1HbWp8bxd4uHeNPDqsO2HY05MIfHcewtr8zazh03vXQb2Aysja+pD
QC7N9+M7swQzEmqvcxzmB41C3fTVPK8H3sz4SOA41kszYMky+vto8fLNaE+fuBGQ/ZU4RzS6EXvC
OiVwD/BrI+xTvONfi9fG0F9RIn/MxEePyPkXofScFDHGFThjWF5BOgACf1fN9Zs/60dJyLiVJtYn
bXntY1xScZ204SkEdbLtqXZcBXlFVVTE0y0w9MW2An8/xWdwJiA/2C13YRlsiDq9RoMoicOkNz6v
qSiR5210TrcATpWz4E4x5GRLUW66EI6TLzgYpxFR3PryPVQHHxKZOZ06wSW0oE0PdFV4oaDxqe9P
7VQGmNON9lxRM+OO+Bg6VGaEWmvV+sOGd1J+bLCW0JYyRkcbB038gr/8ySH6uWJlcR3S7jk1CTVM
P8b0vkb+oiLiZqgxrvqTT5MNvVhd7pyHYdgK0tjMqoqcfUJaPw4qsuxW+J7wI0l2DXwE+yMOuG4z
Zh8B+8paqs+6xu3YjHd5R2NlehwLDE4QJ3ghvYQubUFVbPwy+O49EsU+jsLbLvNvy9Djq9kMdjyc
C+ZEO7+hyNzZRJjPsF2jA3TDOhbeFlfCe84bkJKu+spSmVVroAYSZvI7n/LHZDrhAv7Iwx1T9BU+
/4klwA+1lLsp8Fpm3nLeFd0du3Jo1HnOp6NA9JDiOBVRe4r7uT39/m9z8LXgHsZaFMa7wMVu0a5V
N4xH24Mwl/Vi7wf9yuQyzyduGY/CZ72djcXFbiXiS/Ks0l77O8CLhrQJ6nxHp5Mes858TIQ/JkIg
WeI9iVK3lDAP65RIRVzEYzI+qT77Jkk1sB9OHyFIePBr+19SKf/W7vy3qUX6J0+X4hFr9aLH3/he
waYdZ8DRcplL4z6L9qovCPyog0RfSgi5EJWxNkHdsjS14TOO7MUIxHQ6GcPdCoEBi2mmUzPUzJwt
naOZCNQsmCk7AjYmCflZJ26gu6h9TwjHrsSPWg90JLd+4B+4lCZ5HdhR2MGJ8LQ6yyN1qiesI85l
cj5Q6TBAcGgmqbmKiALhZ+OG05EOCnROiGKGxj8inD0vhIiMjjRRxPi0qnXCqIsNLj7y1bMT4L2E
kKDGtNw24RUX3sTMG1yUL5u95Ya7yoQzIF8VgaZJJ5tqIk48buHaGSbxxX6/BGCiVLJF6EMrIR7l
ua9Kp6UWq7hTmHMJURHhwIVFqirU+aoce2e5aXXqiokDxYQHnAEhB87/zUJAq9dJra4HgGY5u1Zn
uBad5jKsEW8Q+S4xwESDsk3sy9b5L4Trj8GQH+3QPg0N3qskjps1e1tn5VvGGgqb95LGb37tTpRT
zU8CQRWEL+hq7NI+EbScKBooXYyShNMWnVLLdV4NEhjmLBJsOKB2PIFe8yHlWlf8NFpYKHa1mJQ2
RneNzsGVk//qzDg88yO7IroEeQekBOeIE9HyyaO+L8+lTtbpTzW1878WnbkLczWviIC/zqb88Ijl
4Z2k9JTHqu6kwABMcm9yziNRvkxn+tzCZMFPyk/pvF9G8M+UJAAlUcBYZwLhaV+5s97xQ60sf02b
24VV4W2ts4STThVGi42US84w1YlDarlROnQKMdJ5xJ5gojFwfNdEFWsiiw7RxXwCFaKzjAH5htU0
is+WmKOWftFRDXbX0znUSchOoq+yN3F0RrJQyBJukL4lRfdM1x9+SkE73ujKDVi0m5KoZdGCZCvr
3aIzmKlOY8ZtenZKjAC2Tmq6vzObOr0piXFWrJO41HN06IQneBGbxqKNr7OfKSHQiTBoqlOhrc6H
Jk2bYA4jM9oQHq0IkY4Tl07sxvMGU+NCTy0/aOHflzp7mswOhv36u9CpVM8FJeRI+rsEyyWa89Ca
w+RhEg7snvHDadxHpVOutErUvH94ik+DQUqJsAOR2CZCfhNTxptd52XTFLZaX1+r8CJQI7diqfAX
k7CddNbWQDo/as+4QwzXppnuQUUGb5qkkxsxp81O+FDO6C/+DHWS1yTFQFneDst/fRwI+/Y69euL
5toQAx4C+xnyxyuNV8mT4SGxtGZ2Vy8xl534AmH3TvYktwhiwAc6Yf0U8d4Dn9D60WWsjbMbZ/DM
0ruiiy55u+Di9/Y+KUn8B8211uIHYDtdO4xKh8Mrviwl49gY3uFW2HDAvqPZ7AzVacWbC0CRfweC
eqS0Ozif1synP/Kyd8+234KZJkzVPLSFX3DJQ9wksSyNT/0NIFR991l3JS+3M9J2l6r6V1/mp1nm
V7//MUKmg9YbfUMoMnFLbd2EDu9xEe+Ct+9KsotawY5Lz8r5mcgHuxnzRxxahL+iN6OZb+2G7EQ3
pl8j6IWYHkOcdY/ABeHaFN46ZYUAEyr4smj+Qu5975b0FPr1z2mCWwbkjRnQwuuA9fV+lAEY1eZl
6nhKxC1t9xiY30IsqsHXqCAQd96iHe1gCymnLDEbAL1g/+Uo6hjnOUOs4PloU+t19O03E8VgbZTN
USVqPUrDQv+oSFzIEHqVu1Z0kRBKgt5pU/ua9NGXxfVSxN33gBGhMkd/1zTKAHaJe6ZllLIDkJ1V
3kBfZopO2ava7cUukOwVsMy0IzM9evfcHcM1eZCzq3JWBAWwNMHbbBziu//eJi/HZrX1n+/Q1p/5
54/2X8gsv//OXxs07w9hOqyofGlh6PIcyCH/Z4MGi8J2Aynwf9nO33xe5h8wFRxcWfi5KLkQ/J3/
vUHz/qB+wsUCZlqeSSuJ/e9s0AL3XzkOMEscn/HXdiSOMkc7yv7u88oXV/bC7c2Vh8BLKWqLdRIG
LakeGI/tjAYQ+8ZaQGC+lRO44XzmAK2ICYRJwyhlBCYQDc9YyaX8zjCdc2GghwxD7bSmkyLa5LG6
ZXpqb4R/qxw7PPHhSUvMWkvXZzv507Ks4bUoyZsItk6lmurHwhCYSTdyqcUzosi9xNqxDzIO6xky
XqBA37qlS8OaNpRT5b3N0VZoUMwpD0ySA8jI6WYezPOSLOF5mSp/1bJ62odLcpLB3URC81wv7MZt
mHmbRjR05Eb1sE5I0+86tw63Q8Q07o1lcXXCuVmz4ohvwcigjTk8cWjReu1xv58m4od1y/ExyXk6
YPsCyzVU76Jj5ETMPidxffSXxDrDuarvl1hZHMxxsUt7az46RvDLssLqkoQUuSsf+qZLdLYKtcPK
MwrCKHA4SywO/iLrsxMRRm9TFW6WgeBwzTSyzVJsadMcFMdW0FY35TGhlq6/TLaOUbPnqwI7XLO+
t1dzkB9lu+Q7scxk9MN0OI3NaRqa6CDl8qsRZbQHoE3YP4turLGX20mUUDBbAdvNqZ76UuGJ7iwC
aeAg93NDahFXhxzNr8rGNRdZ4y9KGniaGA3GHD8st9J3b9p5UUc3JZnWtCbrKd4KmZmvfYYirCKt
2IpAUImwsNHpzO+MCuv98saFzTgYHRchOsrOuSB/VdfLuabj7tlNX+VYFNdqsMrHypr3PY9KN+iD
B6MTxpMogoelN/JbKMfRlrB0tzXrxmD38KtVo3U7jVjXaWJbNl6v3AsnvXvxiwQvehthpS/3wi/U
zu8L78H2eGi6lkFsOWNr0RDSGIR65Yg41AtFlp2HxJNbNB33TxEtopS7DMc06u7G3k9vstHajZ5z
k9k2XPE2xA3gY93ux/JoGjb/mIEt80Sz58H+HqrPXIIkhq0pD3MFizeSzx6sui3cdN5T83iuZ2Vt
BsO5mwdrO5Gj3Ma1QtmUxX3khh9JZutNW/rYmYRcixJwdxrbG0zp/SatinWMMKU6A+ohHBA2Nv0u
IuLZzEIx0g6/0JYqDhzzZx6zsRgU8rzXYaePcW9mklT+0jOrNUpBhPPTc+nLbVF51i4Z+bI+gvpe
YVsCejvsIN+YO76JaSvpDGHRh+mmy+1pN/UECrD0T2u3A59WxOMDYffbuZwzygaBJEYA5ynkzH3P
ODmmBvEqWsBaIa2dQYUg7OPsUATuo1/RBCpD530ouB3VQhEiKvNXsTi8tC553S7Od9UMyyWmlLGw
qq9mmvGuDWSZeq2CxeBdp5yWlMGg/jYbChqb2kOBZZsCd8JRUzJgV6iLkGYQRxfJnJG0QV+gO1Lu
EpE4aHmZjEM1YpmrDerlfLw7ZKBDVOmULFQvi/hIR/Bn17CAqGPPoUHZBp1L41ky3vcB0bERfMKK
GNB7Vnl4E+GdJvRsP5UVebH+LlIqfDRZi1UCVp85dy9FCoIAxyFiAF1/DWWgA+gTFvvmvPUo2az9
qdy5uirt92vsuSXmmIVICFz1eddi7N+m2GsxNEVAHdWMa1EmXN6K7LZEOt3US5bv4prxzZ/ZFwcU
GzsmN5pFAw4Hvrab0uhXhHzWk+nHInGhtiLetcUQHSKPITOMXMww+AIXu+IfTeWPyibjHFL4vSSN
ww63VQjtLay+Oj7Eg+HeIYIjB9ibxMK0WOX1yajL8Dgugcs9RO+1ZdfuYTzsx1kFHx2Fx70sKQMh
cFTl8UciHGAIreE8NUl99XhTwV4lHG/31J609WFw0j19yFurdGnKQWQps6PqwyNFvO+FZd/YNcWG
U3hcZnsfzfmbFzzoG3gT8mxUd4zaJ89sOL/aC0Cb/UC5UwdepNmIIt0vrBeHGH5j2G5HL91HjtrN
k8n1uJ3YH877qW8eoDJeS42BqgG6RxRX1wUFysVdoGse4+pIB8lz30j2eN+em+e0dA87p+ATEkiD
SsmoMg8pbfQ+RqUDFQ58qNEnID7bqBUJqsWo5QuhhYyktR9H1B2lJY4YrYOURHKkovHB0jKI48hw
39fy3KhmR4E1kCotmkyoJwUqChwJ3klaWMmWZl31Ddk6LboM+BsSJQjTMbKaWpiRS/cQ2JG1dmRN
MUB9jUJEnILtxsaWc6PrB3ZT3Z1SLflItB+D+NIqJNdjsE7PtDyUoBMtGRvhML4MNf7mtiwBpoDp
zm/4QCEwaampQXNytPhkeUCzaykLSrbGRxsy3ClLQgFeoP0B3R9fIK09ZD3g+3DgzZHr7pIKW6yN
Y7NeksNUtrC6ByYBigUpQUEjy5J3lkDZblCEdPmuPwLUNKRqRGj/3dMyG5+KVaiFtwIFjmrcZTNp
US7Q8hwD74vRnTMt2+Ep8lY5Sp7Skp5YrNdZRU8DAzdzNfth4t+XPJmvhRYE5W9pEI0wQyvEqQDd
HfFwVC55rApcVDieMy0wNlpqdNEcUZHUPtcypKMFycqCAB+BxM6k7PZmilGW1X2uZcw8wkGOU4v7
ERKnr8XOLpFvdWZH29QNCNJpSXTQ4iiaXQqII70b9OV+4pZPTRugZO79uR4AQj0JMBF4ejRwmBFs
iz4VDLP1zKvIDAGoVn/qGCsm5otWDxpQqP1dWADOd4ZvTFLPTZp+SWYTU3fxjHpcsd11qscXvFgz
EXmf/mFmm5AZJ3NVts7aN6gq6mjqMWhhHnL1YGTpEan6PSwxNRGu2nYK5DH0Y/aDufcV3vXSfAtq
IqSzHrwWPYExiQk9kenRrB0X0MCmi+WTua1nfjPHd6HHuYy5LtMDHlqOt/aT/tfM7OfG9rDFlJ65
0RfYZBp7xvG2Wl7n30MjT8jHmWaZ5qfbBMm5lUa2svSgqZg4Z4ONIKpazuZ/axXhF0lUVCDjc1JD
fsE+kay8nsX7nOTdmkgnBdUKsEykz1me9j1jGFcCaxjqDXvHqMpHMq23kT7k0fO+8Mpz1YvZx1lL
dx0myMMzbIbZIOzLq115PXz6WsYHiBE+C6KogOvbNy6+M8nR5MJcKTm1MMqenTn8Hs3hCr4XjrGx
NFsjN+9z01a0FGf7PuXB4E8poCtBY21a6O1bfDGkfIKCQ368YVqOJTvS3j227kR60KUCr1MZLbAF
z/8aitVaQm5cuUnOioEnPrnOfsOnv+BTKvBM9YIBY+AoyV1OQVffSBfH5joGSzlzm8elCd7yaJhe
ff/BHpGv6mUy8fpU86MbLrQRYDHLplHuzcWIHuTCkLLkzmkU6hlFbBXnNjU18BJWhDCrA0sHIOUu
MWpp8isvlROdvTyncc2uXmSGotHjN6Trfjy2tFT14AwpA9kqpKNdmVsglQdvL7uswrzod2cnU0/h
XNxGrVMfppqcYlMEd8tAXvX377hMBr5IpACiLB2n3X3MEEUvsXeDM4J4QbDQdJ7zSvad+0u43uNc
WuEJ8O0uF9YzwlZ0qPLl6jsDiAMIRdR4pVupjokTuHirhvBc7TjjKNMxocG1oh02HkLCOe9w1+WY
I+N+arZuxGawwSfTAuYgsUs3S1HWw80sbV5LtQorm0ouv0+3reII7sxRAUTjV9Ya+UPOTRcTM0U4
iSkOBRfqo3Kd0zLzvflVQFUc3F6jHF7CKKRKq/c+JWvkVVOP8jBQzXGgBInjcLg1GiyRnUk8vV+m
tTNTHCE9Na6pgkNQyoW/8RB7N8JOBMn4xt1juE+20pheDJlm69Kcnx2QKhc7bx981nIUL3Cd1MOc
0S4/HTqUDDci+94Ep96HIBEQf7Rc5iBaPyKoAPj1+eWjDpz80Xla8F9vOQ+SXUs5Afu27NI62Pia
QeGL1jebHtRzNJl3EJ7zOI3urVCtYrcIqPDBtcekeIttKbiQLtrndVJjYWPnbbfhLwXcYcDV9j63
KLuequx1HCgMG156kjPVSE6T1RtSPlTFLT+XhvSDSxBpaiYk36D6grsU77xkPlY41aiD7m6gCAK2
SMQJnEK1L9vqpxXyLC4q4BAJv4WJIfUCBu+eu7JF5EH9cmw4/k585DOxGRUb4tkM78uweGLFsHXc
jFIgD/pKkD4kM0NFQFkeuKV1TwhqZZvB1cjd9tiVcr4pB3nhY8LQEvJQGjkO13K2TwZB6iOt9qAE
qRyJDDzOXZ4ku9+jze+HGD7T+9azU5gy7ime62TvTPMXd5eDlcXF1svcYiNd2pAWaTIrF58lPIRd
I5ihqYz4diitWY8OG8EIRJSuibqrrNa6xPEMPgwTajDO37CKrsmQ1LdGyhnYMCMkbjxAVaMFj6Bl
6fI+aEayyolJF0aZxJxuE/7XJa/vjJHrbug7q7pwrP8Pa9hh+7j9H9pM9rOq5zaJ4v5//vMfuz//
TOmwTgv+0x+2v+tyH4CLzI/fHQa+v5fp/r/+j3+V7j7PNaW7n19Fwrq669vkZ/93gxcFpuZ/Xddb
FT8+269/Xmr99bf+2mpRzIuZCcgnRbvSNSVJyD+3Wv4feML4jxRQ/KU2ef3DGOb+gVmLv+bgKPNY
YrHx+mutZdvEF33e5hZxQ1xm/6YxjJ/m73RS0+LruGzUPAtbmMRw9s9brcohvt1jZ1stlQxAAMOw
44KQRSMlYxGChnKH4QCPngoX0Dy3LL6i766hdeZvm8D/gAos/uyF/Tsn1fSx4HiCRYYZ6OrYf9mv
oaxHTQ3+nmuNPWo/vXVTTu79OJs4eH2z4r4RkbCGpNhVezMPuBmx4TYb84Hz+2gOyBcgpqiT6+1D
3RrAxox3qhgcZqnfUczgS7XGj8C16RzxyEt5JebHdB4PfQCPPCtOmbTaTQ38CQN1ee5jYlsqbu/h
BX/Z/vA2IjtvDM1gywTeNwxJwD+tU72QCSde8nNKl8eai2rQ6l0LApuGv5hAbbl+Svt2mX8ldX7M
ZocwJ5qhuThbOyh+jhVzK0KOSdvHYhY3oAU+wmig6i3EieGGz53JL6CV415WyYDuNdyKsr7OrffM
zuTGitUhC/g3rLLm8V6chkSvqmdeOpnhWnEaaHcznAOEqKdGUHqV0mE4ifaOGz5u5PIW/hde6nIi
PeGdOjv9UdYh85618Rp2iTQy5pBLrMQ8CIecgrbuedoVV7U+ywXup3bxK4ZIlsBGTSwKEGfs9rZF
ynDKk2dc35vEcMI9QMlnRiCsBe7wFMULvYaq3sC9wL9WjIekApCalJpilNmvYd/f2P0vsZDP9GMW
Vwob87a2PepLwgrBIqk/ilY9pVF4SpfikwiCBW4SbiJGO+cCIytqVL2ln8xd0SJBI0vP4FJc1MK7
xu6z19oxXrvpsWdc2pid3MVk8PCRLXTVNKLbQfxzbpO6wBt3UkP3zFV1X012txHhunGJxTsiPHdi
BD9qFs+VYK60MgtrIcZoJ3mRccG8MTV0ULohs4DFYFtiXER772kQXHHtDIDil13/if/aWS/o8Jh+
3s2E9rN6GpjKFYpja0Gyi61dB9ogsZF7F2r2xNhym6QBa9UO8E2wotxzGG/IvpvFSdgpLjvTrqk2
jcedS03RgTjFhZ6zY8XtCxag++Ia/qd0Cs6RqWdatrfKXPBZkeCZhTOzeaNWpuQSxoRBmKUHOuIb
TnVKqYIBw2HvuE/eGMaY4qJq8bjYwaMTqp0ZF/RkVjFWhPIGit3XMquXOQq/cvLP3DrvRVbKXVJS
oM2p/EVPPMPRVNwx/MKoy9QCaYyVwD4CCQnba1dTX02IOLpLhujoOhUciGC541vO9BDHWONhTekM
PHgGSUF2S/QXR5DT7PoaFAH+c4B1hNxOmcn3lM4EUsj5cw1fLSaevHCyuAqrz6wsmV3o3JlKnDl8
Sou+IVs2IvenfTdtq09vYok8Zc4+L+hOqxKrOvRZeLItmi2IOyfDfcpZvFrAZq1se7zYcSrWQStO
EkZgNnavThJt6ykR2xiPGcv/4YnkJXq0maB1yki7an62buLphwBPCPS2rF/XEk9lItk2VHwrJrHv
xs10NhV6TB/19jEwUrisBOdiwRVfpJgcnHlhMx3AZMGUeI49LpdMivdp+rIElxGiwl28z7C93qik
uueyJ/D6Prl+PKyzBUXYHgArsAw4WAARAy/W0FrmpWrxdlHkMTwuDk1DDjB2xrXJxcEmWnpcKIcL
ZsxEdppeaouOx6jDs9uEDwXGSlS14Smf/U+iaESiZHoMneZzXEoGDst5TXrjBYMh5XBQhfykqEBt
xkSC1bTKGq7eEZmXHLukt8H+0dLVRRyXoQNPYEtCm31JNFpPqQ6aZn39VTQeEL8O8mBrb1roil+0
wAzb2im/cQE/DlOGYwOMw45bvKo/fGyDpwS9KslPUOfLslE3kZW4e1XMhMurchcjrYOgK+5aW6dd
sfUYTnYsyoW1gIpJGBfLkXT5QzyNr1FQE+nAJBzMiEBunX5NLGt7DaJNb5xJp2DBjjYddZFW3hIf
iB1WM0FPRVqmKz4tdyUmZzcM0UNn58nWazle0lFhwZg+DY/4WJepnWVjUuvAOTZMu7Mz/Wo8TFOm
RnRn4UvTWJek504ecIFMcevh2NuOrnuuTf5aClkUnBcxB7+PXgPXu1eWcW3TqzNPz00T712zOQDJ
ZN4EE+V0L4iw654mLm8WnzMSi2e5a57k15BOGJEK6C4mWwEMQBseDXfCYIXaAMeYYu859Gj0Tmzj
kwzrE7xsC3IwqVF6OH5N8bShnOV+iRIWdmZlXKJhvNRtB4a93iMG9ZgsjSsaK2a6nnQ0fl4GZ1Q3
elSueblAXLVrtXK65LXMsxP86y2S4pvpjv7+GotMoPi65nph/6/9cZiZLKrAl2bcCnexb13jLcp4
gzWFeh51VDCAX47Rrjl2Naw89oN7j2jHKic1Wgre2GXtPcQBcb/wQQasMETxcwG5pFNJV+XwAo8O
EZeJdVnk5W9DvaibmOQWch9PmGaiq25270awx6zuDRoTw7PdMt972MNUXh9YF9wIE7kgDzwccszD
AYGm4iwJDqyaj5Dy19RjD0YEi/LXzNsmjoUrbvyaopvA9ON7QHumk1PoWlRfFeRpphDnqaRf0eRG
QNQLQ5sOkLo0H7fpWByGBFiM+RLn6qU244ruWUwZCbVscBkjbOEdY4IIyn08/Syc0l1HfffCUMek
1CY8u7sIMc6utnkxPwA1t8BnUXNezslbA58DT0F0S9K/uRv0Ji9mHuIqA8SVQD3RWhHtLJYTxChD
e40Hi181Po8aQ+N6nOsnIwqpzu3SH6Zd3hJuJ8xd/LJIZsKp1tGBGGHRUzFFfVVXYOg72b0NL6/J
CdFkxo2M0ukQS9ZLvue8mK7CJZleBoMvQQ02nuh6XJ7DNsEfkhm0Kc8HYwiBiUESbU2BLiXzPaAf
ity4ApSON2LZtz7mhL30yJp1PeCCwsFLiKvLpkcrtO6GSn7HXJdBv10Hi0FqKT/kMu5x/YyXPYZu
PLZmcgS55J9EzDZ4mJ9B1LIM8LYBtT9+1p+ZKr+whRCKMD9ZM+i+QAxKiQ/uodCpxry61eS4VLzX
SX4/O8276yFxFbx2MLcPZaLvkdgkGNl5tGCWnCtmVderKJIIYIoosRMOxqIko/JihvQQe19BIkpq
Ee2D3RV4EGlMBfzFnMqmtjbZsJLjpscIH5Y5GFdhjMcG8yVLK/AImVVja5wf55GrNgS3YTe4g3Fj
x/214FCUeBQdmygvPhxKfrrqmrqcf+Zo33ANPNJ3RTqJHXORRy20/oTzeYI8CMwAIyGvGEl4DM9m
HdI0ZP6sK/dh6KtrobFBfjHVd5yh7DxrnHtlzicCMdTSWCXjLS8sdsku22o74HKZDkwuxAF5t3Ho
zoeWutsDFe9g+em6zvH0xQUjesr2+H9xdybLjSPpln6XXjfKMDqARW9IgqRIiaIYlChpA5MUEubB
ATimp78forrMKrOvldnd9iLToiojFBIJ+nD+c74jaIIihYxnMU23gmY95mJ3quSd6LSMV2eq3oVO
BIQzJBQ1NJsWDwNhc7mnT++KlQ4nJ0Zae2wfuDt9edjYZV0R4IjsswJtBFoTYw+MtXchq4OL1XUb
SwsvXqf2TTc8WV3209TraTC3ku9rnLENohESb6wSPvLmAILLr9eh8eDkw3akjM5RJ7JzJ2dEUvWx
I1doRHKKzhwpnrSYPGZtUGdKBHlPQ+KD17sUotHblVK+t8qRocZoaVq+LzWqM5rrEGenqGLKoaLu
JtPxLrZJ+g4w/0BPhDHFJaI7aMjllj7cLdyHOHH2PcUrqZN9oSDuszvqyGALTFEgCTQWRn+Da36o
QI5M5vTK1lLwS6fJfyqzv6SixpFfvFMV/rVkX/AJFKg0xuyfbRwPSxOL36iX8J7cx9XWWUBzYDfs
JsQC5a6y0ycEfB4gJ/8pjZwoi9w7ICU8um8WyF6ii4PsrSNdi+cy5wmYBebHikowd5IPSebvclCk
Vk2SeBy3Q7kTXvKlDEQ5r8lPsxfC9KCw1FL9W2ZquyZvXhzP2SuveCccTDWTuiQA1drsMEJQMP3x
gglaH8OPclaHcMFrGt61KUfAgWc1bpxc52A+XcrSfi+Ym9Bq4vcv3pgH9qy/ZDHp1d5aOH7utamK
s2bFt9a/LwyxRJHfuzL5GdL0q7W0axOrAwyFUy3VISrqcyz7W8k9ycH9tSfU80sA3tKE03KqZMv0
FFX0ufNqW5wq9X5YsXCtQ2UdfEgjsAEP7lgBoAD97Ij9gsoq/Xo3Ver2B17lJCeXLWSBbUZxsxOc
cFN8bVqVQlfUkZn5JoRxsLX2rCM1olXKszP2l3IszlVVn3N/ua7JEyeXe9NXlynvb6pPvijafB5i
eZ9ObG5ZR80l33M/3KbBZtyj8hOJqnbFwBA1LSk2Zc8hIbQWFNuUn1TLKwEG0glDOPb6yYkxRrrA
OY2Y45zi8kY/LEiYZqdH+U88HocyP6duzvjYX4o3w6VwM/lx8+Gy/FUjnNWVaJjye+ehhcAXPrgi
/PXnD/z5fkIJ/oEOpUvXaBy4P8w6Py1feUyGm7IY4iYM6puQyoS50gJyD0Y6n2O+uTT0r5Hg+5Gt
2MTZeGM1phVPP2JFAO/Dd/2njKV39stDk8ZqZeDIJkF49fXybBv7TpLi55NVCVAZrMpXwwxvXZH8
eVj7iEYjlfwIPX8Aj7UpeAM2ujt+DJ0L/8aWAXvGarAKXunxbiZDMGa4LM3aeTcTK2LgliEdUiOA
ledBUehKkJ6QdD+JD8yVUEpg09nskBvbG/DqESbROpMyAs07ZC1jYzbdCyk5XBbW78YJnaMGeSJt
+tc6CSlsESdKIQIuok+d2b3FRoLJs8XXGS13OZ1oElR+bpqts2vc8ZLbFBuwfFyA8XM8z3GnEwEE
5k2on0ZELn/WIl+Q5YnbtU5IbBNlgJ2j2gmGIb9iBM4rCgzNUbxLeMtRPn1M43BqZ2K/g6Oha0/0
NzlB67AzkOlqSUjYKEleG7Se1wTQ5wPR+uCVkgFUQNVvLJvMd42kTrJnuDhEwBfQ8IYuwSLoHfEq
Bq5mWTx/zK1uMxNwNsQJ9yHHhICaEGR70/mSSUluKIZgY4LomnLulu7EJTEGI8rHI9pOHVegyu92
ZsbQXIVsZy8+YzT2PToFoLnkFjWBCcm3SY0Vc3L9lz6wwbUVp/mFjjtW2IQzV3vPPLzUnsHZYogj
Zqe1OKcM/9ZmKb6jWk7Lu3wnkmbXOtuCWqQNnallEEZcP0onNtfgxDwIBOS45j6/pDDRG837pu61
PuQmQO2eC4PGOCfop5/MmD9sW8LCbIk7oeluFsVIAkRumUFRMWgdIIZ/0uedYTcJaPLh0MUVIABO
E64nl+2KwQbcwDZ+9wSj8sxER/cAIE8x8UzP7e21yDp19v38Ic3mfcnFrG4hCw5JPwTkG2Vguc1e
n5ehqsG0vCe3PFm4eSew9Z4uK9op+uyhtSMPslj/qQ8cWLg82bGswJHY59aAw9xJuamKZU91499u
1O+Wf8oURHrJ0UQQ8z+SGF8nWfYFCd7bwjKruYOQ8waRfl9k7PgSxZA84JRDj6ydPEhKj0/ikF1C
d+nfEOxVQScs6M/EDYPUOPsub7KoWs53M9eP1GIKWDcExgfNyI883sZGy6NjTPnC0od2aLq0Wrtz
PZK2Iw2hpuUK59YbWsLye733sDvXcJ7n0UQcY+mW0vrmQSN/rrY4YB7amhJg9MFGui0FaOIJTio3
qlzpD2RzNl7Dhj4Ije4gLopMKg+Jz8Q8Z4SxqcJ924+3KLazlV/EfVD4zSE2DH5Rjx9+a0oK3lE5
E//bahW7++ieQ+5lXU7vLWPrYblrlgw7jHPr8/s4gBCVSqC9Ov3BctuHOHOB0qjwyRurW5I3OrWG
WFFIr889HxNiafGh9GYuLnLjGQnsFpaa2lPpfvIYxmF0WI+aqhlV0o4eEl/GmuXRLA2MvDdhrqDe
iU0hvP6A5IOP7oVJ1r5J2JPTMiOZJmg06OuLCrEkQHKPfNJFCHhYJAdrPXApBVzZvFuxD0LWzx7R
4EFKSGACtnHKGxZO05N3ZLk+I9neymmgdVnV7qpMQeL1VhG00Amo2kn2uODXPG34JFEb1ga/GChZ
/uAG03Hh9xsaPHjLKMi8s7GhrUeMd+bEgt1P8hQX/rNjRuqOYpnN4Iafbkur3ABrOWWgipoCuquN
2HzqHIXLyvms6RwWqeCyyyNtdHwEq9+9hdjhYggi+bEzh9LcNcLc0FEWAUMZNyZq9AqOz9SW1QPV
S0dZgOTEd1ee5XQvNTx9rR17AAKzaFM5M/w6ne6vrqVxwmrq76oDJNZl/d4N7WPqlm8aGs+uTua3
SvMErxn9xKnAsrK8bcTjBrR4bHWgmR0wBzhFkF1aEqy2Pj0VdUytBRV7nmvZgVmg07j2XqmK/th+
jLdp0bJyFAZbEtTi6Jgpw9tz9ZjWlQvUrDHinKQSHXryIzONei26HttGOaFxwt5IZiAnHfGNYzT3
21QffoWm53OUnagtcCYckE+GFr9PrvWE2DIfoyLOtmHLViRmXqPEKozNbJsg4AWLtkfrhrS/MtMZ
nvC1PXOEsY7a3P/Sm9fEjk6p67uIjqSBm6a/WaUWbr2cZIVMuJ8NimtybLAo6ZTH66ntBBTbb6Wa
TiQiwM6w2AtvAl1hpC4rvh4HDJaMVZremia2g6E14h0gJcYdAwy3xl5UTx08YzgROYkHUmn+saF9
BH3VRlCtE2dnmLyVKjeOEUEQWnFaZu06R4GiAjFiZrRT99xIi5Ya+XZ8b8rql893jpK45AXpOWkc
x1nFrwjcU8DUfd22CJqq6666kRinGFOvWUzJ3rHi56TmzOLY3WIU4CaT4u+UthWoGlKRqR2nWtKP
ZItL1bVTIIdPTGwwigqWvaIs2U3UfsAh8GimfKJ9FnbrD0hyXNEhThyoDvmINWBWQm94Tpoa0Lk2
dsFo5PBo6gzRA2Cc4YJ7nDL/IZYmJwCcRlNXWMe8+2Bncu+xjRhl2GxB5N0BoSnXfulLAH4hPA/d
2NROdBBqIVeC9dZBmxwSm3OgmqfVkMq3WrUvdsO2k6NLtEWqyDc1jwiG9N2EE+WTWr1rE0UALzb2
lZZ9QmKMDpbZglaO5nXVDzaLOMDh2VHJL+WKg1cwpGbwxQHBPSbyTXH5PCi7/3Ly9FvlsAcTX5EY
G0Ga5InJ9klNbeUwYbDpmsn1b5C+lwq0yca2zXEXeu5j2aWf3AnUtpBRt97ltidXuNWXYCtHVsYv
azloLg7EtD84KnuuUiYXVU7VupEJtU4bTk7JrPgIkNkGZbWrRdIdXTntJ4NoTZebDrEs/5zGFNkY
i/Pb7cetGTlOAGXPWbtujIshLXYolu4udizim4LfMLC3NAazFsmFrB65SaRCAInLy/cFna84JBMX
BdEr+i/sXRmQcg0a3hQ/1Nq2rYp3RfZ8cWpuI476y9VNaO1DlbZI01SMZEskGx6ZSO0fRbASNAVI
YxcJ3RT8pdSMByOsGE2bv30DbmLZ6L/p+IPMitbj2tRahtiJmF25KylqRECnPWB+GzbUH/i7sCdu
mcWkgUYdc2FTc6oPx6mBPL/MHmu1a/q5ujM787Ug8Yl8LfXAsL6SPtH2VvKLA1AMzGp8SXXvd82g
YCUdww3ssiBZmRccPC6wWkhmG3RkzjjKJrwgq2ryp9PUXFN5slqeQRXxqYBFAEUHwsBhtEpOfcPn
OLenbsJolUGx23QaMklpMwx12ef7kJgdxxcmnb3A4t89hXLx+uEqcdKlcSI51RS/HHW3/DC5f7s1
dw9hGg/87D+YhJm/sQ0KBSZgBnIax0wRw5xWusl5dziM1kacvI+wKltjXGvxGyOTy8zcZ+1IdUvi
7B2X1Kl31eUKXe97udAm3VcGBW4Yp42LraXjvql1hM1mzllmdZFQCfOUU8M4JT+2EV6mjj4hbHuw
btgUq/toxOOrt4fl3gyX/67WK7Tq5DTIGt5IdhJQ8fo+/wpT/7eTID64+cPQXwU2MIxABL6mjnmu
Vu976AsHrKTgXKv5TSzQHKewCRRD0Co11i8v9aEVBrWXWiystDSpRvueLPOljzWTSFm5p8acM0td
OCB2x5kTOMFAf37oOjqFNMVniI/9O775fZTz7BZrHHgwDtN2I6XG7Y8hKNauLJxAXngdZztj+lB6
rR+UV370MIxXuVTJrg6z79Go8XrEzrWep6/RgIPb+Vc71365hzxNTpPpX7NqGFaoqmctLhhD1+fO
z++tBNnBQ1rRtl04XLpcu5oGWDszPcU438YI1TgTO5+uI68NifRFP1JR2DHk99SzXMqwvZBxmdLs
3psYOcGlek89aw+9arGPBrxBb//8qCVac0uq6Aty/C3kwjYiz05e+k53EIab8hziUF4GoBAarlWG
rgrY+QoRJbHeQN+CKOULOl71bIr+MnnxnZ9T8uPxNVMOJC53+EU0Qh26kIg9hPrNJhVJ9vEuIvGC
w/7SKpai5UPrGSnnN3zezKmWX1fs0KvGTr5Yc9fOAl9tik2fTygZTDpj85c59DcRpu+ONgUTyWpX
4+rgLk/R8ptGnJyOEBdjVreBgsfM4GXoec5wR21JNyAd/sRDd2slD74Gl0up/qbp8Aax81GueGhZ
6ZKCQhqPigTeETyXoASQ0vg5Eo68kwlhHJmtywoGJ3n8pffpKUQ8CUvnapndLYdLztHwDC5i40yI
JX+e/NndKSngdSA/JGDXNVQBDFGzWMuKv1HPkFWtCOsyLzVNO3sboYyhFtFXd2XazQ8GilMXar/0
5LFFatKd/haF3lXNxZ9PUaV19y3lJJDqr3XMcC1T32PNcYGL2hGbVlDmjn8wDc4UNNDX63q5pFhD
/WNjt15yDsASpq2qmeMVJgY/TmW2hhfDkPKt8atsVztwdpyFjzFq19nxLzzGTM+i6WeOut/9WAUs
/9gSvSdnVNgLasb37qQdlf5DJcOLQ+xz5Uw9gyUgBmRPweiVrgpKW+diXt2wgHEHcpiN8Gk41F3x
PkO43HC6/iGE+gR3m0W04MMRTzZ3PxZxrpHojch3e4rIYlR3nVMOfTBp1J0xqD8O0r6nU2vNAomf
CBjBGiB+4nruRu95PRzAfuuaBBgqT3ddQl2FY120jL6z5WVPIR4gyL8ZUZG+lJP2MpcdwicMy0pH
oakN82Tp6qcW82vlkUn3rNrBUynvh7o4l6RmqB1ZFF+X8/78MGfZC5E0B46hOpGpY0qCOAbZwoIA
jnPXnr09vSu8baVVPY2zuTbQ63AyV7gjgBEiDKzrxHurC56mvl2V0n9LkxuGKEBsIcv60knn2cMa
3T3QK+eOfNBuzOKTl83bqEuw4c9ac5DjGNAmiwZQjB9N1943efqSkQ5iafAo8hPeQz4z35LZi64a
GBPt9MzUGJ98xA1V/RTEMWiuxEY4f6UW6Y6CqO3YPjujcRQjqeDCLN+UcDa2Mf/kSPAdQIBgSBhN
JTUQDdIy3E/Cer1oP22PjSPnSizR2JT7U/b+RsPdDt+p20/mcIpALtGmc2+TgCAvRj+6HlnAoAjg
uGqjWuUQCHKfk3IHpbuy+GiaoHmy3Lk0zl0z5Nx4Efo0grMaAo5iO6CoBnPhg3S1tUW/Q212mzKl
0Jl7EUM9yJM9+0BbOYeC/5H/aDrQU66y1y6JS0BZEzxc0h/UonWQIoBYlDssrw/mZH173Zr4GQ3j
7u8OEoaEAkyABordrFM310TZVTrlR5RfKD151WIgJn9KcpOpMdcrrUnJlBiod0pW96HnT7Cw4k8E
wwezYiekK2cwUY385cxkkeIrGW2smnrRzVr+VUmNR9Q9zy7YW8wReDQG61A59qUNjTOQ9VWoG7dy
gNtQYC5f6W220DkIlJk0Loj0avf5S2OlN9p0MGzmIJ6TZzuM1qOlX1N4zj7wF4jD9BNG6TnkkIE3
ex6CycAPkPo299o+84njJxOQTf1rZNQoM8FfW2wxagUeBFvoREfoe0bQ2XjTqapHYYEasJNUOxDo
Z1rF3ZvzXFd9Cu2xGDj7tjbphcp3JlxJH2J46YrYW0e/YgM4SudHd72LXumzxwe6eAopZqtD9av1
o3ejwA2bJ7jujXh8ps8Z8LDwbUpNjC3VBpc58eyA1BTkarDmpDaRSSpmIszy+pgBjAdzE3oHQ9FQ
UJB4cWJfsV6wYE5FrILI28cJYIosL3dkT+2tw66/GfkRUDp+zTkvc5URYBjICK4mA452VM5bbO7p
coCq14mQn67DnFjGNEtiHO5NHGCShNIK1Iy6C0VHhUY1bp0aqFCeEPxHAdoOKvFXUw9kTE9iYKf0
UmHiwajdIsl4t8SnAFcm5GWU1u5NwW1xZmzRJMNFNXqyxt+0hj1pO2undewTIS7g6yXMAB6XXmlv
Xae/C1kyJ9zTaz0qRInCzD9gEh8dQMa0oFmHIeTpQaHON1wy74VlY4XKA01ob5IuJCddxqu5/qgV
2k9a4ZoerW8hIcy01vTs+nHARin0/pefZcnWKTn2zmPy3atM3E2VV65NLFftp2nIB29Qr5mPAps1
KIJcYca9yyWlzZ4Y8z4wzj9nFN3ClSreOhtcR6zUr+V4VCDxWsax88sn01L7cmTz6TltJT302RBA
Y1TWJLcoS+pnynitAWDy4lkYikejaQG6pMalZqijBmNgQuvnUK2ZNFnmfRvTKQjHHkEM722td99z
9tKa9NBgJ3mqdDLuhZYc5wS3YQFNvGReTOSglOhTTLqBCK1h4uIBmu330aJgz8QA7SasCwOIM4j0
IC3DZqUNrF4IIUufzXHW2CrBAdxFDQ+hQJnuOh7CsojeEToezI5RbDJNd3MC41TzEx3dYRGXJ6oP
2YbWReX9rrKM4JE3UhSaXL0OhLQxzdHGgsmCeoP1LcZiIDk8eLmXgDuGWpL6vbMtG69Zu6XoA1AS
4PKiZKfBma2gIOuiMfb1MH04vEuTDnAal8abZsn+n0bT/2+5lJbr2P9mpf1/qlOuVfv1Uf6VSvnP
P/N/7cfmPyzXoKHEdpfkPDH4f9mP/X8IWJT8BwdOkmM5Bobbf7Wn2P/gty8US8MQAqQlLMt/2Y/N
f5gWhwnf0R38uqb1P0rVW4up96+mX9/kam7rjmkbWFqwQP97qL7qGRbVOnFoavGKdeZ3X1FVSGZM
qPOURu2gH59DjfG4TVkKI9+MgAYzgmStCYTngbrI2Xoum+jHcst3jGgURqro0mkVXevugAMvVYTE
PyvlVkE0kf12RzlsyIrrETd1raH2t8zesaOQ35LXMpkoEReUZ0ITemqGUV/923vz39icjb9DBHSI
nq7v6abvGBi8rb/9vEoYtm0owJSkZj3WYfQJourXWnOcNcw2iiGFTVWpOdxHBK2bGvjYf/4OrL9z
QKF0urZvGPzL4iX/u+EbekePTQQ6yzLKT5pm2nktlqNes58zjw5ZFfKdxFRcue3EENt2FzRu9DJO
2mvTMF3Oe/7bdE8NDKQyEddBYet4eF1uvQVRtGYSCHetfu5M1mLSdHw11yjBL1On3KLsIOOi+FLz
uIq/S4uB3H/++XhC//5IYXvCRe7rvsXPyj9/faSYEmHBUA1YYZfCj1Emh5CqPpbw4qxn46MxG+jp
VfruWtqp1c3tMPETdx73JUvMZmDVYJe7lowk5Q+bKg2/6t5M9surldfVux/C6oMutzZ5+lCSQuw4
x+xA/IjQC1giH3KwRKJG/UGHXBEzwVOtP1oZDhZTj9kvuzsNbn7QG9bSpcXj3NiPXT3ikxYxXmDY
4ZsQtvTGGw82jEVDr280m0Pkb5kzux4HtcFcR7855n6lfohlkIde1FzTTIFLbcKtDYrbxOX3GvXh
nzshR25Es7Q4jzNXILs61y/14pTHL0XRQ48BLgf5h/oIaI0O+JxwU4ciZ0aID2hY3H9pqQu6RcWb
6uXFomaL+dt8gn8WrT2bL5D5CY3D51bTL3nrXXXclttp+aODyxeJSroq9GwRcAu0hTn+AbVBxBJz
WuJP74y0PnB6HEeH77MowmspofxEOR+HIWmDRqbaqtXLhH6O+uDmFkVBnBvjkqE5M0cNSSw8uQzg
VgrhYDX7/W7ueXMItlGAO4RAORgsQFqV51Q2vBLbIi6/RU/u1MuL360jH9IOO41rbgyvJ2k1AnWt
xxeseHdaypUtA2jI6IGKSIdzuvFGJov+X2n4a1P/cADP8oYtLlz2drS2/svtchTO0Pfu7coutrnF
8Yc8LlP1HBEYUjOnTO49/r0W5QF3Uwbgw0/jc784e930W5I0tCGklTMfHg0lhmnRFmI289Ko56zU
sFK22CNx5RU0W9CHykvWpCMf2eU35QNQMCByZGc9qmwdM9ZxVnHcr8yN1yJTaQXXeQzzdjPfe3Jc
8pYWdSLi6o98+agDM1gAOiWSRaHpzOMoRlYnPTO/a1eudEJhVTcBv+KR8wlDMwzEZg8HCoDCeMV6
RHcIoi1J9Lva+zDLfRWZTwxqfuvLe/6fP+02G9Ff9w8+5gyPLI9rqWf7+rIYfH1ckjJq/8//Mv73
VOiZCqt24unqN8og764HgPN3ymXk7kD0yW55lR8w2px13z2xIJ+iQf/BREDS1d6Znf/hmMEM+cyO
xc9SMDckvOPk8EtUhXKbRS2KJ1+3qanqbPVfTHeN9nWEirLC+vqz9HEmo80aqs7TEtie3ZGH3ILh
Dx68KKgD0U5h1VOz49Wv//mHFxwE/vbDG5al255tCnANsGn++sPrrj4VpOAJxTT53p+oJ4qsp6Xu
sY9peFi2y4GbId6dSVU9ztIQP1X6s7RFZq0/QtpnTRp6akmYR7MJ6bQCJpU4jVH+qdkFRnJpP3Er
/PFUoNvWU6rNeETzo7JjNlTsvmFKz0/H1HhOPudGvpo58mUUf5JHJ+tf7RlUpvwF8SdtjHeZdh2N
/hTalOvxgqVYQPiWLrk2vuZDAggy//QHLEU9oGLsSIMAB9K1FKa+Fpk4g9BBq9GdnUOt6lKtZw09
2IP8XjGY+88vKyecZRf+y6nEZ3M2DF3n4CTIbhHZ+venSmQ9HgvB2Zes809KAWSrYN5lh6WfU+Tu
aXl09Cn6cU0SRGrTU2iIQoTqpzABZ0+94Z1mXrC6LD6dobr3aAzN6AnnJrgEoYEftJZ7k81zm+U/
c0bCIi7QWzLLeYqXHzl8bDv3Z8Jfv1qmIgJF1M/Nu9mkC3H5juhWXxD1IGUFM/2kkQcAD9/Kce+U
ucQ1EsLHVf6Shc2r5xAtEUcd3nvLC+6qp5b3fgWu8jiFw0xnNk0MLrr3CscP4hR93bilvNd4Vv62
ZupLEdUQ9IolvnZ5umtWMYHeV+A1WLnarlTELOtxaAIKJleRFpOR6Ryo+9yniTzLuw5NAqSi9+BN
HuQ/QN94selRcGbtTmc2vuniaNNRIUI4nMOAYUG2HSPy5qaW4xeNZuoWFq2m6IieulkLrzfVYArO
sbVRVcLNk/rlVqNgphpRcrKQ+xBu3w+/GJ2NSHyio63zOeYtTufydXQ1Bj54hTC4cG0iTF4Ta1EG
8d8hHvbKon3a0qmtiDM8ag0iRf47deO9r/Nw33q0OyaNDSGT/tSm6oXDJCc52OR5YaNckNScHkvq
jVkh/X2l5o8eXEnpEaixMnqzy18ME8o1lsXFAxOBqUgIaWtwGzmJ31LiWmafYkPQdVjjXLgHjViP
VwWF1PvDQOptpE8nW6xs7iKE2qW3rgc6iCTqKM9CjskPW5HvAblUHFpWeCD3IZzfqYf/TEdlfGpd
H/fM+xR/A60ugm6245VTFiMbYHUxM277ous+dYHPpwLPnSTiu7JDn6ZPp9wS0zJ9Afxt/o4Hy+A7
IyQY9uVviaKtCxxAyWDePJ5z1QONoDdGRJzUDa6SG1CdhDfMxwSynAVPerRNHKIdu5jI+EsNfyQV
DL9opHxmqM2S7SXt7h1ohrMt+ILKhI31ISKpP1YV91VdudtSob8rurh8ozhZ5oq9IEhMXirR1/eD
iYg1x/XGLaDYpIU+P046BR/t/FI48i6Hx7IKHecbqRqaXoTDpSqZnqVhxLLk+z+epuKggrBTaeLC
MDw8aJHkCkKxCEa9DOmm/AbuQA8t7LFdzqBOgkQYTDwow6gBAEG3IeiFeupUz14RoitK1NxFJJ7H
ZfPJaRoqL0Vo3nja34uoZuAMwol8krw45rBr6bkEXUnfFHL/Zy2RJlLIuyvloRWIOb9IEf7G68aM
A2NMbqQmbIA0EP4E3pPqycqxFmU4CjS3eIh9SFfzzU342KewFEcsQaYHq/AYljXdNwW6jzm4K5jV
LfZ3ZCcrptS5G9rFhuZxY4K6yvOEnCi1nH/FHJKLevpdsnYNznAMeRq3IH3eLaeUD6FsmA7OUXqX
0dmEL2o53IIErRysT6rSvgfF0QU3xM7Umzu7Qy6qlwM4kUTU1IQ/UrImIRrMfE1o+baKtsq3MAGM
zQ9USW2fFD/S5yMyN9o9pTPbJPKyg6is2zCHG+XN3sr0mjuKOAlPJ29m7tG8Ww1P42QAYKPklgk1
5mFeukdVuBruYnlpWxx+hsJ8UzPpl/G7GDAPFqCbu5SHrY+RaiU2JWuAA9sV9rEoDHMvJYnvrrzr
9YXqTGCbDP81K4AYZlGyJH4mf5uZ1HuxCiurgeRi3cNyuJqp+oSPXqybmnUXdAH+p+lzFoQARkxx
DTcpfzlsCjFvp8n+xi1OQK+H6mOW53ES17Lr97PwPssOCogZUqKDE+khsc1Ar4GBR3B3nCLdW8v5
oK0Bi7EtrIiDqk3blV/F4mJMjRS5j86/SX1iaVLEOxsu1lhUQMdtRc+qGPsomrHh30TCruIKHTdo
BpxgSFFCadx9cNpQbjSLe6xRG1eAYfRuKbB4sSEJQzFSGQGijt7zlPB5aBsqwyPuCkfHU/cMqTmB
pX68s62Cp1aHRYBDND5OhfHU2CRNSw4T3jxziEx/c7piZtC62Kua1COoYw2HwXEDS/RAcR0WYVFy
vPZa/Qd53CYeqXbjIJ8X5W0sYKdBo/XA3hviKS/BcbaV60PYCrmcqJepJnRZdFDuorJ5J3POwZGV
RUdjbWEat1H+pA18UcYGT8BkmbE3W18BvhJmBc3rlcN7KS2mAWH8W8z+Uzb5SYAXjUUzHjl6hdpD
m2kWucqao7xZ3tF7c+Q4FMiwZbGGXLnJ4ogol90wWCugv1HMxsfFfiW7cYfcqSOJIHHn5M4qg49L
gQV8Q2v9vUSq3BYaOSdOFTGBIrOpj6qllo87HZd8kyUKRrDhcml3xxKGwwsx15e6edJzcQkr8T3E
+ZX2gudMYs00oeIjET85s/kbHilhrKk+y9GmAbwKpmi+hargPOtxpowKANdjxg8OZti2/ZS/kSIH
zXv0SpFudI4lusV2Dy63x1Px088hA/+rJ3v3vZ7hIE3k3Bg6PZiqetG4p1OqmJEPSp4NHx+w14CB
E/5J+u3GnlGDMq2+uqN7saR0djL15jvEchxg9qJwe/QbkjHM5/ouHMruxG1hPVVSP7Zz9IYdxAXf
DMbHI0gOicwn3kk/Bg40mvQAE0J+H3gQUur7MsUBpO2ck6K0b+0yZ2JiNn/VxHsjjdNPsejnrVOr
betQvn6VWYQJgxNEQNmz/gRu+6j3TEWL5Dy1S03bsGjMeJ44tK67pmkDSb8YCksCa6++n8UdRWiP
VchkrF0CzFoq7hmjniQ/BRYTutcxM+FPS6diw/pebzKmmkGeQJJx+nDYEx2rGgRalmXwarMCgSoU
MGqfGsSWcQnzDrEi780wwGHjmDW0GGuhijtyphkqw4Yqe/t7Sp13L2F5F61OXWHyHDa8Zog/CPlG
AEDC3GXRRMqbseQonjzdfygUCrrh2doGtBKSG0AQO9xwtVXEiWb3DL0Cr/4kjf3SogXIL70fcBKv
v6U+bDIO5atiBPgKWxamFkKGLfuPwcqunl3BgksZiJImOPoaS3PXdYBlTbaCuCBMPW/dMbkNGrKV
CUikohutAIfMaYwZv3gkZEC6gAPAUaUPUhRBNSbZZpA8nX3CIGWyjMdK2oT9eqYzrQHblsnpq0H6
PigUwOqwmT8jl/97KXJuJeH60Gs/ZeOTLx9zBhSUNzpTSwQ4gRaTjP5jFMNc6iLqDCOtAjVuRHcj
o2IyfSTbiIBtlsPtf3F3JruRI1u2/ZXCmzPBxmg0Dmrivbs6l8vVToiQQsGeNPbN17/FyEy8W4lX
BdT0Ti6QNxopXO60Y2fvvTZLFeMDMfvz+3Xw7UdBonjRDChnqoto7W23TdXL9dSBLs8Mb3x0orX1
ORXOlzO21lpXbQ1JjrEuGWCpWXW7z5v6k5SRvxTSHOI4wdFryn3UuMHGcT/tKrLhT0/TnvNZ+oUB
eQoxhR4QhPkRZzNpop6vRlty824hIPPiHYgNfE2WS1LcxfZJZGSIpx+QsLCwNuRsJQboTay50tS/
5aX02rTIeB0S55hXZ9lqKinNiVdo+sH2eddN7vfkEzoQEjS4hP+mmmjfu2yaLCpGvNJgr4KdWhTI
ADVG5KjGrJ4TsamPSdzlWLbY4zSMDqCsXgsKLB/ClGrk1hCv8ncg2yGlbTw62RRfKgWxK+nEJxij
A6w+fcPVjnKRhts9bNfg1PT5++B1PDPgMlIGwoqJPIPNo2fj1uo8i+yG/EcYWyszymA3RAyjoHAw
C4f0HhpuvIummjIaTnKL2bulmnjdlzYbFVUzbMonqxAe7aJpcxxhWa97DjuvMjHR1cRZGvL5oDo1
P8x9bXJ8EnXCSWAyEqXmmV6DyzxQD4BlkdOToJ2maU3GGoyqQE6pCfnnTnE3Oto+RCG7jHCZI2fZ
6Z3f8lyoJYeIVUWXhl5EYl7eSw8qj7BMc65jfNBzknABRWwXovIOIUtQqAbYEnB30TFC6C0PngvF
HmFQ95VC9G0XZ4W0zH3vgz1oMnzPFnYTEugcL1y37JD4DFOa1Q23UcCuJdf+tDWq4Ic52/w7pfVL
ck27K0BJjli2jcmebq2mHNmn6MUYn9HkPBcKx5Tvr93F9Yev7qXL5pu8dK6Yljc0mX8OLMDozizl
c6efFSRoA6K/R1XRBmtBtMqCx9FMsYFgGD9gb7Gh4q2ldD7S3r24hv3LSSpeYL94UTUlM3TV0kHh
9t9dzXSDzjlugM36qX32Q27yhVATnsW7uGiZLqR5Fy/BOPqMnkumFX4mhoEnDYA208dj6mBvKgGd
bFIfeEYPKD1EDWNnDnvNjqKf2WyDN4i/UGHFsodjbneSC3CyfJ2BrsNnPW/yqmY+ca9jRUDDVxVY
KFpFJ/APRVsXh45YwnF5t8Ok/LnwW85D7d+FGhx+iZHcRjul/Xyu97Nt4JXKbO9o5/5bMFMbmGqB
GVhgQ9LBCEtW8pEdl7dYkUGuiEtejt/fdML7SNtUfwYsEtHNX7RInkKmsWX2wS843xpY4I9Bml4c
N/VXBlwPTAb1bdNGXMchFles5rb5xM7dHP2rHHV+EnQ0skC8D4kw7U3S18FQ4wYf4MVB1YRW8m2O
CXmhJgZ0oSsSkOzMyyAfd1nBUOYVQBkxSRki5aLRRT97l/wyDMNVmmbzUhFCa5P3SGPFuyxDGgtx
MQgI9OvUKag14BKyYinAFOKVXwueycRChxWdjb3MdxXTNklOHn1eQVKAbRkhngTUvjVDew/om2g9
292G/vhpUWpN3Wy9pT6N3vuOzbA/8+Y0iNdSdAsUWRLcY81ahMmuydBW7SA5lZF8qwWgytqldqcz
wYYZwGhI4OIVmjcTpEYS9d2urzFm9vhuQg5CmTLlUC+IeQZCE9yFfZJ1zJ5xcnWTDjeaT/+gODuP
GX2J+2FODuTYgw3XczL7nHguwaKbhk3vymxpCRdxke0ky22OQjIMjveThxqhlgXx1lmfFu2ZGxeB
mpOsU3vH7rDhcrpiG/KjE1zWczKUW2wAFVmBgvGQQeu9S9obt2bRyyV/o1tQEilIR4FwYKTDLuiV
3GULCSxJ1PTSNLR2Wgs6tRl3U9+9gyUBe3L2vCo5J1nJVkHQ2zXj9SyjlOrzLr5NDfkmhiJ5cHuc
DSRtsOQAu5id/qzBcWJ+5FGBZZjSak0pEa4gZwj5y3iWw998GAqD9X43VLd2bz1VoqGDhof3qun6
a6NH0oJVc0j8JF+XMQ94SBp0U1f43mZYEuGy/dT7UGDdhXX7yuXsfhI8qEwHVXsU2HwxqFNpjju5
Ljah6dNL4INKALKbAhXzmk3kVcAsohZnwygfmBLv24IGGhnLje2416mZjwT0uPm28T5XbbkerLDg
scqTw7Gsl3FUD54gcywtfc2KlGp5NwK/ZgSPc5TEe8833ufka0qfaqIWRYKFsVIEGJMwX0NhXmey
4nabLro8BIsAt4tfb7qCmoXQb7cu6lxvsTvJ0omnsQfEXCNbgZ5Itpo2o40O7VOv6ghRHoGUPUhE
SpNan1+hEY8PNNTvZ9fgk+ISzouz7GXM+NAByYehkPRPndkfqHRfd1W6LwLJ+j3kQUXT5ZZs3Ots
uxdJekhlUXoHp3XcaQmRgMg+dpaq+BEHzyMbXiglm7wGtFPkqIzJtO8yeqJr3NYgmY5589Ou3C8v
L0r+mT3ZmoF0NHdfeZTEO0pSvQSbBtqGs4HvfgQSAD8vPjIlj907ctK4ZE6cG4DMZO/g8EDgwfuV
16eZGuLRGb/SXg/rIlfxgTn82RhYwRiJ1qw5VXBsPJIAP4RTpztj4FFS2IRX0zPtImAJOoQVekQ4
tx3cskFxP+YxNr24Xls5lySPoCOcH0vsU5/cQGeVTxEQ8TzR/Sk1xZWe2nnHzp2vQC7DocZj4zHi
9wHpsQkTdBovK2YsMzO2002Nskfwl20yzeS7uFokv56NUj0QyxDSO1RAx8gBi7dIQZAcam/fpDnE
2Ni9T7T9EhZueMSgclcuurNrEaeLSvN+whu4mnMk4RnP72qYmr2cvM8q85AeMUruCyrWDJHdYqeB
tkCWzQiNq+GDMArZi7Up4OMOHFQ+hgc51SyMyGEAxuTGzkK/RgMsbWjSvw3+2kV7HDKkfluo9ejl
I4vUudotL2qivfdQjR+//wh1fl5oXbKafzcT7Rah5xlOABT3RQfL+MlsUm5JlsZzA0qI7GYy8Ap6
0dc8YhXLWSv9FrH8uPyG8cd2KEDN88AZumbxOZjFW9aBIfYq6pHYJIfGpmnYZBDbfW+x2/RWuDeT
3tnkuDZRk3nLty6esZxic6zGyQ8gYLegfaLdWPsU+IyM5g0FMnnnxHc1xB8JO+EwZyWTovKx1by5
SUJqclLrHv7BscvaoxkFztG0ol1XhJxQLtJslNo2ku1MRmCaH00veO8gAS4j423d4mDoDbb51Pme
Eiq+xsydDu/4OLjlzPx7wWugRuL39St+LKxLDgm1MXHEc69dGgNVicG9IP6V8Eq0w3i2XbGt3J6v
PaLn9fEiKaJ74Sc+FJqjxQyaalM4ax3yH5PHCMBRE8fh1Uoirqw+bIGaDZDuJmevLW9vjs10jAfn
OPujfvcS9xJ0mFabtEox7QVXv6StkVX3lX6h+QDDdUc5ybTrpRvx7MIkZqafLZWGpyyGCFG7Yrrp
IrGbi+4I11LBh870Vi5ip0sb7hYxmVwwePlaM6LC+HoZPfbjqC4T+bKNTYsW1+/5tLjloMnhBTBT
f1cM3sdYOBdLi3uad5ylWvF5qNJb6L9qNfAreVDn3IFpynFZTdHOyYC4gFBa5+ISttel+lyOW2Uz
zoq65O+Fy2vJXdgjjiAIuYsNmEVRzT6b3tNw62ONH/AYVIN3kFX1PQyFd5jTpci5ReMnV0YsqHEO
mK3pMeqy/Rg0LNwEG64EjjVrwtJeVymQfFp1ClP4WKI3tQdnDotMsyHlCDS33mYlspCa4S/NGQky
PnyyZixt68U93egd3Bs6wcpbw7zpq577U2tWgCTTjdfzq3bGOBOKhzwmpTnZ2UuXT+fff2UvK3RQ
CMSN/Yipu1/7QQM7GYCDk18nmX421BmsYJujLeLwT5A8+sWjBqhsRfEhkiS7ReqT7gWtkn4Sb61E
Uj+O+IfiuIhkPq6cVTmNazI06zYAYgGLjp9FUN2GLkl4+Ouryb/SW4tiiVJpJJWDsJEx14NQm9qS
QVDE94EPHlfU1U83YGZwlpuFO9q/skE/KpfkFVTlV9dvn2NKJbELjzZdnQkLH5jenuJnmcXBHV4P
sAvIXtzv7rXA1AJEr43gIAkINXwAvGsh6jeAUTfwqm77OOTKY+KPafP6bUoi7i3NA/GFHPRtps7t
DLMwHR5cF829bI9+Lo+LRNwO4lF5Db5B7xrXdDVnu2U/SkBfXd14ZINK76z5FbYTwUUgVMgmq0aJ
x9+SndsaIPxEeQWu/GsRTT1lw2flRLXVdRKYonx370nnPmjH+xih9n8WSu3/n0yKYclUJtMJ0s8/
ZFLXyLUKtUDCwingoT2z+X3jePxMcvsxFNwUcwc1xijhJXe7WRb7unjM3P4zDrSzqhz/ajTeNSvF
vvDsO5IBdwU9JMVInQYPgDJ9z1zWoV30RGr8iSTu5+/v/9/VCkj/jMTe8N/369z9qL+i73/Fl/71
R/5yAjr04Ti4+nxfSvFndfWfIFLL/sNSLr8gJKFXUy56999OQP4QtTty8awBI+UH/a9OQKkwFPKm
8ixMCI76X/XrqH9aOTAT0k4NnVCYlm054h++rZxHEx4fxiiUHnsXyew99dHREHKfU8G5oTOO84CV
hij8O1xMb0MPDzskhFfJ5EeWlmrlWcNPyKOfgyLpmjd3XRCmLKZsnATFbnCFQQNwfS4G9IkC7gmL
CHxELqt21sFYXtmv7NIU16A753jTZpaa7GzHeqCThNWoKMRXYeR3lL66m8TELW+yKy4nUkK5R9lI
dR0A/Wr2D0kfkwBXjIULeosRGuJ1cpj96r6OgpPThNRupx9jZQTr2cGMXAA64IRoWBMa76XA0BXV
bD2yyDx6LRdHLZ7CEAUhOxse5UODj8idlj+nLGofUpmxf8hp86jbz8D0f5IBRRDxAJ+Kafqh0+ZQ
+/HKrca7NrKPaJd88Ya4Z636h6DpTXjZ04WmLocslIPG75reZgp5hPsslGqH5rfEDttjZsz7vPW/
yL+Wi98JEmlFgLeBVYf8zO/WNebwNt8VOX5ftgeL8hjetNzfTZupyHdheo78hzLBU3Mv2mRhCRMH
p1dQXizEa9os2SLkXb7VE2givxg2jceE7lUhlnQVX8aAiJ5IgLCZw3BwUKYBQMcMQxUYlMXB4tY2
ZMP2Oy7hJ5VNX2y8LgkoleSssnj+WYmCrdl12ODLHA+C2Qwbv8j79dXKlN7gJen2KrW8+6ln6VGK
ECJO885NhQ5LzReqheEd+2iwADT7wd4ZYutZeUSoO+Ng07xT5+qlVKCW4qEEqraAChRIhVNKVFAk
tgcPofVYNQRy51Yiu/Zh0+/YdwLMpDUhnJvnDEv1Q12GGO8G5+JDzDv67IEe43G8yPCVoMoSrsY8
KXvOGhFNr2PO1R9uhupeja+xn95mSIoAN8e3AOXk95FENpvah4EBZbmYdOg6DNyY9oWInkCt35lj
fWPhtMelwHynLYMb6szR0oxHGJ/tqqLO+lZX1aPC/XNMcnYpfGfJxmmDbOdY4HnQjXnPtu4jwedE
0vYBLskwje9OdJR0UKg6zll410uE4CUREcHD3Hgw3Z4qS7B3Xi6wUUjBqh9xIKvmgX0VwRXdeKCH
OA2cKjtXQ/RVlu130Frxnooe99p77Egqiq5bxVgUlJbzlnSIqTZR+zuTsQQCP5wCoFCJkWJmqBkG
KoWMVpIbv7ESluq9GUOU9wvxXCpuTmXdvrevRuGWO3cxwYdULjwJQe+PTYxuCnkCxRk79NBEcoAm
k6wXL11T4C608CGPi5TbF4I28AodSpntmpSxudcVYoahm+qzlTWLz+6ubv36OrDm3ANDuwE6xj3B
bLd4pQ9IVMZt3ubd2iRdsMbArQmOcze2+tY7hqHbPEXuKHa/f7K1+SNKk98ezHQThSmwiECuXKO8
r3B2/F5HlAEMX6eNH3I2ieG76SHetgOu6Mx6VYG4BJrpWLPcSroFqWETMmro3s08RjAb1E4uS/Z2
swUjmMQ6s2UDWbluD0PSP5Z5Z27Zinwg86URedyuOZm5iYBs3gcOCy6n8Q9h1D/WXPCWfiUQOeIj
S8U3wUzwhznBg+mgjP5ZUtvFnMf2dHCIaHR+tZ60G2+beP4F7+Chc6zXPNw2kckdzQKIErfOB/fF
Z2D/b20LJpLbkWiTvclgZZoopBUklrWs34aGKBqm5GTblNnVDq2DHI92Ut7YINNWolbJJkjDR5OG
2HzTEFNYsRrGvrlu9v11dmhQG1leRvGuDCGtx5DdN11kXlI3OLueC6RTgGuNNc+FdMkypC59N/Qu
iYlIWYMaXIUAVv3UPFQ5d6WZS41Rknb+vUjdCgw5lNi4FiNUXRJqzy0awoCxQBwwHNMEogL5YQzF
oah3diMe2Gw+xkZ2skwMmlrgyw4XRvtMBwZ3I8vaI85wAcyrX1UpngctdjR28oOkiHwVg6JFPcbG
gLeKW4UBa5r+OCdSXOjqmyzovwu9oC/YhkX2cKAV5SVAAiEODu00pKWpdD8m8eSB2Vs5wsTdrBuI
lZ3/YPU+do3GxrZTQspcRj0zuXXkAB5gbG/GCS/46HTf+Ll4jTp+VjAbSQO+W5V+GSMUF7eX7J3I
bc19dNHiPcrw5QwcFRhauOuttB8J0l3dLxhkfKmwejA6+xZo68GbxqW1Ij6bdvuGp5GCOxJriXdw
o+E0owP7iyDMcvUY/5aIF7HYRTVOUI/1IiPbi6AsUZb7RWKmTI8dL+ns+T5twNqNUbJ8kkC+oU6H
E3KA1MVLiW5dKgOLEEq2t0ja/UhulvU5hkGL/w9KFSAKNHB/EcMDVPEc/VEIlMhyEcxZuh/nRULn
UsOSCVV9MofXFIW+QikTlJM5i/xuqfmnRXOQhS6flqhVyyp2CJJrPjjfaSwuvnGe9fQy+c9VRFFq
aCP0E6QwWQrniwGgXawAPPJvUny9h3dkqW49xfW08zEPFIuLQAg+cKFG6RXUJNMtzveN6aDAfJAs
jzgq3XvsjPVNsjgUQFsnSwY3B6Nr7qME8pkVBAcWWiv12iXqlg1JfGiGGRBw+BpMTXcI2nYfpbx1
HKRz9CpjzWofNEQ17kdzevPygRotpdksDvzJHEt1nl4Ga3qOSurn/cG8av5lMhPEI+uXCDrtGOJP
iRVNr6agW4fs2bGbwcOUgXmrXFaqASovmNj10ECBy6MnTI+Kdbn/nHoC7g9vVIQe1K/2nj5vSkcT
60rYBeBD6EtIM9XSVS3uUsWSDZ2aIniOaVRVkwgLPLrpUJnxz4HmkpWtnYvtwY+HN0vXfdK+tQHu
KbE8htnpnYYUi1vlie9UtEQlzBmd0J95DriyZbbFUFAl0NQ1djZHKtreHbkHrpKfsJZhYcKABDgY
OIwkkCYrhSTPtbUsP624f2qwK68aC9wFsC69bHaToNb3SdNsdZWDoDWwBtLheBeYNNvlWfUi3bl+
dCCx8ZnQ4AqGF2uW9o0ZdLBwo5NwBdi1MhmJ3W2z9OgASDFExC70Sy5wn5I0lk1wZeWHT+7sbyHH
PNQ+XvdRei2U+5qyBwgFbscC3GiMQyFhWMwkKX6n+DrRfk62g3jl37Sm+M49nzoim4ByTAy8M7ML
jSOAfFT7Sw4YFp0p25pOiUGCfPPYVxjmSvK+ELcbrLZk7GE5Aok9Jhi3ZY5XNlCvSYG8TO0YoCVc
FYRlt9A1KbmHMLTiYbjydfhR+OK7FcwXTHvUq5VHT6UfpVLx0dQtZhJDsjGk1CtPsTib7AqAdaGc
mRV79CZgowlPZww1BrdoBpSZlU9uTVUjQNyDX2DtWGCw2RQhTU6s9whkrVTF8C/NeeW6tr3z1I1D
Z8+hdmmeM7z5vgLXp3u1arkV3fOzuqX5ETRjn9wMHN1WyI47ydu9dtI7z6kWG+B+dt49vtYuytGR
6xy7Y8f3qWV356XpGZMXCRGHdiQH8cMt6esLKuYX23tvqEdhMe8AFKs/4+kX+IByB0/lp1aw4liJ
bSXFB4BP2LsFPJ5Wwo/lqjkiyTWcKGSoGn9DWcBJYi8A5cfGPWNnX/c0pUA1zQHM4NsanQioGqcA
1Ve8Z9gSxmuA31ePfP+Wb+qNI+AsJ9/c4ewCbxPwYFMDs3DzUDfNTzb1ewts26acSocFTHBTLfzR
ynEgnW+qfgBF28enquuoICiL96AtnaOIsL1Qju1k9qZc2p6XSPEkbegezbytNIdcuMwFPsXiKOwZ
ENl1nTMlOnV1Nza028/dfZTVRwhyBzbtD3U9b7WnvzPsKzuNAXMXz6W7Abx+JtjCG4yu1ShR586N
lstes+dFu0kETnvOjUtCxZSm42plg3+eaEFogmGLFMBiPLjN45htn12Nuzjuj6ZLkwGx9w3tfQOR
+PFZeP6dW7afXl/fgd144mCHNqCiOwfvIhswJddjAHEao/MGTzaEsqncEB+L8UWbP/MRh7dCHcPH
175BisVojDBpmYjXwsP1M2eUmvfaSk4417tTgT+X2y5mEdkVa8vKSd7y2o0FC8wwgAjRyvsgqyFc
KmgwiIVzbf7qcMRLbnEn+Om7vG2Ovl1/ZwF9A0Y4wlAfzS0wBWRbRjo7yA7T5LroUYO/V6VRrfwZ
mntaeWj88JCt7MswogezoP1Mh128aXrMBSXw2NEPTx4i7toLFq0Z1QfcYo10FQPJ8Zocs6PxQhac
irRFqDTd6ZdbHAy//1G1XNmt6NDH3LYEQtOeRyUjxayI7Yz0XPs8ogn28DPItHfyQ5jWIfvFAL2M
wBDRhtBUG2llH3JuAcDU1o2lqc2ppiOPWr32DW/aZcm5KwFKBr4/3PWDfpBBf8+VPeTLujuVt/Q2
AkOm0+9mphHDQnKOIxQtwkfRn1GYf9dtlsAZxj7xf9hmAbNo/ss2668/8tc2y6X4WfJBkKZka8Wv
/Z1rtVhZkSdlmyVYKSmHPdPfyyz7D9MzLd8ULCthgP+/VZb1hwOM0VekLzFRsP/6u1Lo/GcshDYi
uoooI/rrv/+j6ADZ4gIhZYTp9R/xEXRnR5mWZ/K9WVAy+EL/Gh8BbDNxTzewi3qsYrC47H3aVseW
tnOnhvKJGP7ZReFzNyKwTD7Rd9DcIa6dOmB5OzsvlcVHzxz1OYyYZAZRvgQppmiTqpZNYB99SXph
jrBlQ89D1G09Y0PNxQfL5V+ZZJBTi+FNAVUhbZJsNJZXIPi3UdUyXUrur1xHR7ALqA5Ot89nJnY/
+mgpwT2ylaCEc7oRLlikMC4P/Jbn2DJvPWAgEHPrdRLy+9vBA8JCAiWrJNU1BdQBf9rpKY1virLZ
j7m2j3CX9BoUIo/K2n4Gy+nskzz+5dbZ1jON5piXCYaYClcvT+CjOzoEJmM6wdxu3A9j/BBMnEEY
hAa6BeoTtDHFvzQSD2GFhxQOZRQzko4FtIj4IWL55GX9tXND2E/tBZsiSX5T3JOXbJNoFybDUzhF
4coo8A9msfVuinFtmeyn7PCmdKjs7qObcZ4egRQyyWBKCpuDCvTFRqWXfvIZdOLGZ+ATFo0WpiCa
vuQ8ifJgqCSXyCuKIxCdrb9XxRuJ2OPYP3aufaLl7Wz51S31mj/6obvnDZDflw51jeQKTJ8sZjQh
RcV00HC21U66x+95kyfmnbgvknTnBuVplO4H0Qd8Bmxp+PfwKEcMps1hKR2IiyM4GSxSEXFVzwyh
9kn4Nt5XYjyQl7mtXeszzK1vdiiEntMfmjm0aejCE+ui4CGdwF/HOr6NKuIUyj4IhRFnIHIUJcM7
++ALpIu+IzGY0OuGa2QtTpM03zxAaUOBOZzY5J6j0kXLNrjGKsXqxQKkNqfH2CnvpFcfXQxUdKxh
FxtZwYRU6eUGcwM2+2wSm6DjThVCoe1GtRvaxU5AgIqhyaNvcaoeZOF+twMeQn+hOJOMWhlP8hws
p1lsqGHfLQ2tOZGPFC6kGXEZlLH7bVJtuFU6+ij64YFqc0oW+PFHBbVGghERqiPhnnnfVlTedt53
Nfvhw2wIMKEDfNswH070+63CKV4XaszvMuf3cfvDtGjRGZaGw56SiFkhn3tgvuep9rd2wPJASe8F
811zVEl/3wfgMFujucF/IhygwqZiSIkXhn2HRGW6yaahK1mQQarja+VXuzpi3VhUazXRad6zXQv6
cKtIEYmYG0CdWPgs3pSs341pvPU4O1XQci4ucSYfA9aqFxn15jOkvYI2W+olyxN1xKveN+4td/xI
Sn8rbb1xqdQLQ+dKNUKWOeu4mE4GF+BlvZkCvlJtsrPY1WELf7Xx3hS+c6UUmHa9kpePRjrZ2qwf
2nPvzOZtHJ9Hpat7PUK95ASu9oBwqu0ou0vFkb4yTNwnKdrwdgjZRXRUf2FXe+Y3l7MG2h9ZObB7
rdlS8BJZ2TGAj7gtmFm4XgUGV39MP6jF994SYRtL7leBIoAF5bZUX7GRv6S9zcWzGn5qXtZVV+Qx
TbHwdxgiD5M77zKTz5TDzmVhtjzr0TipsBQvHCrfqVdc474uT3SMFBjsO67Y5fwZRQI6T99wq0B4
zAWJGpWXt1aw+MEZUDorufMM57UeaQ1sHZ9yOXXw557nAebgNMFvN7YT2m58DdpgWqrC3tLk4gLx
XmkDPcAgm3/K6wGHAZG1l7xIo41WHV3fdPzsxgyUcZP4dxXc+M6MftasqHqhHtgCqBItXrJvybpR
EqJwvxcIMJOuxoCGtxdH8LSyie5O5RWMabmrs0cshzeDP2HbC35Y9i9Y7mptaIHgxgit43EfFe5I
EmJ87CwoND3lE14jcCDYlHVVeHS6HtftUJofXkoqRZv2nanhYAWSHdqkaJBN0/FZcT9Dx7QcvQPU
+w2+GnFhFBf5Fngu++2OhYaXWR0stZZUbUNiDNgSHi9iY71jEAIaemzlLc8f7V6oML9S6HYXL0cE
ncbkTUK5TV4tuEjFpI6WBp7X3pHHxCdry5ar4TcJeopxwpHI4WI9yfwYMfcVlO4p9OntILdZkIVI
5i07x+0gjB2vKUVp9mAubfO37HbHDbSZiwtOOuxPJYiB1ZhUpP0dUDdZJT5rSdmn37Lqy/R5bKiv
TFV3UytCtUlPuBybyM90Zo3ud1yePXmfwHdb17a+hJXig8jzL2cFx6N9a5AhGmPK4x40Czcg/VsP
qgL2LF6XjGPVjijfcRl2CTFGOhSrVrn1Dt45uRh5nFtWcxTYI/cTZlvFk43lHJdC6wQr2x4uncnn
BG4t5PWyecm9W7iDiqtYp7dg1PeOw4MUdmpP0JLdrqBjYR3akMv4gTUHg0pzwi7iOQ+DfZrq6FqF
05fdR/oUuh25+ZbPdcjfZ6eDsZu8gEPepj2jkGxEdeNuxqkH+ZN7m7a3cKIaMS31VnrhE9fvcIKe
FnA3pMdrO3nZAxeWTxDln2VP5iFtuDsCFf9udFXvjGx8bsviE4ZitCokNnEvI8fUpPLCOrrcETfe
zhbfLMjamq5Nn30LWG+uvTN2nKjlaEgBHSuNQhTh8aYkqlgLU4d77O/U+UWHceLtVbK4+b1PYqD6
Sdhhw07rhiId6m+htNVRsU8M47W1c4Su3rzQRw6BGSUOKf/DdLIvhILHOcVBmpYYnEL7BwIHSMmg
eKlM9ECA29m0JJf4fyFXSYSORPOkW4F+ZE0s2y9Yrl9B4ByUQ/laxV9EQ/26aokPdKx7bqeCN33k
qkWI9DcBi8NNiSVtTboIP74FYb+y9i6C1dqlPA1Dd/ExoKdEFnAgyca95fAIZ/bXXoAvvTFYBMdM
Crk3X2M970rLaE8TM6OBCugW67qqntyh4Y3WzCakaC5t9CIR5duK1B63lUX6L2ncrT0bl0Y6L3Zi
7XrfeekC2OBJYHEro/YwneJbE/Tj2mhMGiDOGXB4JCv9CzLRfMNjnIA4IPaGd7aax+tok27kmsVl
mgtVR4MWuCklcffUp0xTsj7p17AefKhE5oun4S55PEd1mX+Hgb+FDfBt8U7nIdU+uuF8DP3kJSla
WJmx92wO1o8QrlzRH422VweDQhCm7ZyxNbINNi+8t2R8E4505WF/RfmMidZi+zXhcJBZPlEev81a
fcqxQm9yjX1aJ/DVZJTuubkyfbl3KDNAVWviGH1itgA40QOHa2E3xWka/bMdYu6hIIDJHaj8SrZx
cuj8YlpbI+kJin/FPJzA1ThraRhyp5kNakGcYhmFceQcir5DjHbmczlg/+UL30JVdcgXrbORsXxK
jS/JXymwq8SJ/YkT7VCHYkPbe7nqPxCejHWNILuZ5vEjKOxHxe8+Yjhf59y17/GrvjXJaN8rn4ks
4BHsOc2wAxNyN03mKxYU4pbLyjD9mDUVa//eTow/MUr//d31HH/nZdH+l9srJrSFvfTn7dX/w7Y8
QHCO7boslm0oSn+VwlL8ipkCiwZIJkv4wuJX/r6+yj+48dpkuz1BH6VU/HVN2bXRf/4fSmG5bIIW
Mk2f+k1H/K+oTBZf5h9XWBA6jvKY5y1HYkh1ltrYf+FqVDG6WFO4YGwqgJ0ckAToRjZ/4CC2w7Bx
RxYxGROL9VU4n9IlLlIFSU85x0s4DvpQ4V2me/VQFD0F1GCIh4Xvp8RNWi9XlV40eOCADDpoOQ79
gPCKCBYbw97uUjZxFoigvsStHvhITbZjk4czqytt2j3zFYxN2xnPRliSlRztfSf0qZ2NQ23kOKpV
7OCHGLydVYlyg1/jPGOUvc+1vJslWyUJLM5tS2PjxM7XUMSc8q5xxVHoHkabWTorHP/M0ojzrZKX
boZogGNhm4eYW6s8vMTlDivePTZrrGXL/3SjeJ182G5QXB4NRN8tEPJxS4oh3+P/85gno5R+Wcs4
Egdv4GjLUFEZMLUX4drXCqf72jSZsVozf4cs9xMuOZ5f9VQrrsQIDOOhyP2PvpCYFUhqMzeYX14t
v7xh3lCXEeMa696qkLIaruTfg9bn2Jn9tYrW8EHibVUhhOahujZZWmyb4TE06ds7IsdZtM+NcGYC
/7RUReQK+Q3o8P/l7jx2ZEfSJvtEbFA5xTa0TK03RIqblE7tVE8/x6t7gBb/9GC2s6hCoepWRkYE
6XT/zOyYGhCrOoW5XZIZ89xg4w6YwHFIZoWD7TYm7V08xAG+E4gXKwzLrzDYUW4772EoyTUalLuK
ojpVOTXhZhdCf2luVRv9CTt4iuO1WThLupwWlS964PcM4kzspp2b3sYDKVnHzHYF8zXUVMdhFRwh
zdK+tW5cwSlQEo9243yT295losrUae67NIDiQEXMZhpaes/I1uZwYLvJ48OJyHn2nIEaYT/T7yNV
3VICk2S72A+/85TfW7AoB/kU0wqPx6PIP/rKW/ZDGKPi2nTLddmtC64JGc3bcKE8SRU8Vf2dqZ8/
nom+GwFXWtuxs6KHLI9OIIyWi5x1EILR9DpZyt/KsnknJshFupR3xEujNgnpCRN0TSTtTrjwZL0O
w03khkxk+nzbJwc/b3niJyPyrMybS5vlTF7WDleKG1/tBtFkCu7YntIcX4PA8X4z0O0dihwnR1AH
g/kZ04JFSuTe6cNnkLU1uSNn05NCpnKSWbNKJVEF19kzNyCrv0zPg0Q9a5dqMyiW/xlI7dEYUEUW
Sl4q7cMPx5Qnp9u9tP74zH38mkdLhJ25vummrt4atXi3coe9WoLuglUZA2WPedjEWA88qqZa13uK
MvyxAdkAoozTztLnbAKMpt8OByU4mC+O9T3QCe8trYcf6YcAhE/AFR2kavmpoUsorl3cB9PKnzgz
UrE7hjATHqs8u237aTvI8k1ZnImsCJAqVoVgek5IJa1KUMBt9T4XGEVRin9n0d8h/n5H7ayzGFW6
IU29GkcieSRf/Q21UC+qwhPkEVVOfJ1y7J1z7WFMzaKMsIG0GbZV/LReuB+CRq1N4o5MMyL/x2oI
boXArmszu1+wTLA1h1GxqJe4IqcUZSCIysB4txPmzb3FfIN2GG4JZzw39hdTRTCNHLVXoUiP5IRu
p1IsG9w437QqEMerieIoA+3Gb5pdineb+MN0a5Jog6pZ3at4uvMLgTzC9N9q72lhcMHwYvkeuKiR
QfK4f1Mtm0wX/pgNVWw8D0IFh96XB1qRf1zSgoGSH+MYEkZCG1KR9Am+u++W5k4CbCGe7zHX8afJ
2rJh+nJyCKdufVeLW3Y53h67zEMckhDNOCi2HXjdiVYKROYQuR4T7cpmZlJ56HrZEGx7pvz7zsng
KxuZ7vNB0wIoeZFtsKOA7dGr1viF1u5yBQkYbf2IJPFPjsq+46ROQikpD3QLNsK4LWMfXGCIB2MO
ihvThKCp2Cg1snaPFrx+0juuxupHBAD0wUd+l3L+XKzwJ3TYJCXTQ1ZQj6u7p+G1TricTktcqMuQ
YPCpLyUFoLXDaLI22JN7PetDVVXIMM5OhNVP6XNQDXSxZmX42LTrCUXRXVlm5h1nxIROF7OBpu9I
4pPfoJZq3kjSZuv8BQbIsDEnHolVOb755vQWFsj4XWa8iL4g7QL6d2zRfDl0kV9zcoTX+uAKjXBF
llmnVvZjTNXhKcKdziijLtcEC/iqDVx9SO5bW1M6Q83rZF6JYXveVGEpOABGPxUw4hhbPDlbwuQU
KZM10ARQhkdHRzNBYf1fKyChnM5jYp8chCplP9AbwsEZccnL63OnGaPxJB5IsyPesKgyFIEpApBU
mThCZhClKajSGDwjaBmuoskdDpaTcgjQZFNbM05NHO0dB4QzwdhjAga1WzICCDkHKXx9mpNqaWJq
r9Gpjn3J0vImIUl9glgGqhbYQwpu1W7hruZmfhvFGQdAzWRNgbOa/EoJJDvc9WDiNL/VAORaAXRV
GfCfsLx3rbNShLVIBabgX5VeDuhqezd75smVNeAxsa5el9NctKZgYjrkoqElU3BD+YBLox7PqdV9
JYyfYM+OmkJrgqOlgzun2BxCbTr2j2PGLjvZZiy3adUWR9l4f3LQtnFp/FI/euv9xbzlQBf7xnsI
DJf93pGiosusKbnujF8gHcXJ0wTdjPu2BKnbDza0xeRzqA++Bu4C3h2V8R5beDsCkLyel7yEgXJv
FCQYZy+YZgwtBF8EwIcS/4i0EKGjpT3MJCJ3Tc92RnXe69S3oJDK3Rwa8ZmY7a0n5bAZER9Xs+YH
U235jZAqVyZDpB15idsom9RxLhGBRxvVPOLEtm6QIwVsYs0WAjEMrVgnMSjd3S0WJGPKpGsa16Ab
m5pzPAM8LuAYhP2gNgxYaRzvq32q6cgY3BoSP1tPc5O9BIKy9QApmJ1HzvYhZbcxatYyFPaCMx38
ZdYbSJG8BY57A7SorQmqOQHZnGl2s2TUsrKT6Vmm3LS2Jjx3ffTegHw2QD8jm0SaBL14knxxkx6R
VP1V8ggZIoAM8eL1X25lzBhv2QfYbI1RMxjnt1+TmU0bT/OnU58YXSrxpQH5od+AVqR1n3TWVoGu
xpcEG5B/7ndNDVB7BHENsuI7aNr51Gj6da452GzxRpQkmGoSXysz7/yuof11FQHQzgFpW+P8FHPc
tqynAMz2onnbLKSvAgC3G8snPRiMAXMvmtCtEq6e6i9qd+K+FrxqD86bIdhDnooTfr6EZnV289Xs
35UgwOOEbGKnqeAt50RcsPE60sTwOAtIzwIRd4CJ50N0lVb2JQeKFWRM+jKteEJWpPs3HphMKqW5
FOIUQjnhyjd3fGja5rMDYG5qkjnDHmD6ud6/gjkf/fCHCtFTN/Os9v5Iu71q9FUXQUdn9FVrWnqK
sanT/HSgQU9ZxYwCt4yGrXe2cxIauK5h6xkn+JVPy2IFk92GzU774SYIq2sPs72E3W7BcM+KD58b
kBF68acRR6KkLGpUCGj0ewn1Md6zA37uNRheiGFTN/Ye6zemONjxjgaTdY24GG209nzFbd0fIo2b
1/m9aHF/W/IiCzz6Fi69kc+feQ4LrGvTfpvArh80xF7MOeILd5/eZKfwpgu7fE8FZyEPAv7cPXut
LhyEjC9s69uS6Yly0R1GOFNCHncZlwjTfF4UABFs6y+CbwgG0rWC5nXIG1anDh5/13eXwF0+zb/m
wRD7S43uJ6haAHgDMATVnzaSfe56RzU3244Ijhb8SGXxnCtCwRPrVZJTtukJoF8D3SbCDgTtbmIa
OtMogAu1547FV6LLBmxdO+DG0aHWRQR+PTqwq4kkOWjvsh9vhIO+icT6gs8hoT2ctaKgp5GGA6Lj
d4LGg1BXH9QBxuvGW9DT1G9DO0KtaxJg13JeoDmhokHB1lUK8fie62oFSccCZIWRL87hnIZySgtD
0zHU9FgS1pauaMh0WYOHaKjLGxr2xBuD7YmGdVT0O0hSW3cDZxm3YFPjMx+SLWUQi66FCHRBREpT
hKcrI2pdHpH07X3W9b8UkcuNFVYfgy6aKHTlBDLorhuq14ouikCXUkA271fmqJ+VmqswxHBLE0Zm
7BCNMrkkutvC1S0XIXUX5AwPC75HM+4pKJx/pe7FQPN+GCnKQHNuiOvBpAoZPwmcWUK3agTUa5TU
bNhNs1xLEng738nX2n/BAeq30d0cmW7pcHRfR6WbO1o+j4Aqj1l3elAaW2/m0scmREmIKe511jCH
1T1Y3WnCCIus9tx7GUshKg9Ax7F3782qoU6dEJZrQgfJx3urgmQUQMSFZYiT7LcpoLssgOxW6I+8
dlQfMeJTEfc+MR0lLIXsQOXrG3Y/7GT9KbPllw2ksyFmpot+nCq8aTkkePHVCMVRgk5ohh+zrt8T
7GGxyl/oZgehm3RMRDuigw1dy3MJ0RMWCMQhVpfRQtkIt4HqtlE5f3cmV0o8eRTskUjz2uy3IPOo
rzBsGxu3hinmx7+mDccz9ekcHo23asGaDv/TWngLccLsPTafBhADMc/3aYCX0RS/bii/vQi4LfNU
WgY5ntqvkdd6q0F8TAw+K6vfC6f8javsi165t3kEVkFMcmjkzuzBiU6Cl/RjdpZVTraFPsAau+i6
FmB0PNx4c0VQfqJgFIanJmD6ef/G8OCNnjYn8xnAqHQXRvM9aFKKTDQ8ktow3Lb04UIxhfJRLkwJ
nWDrTv5NTuODN9gkaxhEew580kB9Ld50DUPFPepT5pQfMPpy/3XtGyDP+5Q+Q6wxrMA2ndvKf/vr
dRgcvzmSF7RG/GdRw8LayK+xLW95BmyKgkIaeKSVarJVnaS/k7sVPWBiH0hgusQgBdMvqrXSde6J
ezILW2/od7EVXmxM13mQfsUJ4T1EmpuYUbjllyc8X9MqMdPfTMivXOXbJvAONAVk3KkoH0R7zA1o
hxdVGt4lyDBcFLuMY/i2nNgiT+VyDrve3tVL8lpKg5B0kRRwGF1S5lWS7hs2g8nc3C0NVQrWlJ8j
M+bd5j6Do8I4+2YzvOKCOJgMQdejMeBLdcn6tBIErrB5iPJ0MlT8OdJ4frBLRts1HYxwv4zh2DjU
0jgsXE1h3ufQm3YdMxWwDsVHCg7KVjwRwPauBgDHMR/lKgM2AMzPugOsV2y7hp3P7HRXo8cPb1Tf
Lt/PVmBZUgEze6r5fsbIbDe1ZGo33zvLa+L32W3DqTc5IO3YeyAtkjEeDodclES1xbBrO+7MdhiO
0jEb5grmYwEwkXy785rmxKTY7k878huYLQ1cofoGU+Nra3TvBoACamjQW2fWVjEW8jE26EcbrIky
hVPdpbtxEf2OxxqNyJ7z0y3cRkoU90HUwO1zUs6D4bIZdL2zWDgLDSER7qJm/221Um3bEneZMlOk
wZQ67wJBCd1g62ubQVSwbLr5kN4FqYs7W1LzMEkGU6246X1cVnxWw6ZsKBceIlTyZWwJSXSWYmMe
ffLIGdZTTHGaS8SZxc17AAhu7KTry91QV7A9reWBkf9dK80NpV/ZfR6MjxyN+SDwWg+qfqw9f1fN
6j3tdR3ZmL6Q7OjppL0yzb/KdnpEYIZr1USPprC5+W24fjI65xg4HMxpXQKKLaIWXb0NuDkqw8YS
z14LZS02qSaeWQrSLr9UA5VY/ZBDMikoXaBAGrddM/8BZrUx7cy5KHy2Ymo/rHDWM0f+oMyIeAxW
9FO2aXceMz4ptE93S+2FRv2UtE8VUf73v/ERr/o4ZWc9wzVXknxywN7VzpMfp8Se66ZJt1J2SAUu
J7nUImGMOSGv4ebja0+IqbaHpe4eR2zB61brGuZQvjatTSkis9YS3l5q8rgO7LtINiN0XCiRMzOc
oWqeoM18jdhf8NGU29wiQTTmA0didCeXYQbVay7e7h5mUo4nED8UoW/0EWdj2XupecCqIWBDL+tu
kpwLuy659eJyk7kIo0PRPJ7DEqlSRmW44+IZFyc/1v1wYyvrNfYbzgKy+cpwAZXqywnpGY+Fccmj
8XP2PIYKKFnG+ByTFNnlyfg5Leberjau4N04CsHRaxDa+CWWER+WWyEk1t2XrNBTsAutHZ8lFRrI
XrE/xATtYwpQ5Wc1dntlsohac4iHc8nxwkvxAX2d99eP9ip15+OY0btUmr9YVQr7BrDluauNcc0n
RZopzcCPs9fL3OwPUFnclNSBpIjHq8oVyMDG8jBzY2yMqT5PrTyjPjzlJOiIlKBMwTRNZ6O4Kezg
TkBROEd1eXbkn8UxziZto+yBCKBItsYt1Pk6/5zdWe7HetjPI7h0N46JJrvjc16yaTJHNrORmz8Q
G6X73J43UTcF6yoYp1O3MNCr52eU3z8gzLD42scu6a0jsD0qRwjZwMJsEsM8iY4UUGuEBc5KenZB
LNsrU3LqsKnNXnvanUbWLN46yr8EQVAei6TaiMS95Fy8iPl0ZvopnEW//Sorxpm0jJkbLPrGYhkb
rCc/gRm9TxlfR9Kaisdyto2wRmOWmcnkfTD4aEGO5FjG+IUC+C2LjzSP4WUkrrqLU4ruZ+/LyyW9
Jv78zM6oPHR++9QlyNN9HBBfC4JT4zofS1O8Thb9QY5DVSF51bVy8/YG+OvZrUmKWlj/HJexEuP/
Bvmh3OKwNTZj5Pe7IO1eoOUOMNIS/hQR0j47RzGhp4HpiNf6jJOMxximhl/Jzxq2HkMYTPJeisVY
eTzzjj53nWIZzY3xmCI0ckPIAM72chU9YOkquAtlfZwkkwyfhtRV3484iANUPc/NC/zJJYPLYai/
GpM7Mn3rTcjPeBZAgvZsk4mKcHOnxX4IpoM0+H9zP6Xj22UpDTn7RhjrCOun20jEwEuCXqxVNRHB
WNC5yUPOKzMLQQX4qJjG1K2sBjEnnxBl8cRQwtwn/MQA73k3gzga2T5nHhJ2pV4lPONKRPlDWxWH
UQCc47xFj2IdsPlygHKM4THpjH6XW7BnVAFdUuvTkf0eC0eegHvpaBJew3a2DsvIWKAjVnV0JoZM
bGYO/VBdQ8/nw3R9ZxP4mLPYYXMhjaBF7PwYlAaD4RqEfrJQCNhRnV53/KGW3EpPce26koOFwE+s
kQF9oGKW9oqf5Pt8BrFg2V4s8WCo8idseVoF003pocwGDLwZ/hNLyhbGTf30LaNiOoQIFGsXPs2m
c1+JZY8cWRTMnKnCr844V4P2KLtkIit7jyOOZhGFoqQ7bbmYDY6bYZz3GdkTaC8JRrJgZiGTqrzm
RPAaZ8ZOIigZa00z3gzY6viP4l6F8BQL+EhuQBuSUX0GzR7F7D4E6Qjx3DkDVlquXh5cuslYV6ao
zp4A8h+VzW+Bj24teEs8hxd5xlPADKAkexcan7EyiWcPjInDcDjMMObgNCH+izh6MIHE0dbNG5o1
tmj0WVqCKFstwuJRXFMY34Y8jk2oOwbfWYi8soS5Oo7wbol2eaeWm489Pk4UX35NHuFhgnwUi2dm
9xDA5ZBGFD4WdfYMy0TtZxo1Ba2bs5XBWZA5dGPtGlMRB2ae+xRstE+G458tL/aY5iK6ZMPgHypY
SVw3wWlWXUeHLrbBrLoHRuVtjBJLY9zbHx69DuvsIVCGsWOzIHaUQADk8f4okm6baeJEkEj3DgL6
s8MQ9FjzUG0dTk21H7bnpZYrp2c7acViOqZpvh/m+Y/lQgVZPK5ajuCG0U0XvAJnWVrethlmuhuA
pQ9kgLFSYjSxiuY0D9ZNiGlmB73+yWk8wgLBwuFJ+pjQ8YUxrzvKLBHb1ICyzCOe4ygt0zE0E5U0
lPjVIt9JFfdr4Z+Jj84MreXWK8Ha1q7kVpjyCPPKdHCH8ctUwCvtGmsK3/zt4DO8KWho3sjJ2mwr
K14uC3bLJZfOjg3lemp77nMvcw7Lc1EymxTu9BiZWUCh4BetcfJ28NqbNv+eivGu7+bhUmuik3SX
EyGkYmMHVGin7nQivqh2nH2J78XJW9biEZzL97HC2d/naGB9WdMmbXu/qJsCjTm5dcUU7b2e0U/Y
Ws8Gnro8k1eLk+jBGk1j05vBPWTXa5rhJ3al9lOY1ssw0tI35xMUPliBaSd3aIPE2ifeVPeeiIgc
ihOO26H9KPOWbYqkusXjEk4LKpFDq2KL4cKeTGub3KzDdCd8N0nO65aYpy7AO1r2E2DWkh11xJOC
0+zF5jB8GJmwAJZBSo9FdZDO8hSRyLvMIYfzAkMT4XLMzmIdlBvLjSnDjoEMj+SPHI9YaT/HN64s
/rigMtciVB8GkWkmURbVaEZIp2/8RPwMBH1RuJtEbGrtOgMC3trTZhSe2MVjeRtgiF1Zfkf7Wrrv
wGudaq6qooub8+z2uz7Rx3zcelRy2AC2Qv/kVA8MqVZ+v899I3swM+sjzIHWBEvjQt4xN+VARBUz
cbeWTXah1NAPPGfnTL9FblYbTIZm3G7dhst5ahgYg1yL73MPJ9VyS3HmjME4uZglE2ILF8oGc0K0
k91DHZQzXespClfknTIIrzuz4TQHnfNQWWLXTq13cJd4O3dkBx1p3nrKYc4AWXjrKTlcMPED5vWM
bZWZxtWfORwppvY42qQht7bhE6qekKE5PlJ8SXZk+MLIKOmE7KttOM+gIIh3Ew1mtlK7c3pKCwB5
U8TXMyzFzj9RI9udm9lmGjqMw//nrhkiFzA9/otrRsVF+vkv/JK//y//SHwEfyMeh8uFOjOQJI7g
h/2DX+L+DSeNSwUK2Q3H90PcKv/bM0Ndme0LmkFMT2CcCcmc/MMz44R/40+a/OV7tk0wxPl/SX38
e5GZJQI3AK7Cr4aJUfx7EU3Yk/Pqm5ySp9Y91HG9t1Tzpw0akLbsq/7pY/kfEib4fEhtz3FVHn/I
m+DKEcB2bMsMeSXAK5rL80/mnCRafC/LVMAOL95CCH1fdMmIy0WIZWfvSjriTa95+u8vaunUyn++
KnqLsHh5PC//+qpx2fdA8xqc+V51NydOA866xh6d3DDS+naUOgkecPS8HsN6urTlwaFBcmyctzas
Q3QCof4vVV/W/5Cz4XPAVkXsloy8j1Xqnz+Heq5HmXod4nVLCeQy70w7PLQe1KUp4+nmye5Wsawz
k7B/yrH+++33f8z5WP8BrOGjd128W1yRgMqEviT+6WuoItsdkCcCkKTK30gmqmz0TssiTwimw87q
liurxa83ZkhszoHNrbgOpvj979/Lf1wMgXBRHX2L8EcIi+ffsDmU9wGrVIXmsgnAyFXxo6Z8Ysx2
DpfbZOZSmOGr/ffXJPqsf+y/XA0BVjRe2dU3Ho4z/eH805vP7dGGNj/g02qDhyz05HpsGxwtcwBY
r04lEO3uXAKcU2fDBZ0y+snAExXXawWALXDVUyNCZlO2ePHcDoNp0evOUTgJsTeB9cMQRkPQeCjv
+oYBaNH14c4lEuomYX5qrHwLdQ2I+VJ2Wq0+Z9po0uG0nowoZUZLjYUCdbGuQiz8iWTgruqZngKG
m33O9CL3znPQMc1xlkOBtXFN6TPpCXDRRj++WCLhWGBcSxtVdV4sIvUj3m6aLhpcbDBTp+SzNKJ6
S5OsS7Go88iqdTN6PmH42fB3w7BzgkYyLVirwTW2WZdMO0c0p4ZR6aYgyr41VHDDQMO6jJaHVgJv
mOLSsNslVXPGcoWqWHm/RHw5Ni2tv/MnDKi5Ci9SNI9MXEARjFW4L5tXu8mvNX3yZzpuIsawSCZW
YBJaqrQbxXZIiDqsQG7SfIiF+U0eGRGsbTKxi2k8WMDJ1gwAX5dcLVeqBW7RjD79gO0xB4TmJiqr
80wLXRcDtOEWa++8xmKrCe2Fat4zpm/GQXMF/sMimTUb2T6F1WsE09mOrHg1IoylFiRhLy+yrcNI
qO3VBNweor1jlic3yO4He7xGde5zLDScU2dFp1Y3oIWR+hYtqV3C2+eGWMnZY5fPVbQRGtwXqvxU
28anrOpfcyBWMrt1tBmt4glmJsdsrIDUvAL/o+MepDsIJQdhj/MZXxCD+/ozGz13o3L25pYCS56l
wTEIikffpU0kUjpU4yUbzzB3c09lvNXDdUyACXb1QDe0Z2n7A2SOXm5C0iF7TMYcD63i1XBoVUJz
ZmNJMBoKI2+eozHVS3a/3BNNgO3YGJBnZgd7NeMLCOtucJR1TpbL9iH0O57e4jHL5Dq9mOx6UEmY
LmPnxVB6E9I1C2T6odVK3EjQ1+8jfzeGTsiHbfNmgPQdGZ/8KbDBXFz3jtts5VS+uPPb/sark/os
NBC487dOZoUbx7QZOkTTjvcjzmbc3fUA7Y9DaX4TbT+bHqJEDSn8MCwB/Rte8kivPTiO2IE7kFR3
rhA0a0N3x+KTJHhC34tu6U9WABMh6YjGxjMbJuLDV2spPWYgXrN3+xy4fyMqUrXNnZu1AAdks5JE
ePeEXuBhGQF55hZ0aVP01SawEwCwPcTzLjoNsQ2wO+ovEyh0ONFJfpDZjVG39h1jwjWD8WIf2vIp
sXseDI1xSSx+VammmVhXd0pLQo3I5eFK9TqfngnKOPy0PzCm9Mj9jg8gJ+X9AMEL9c3QqwQWPRPg
DgwGrPONra7VtCf+1tyJyOWjS76QJvu931Q94/QoB69tDAeWQAdXOADBzGXSLeFJzz7RTbcTZ8d/
d5cAO+hMUs5Gwvsq7DDlhMrK2I9mv6nB7eZMzSq/6rddhr8JNJaiBznxdnnK+HQaZyTkwF4XVvOg
fFosowTrxGjhsqCt0OOiYsbmldRUcKC8mycs6sJHlG3j/moBFtkzweEkyEA+NpAMq1A7aYLDUE8f
KHnNWtBvgUNtV9XzdeETPM/Vs9VyzznMdIgH1m+O5X84IDGPvcK+HnQsrHAu91V8cC00R5nj6PxL
vbEnx9hKJl3bmPoap29zZPu62DKFeJNz/2lVS7QeKhTWHMQHqQjD2JZYfMqinraWc0wRTyD98sEW
g5efPTVfy5lPUVjtOm7pSUyIB4NiHbqTDKOXhe9vW5ETWLsdD44Fv8SBsSE0FIGuwDsQAjEq88jB
5z69ZVWIPc+nb8dL4pr8Rf5W+bQ9OfH7xMLGrDnFueyCcprw+8CycqvdEgHpSDi6t6O7bxzjoAzH
vcrBJHCWeLe56Z/bWYZc+rgtmyS6mf2FGyibbvIpic8jZ/uVGYutC1uY2AAL5yTVuUL/cRaW+Xjk
Cyh5ch2dkgskxyvsY6utKu4TOfavSnESVR2+YMtnm6MWKc4ApFTSBacsm3GG9uHeqf37vkRxi+Iv
14LfTOGSD1GdtBcRt6mHu595g7zGhv3Ev1YnzHI0sEw84eayHi+1Za3VZKLVE2b3463Zq548ZkPS
wpx4wI7JfrJXIqCjM/I5FXN6JrYvefrPlXzzsiMPb6zPCZAOF5C4SQfZfgzwufnDdCUV8vedQq1U
vrO94TqZHq+uWSJ//YzAfY/bKQVJHdc8FxxwJJPF9srjKolgzUIq07PwabojXpwJE19pHT1VuX3u
K8vdhnoz4TcIGcT9OSnSGGCY/h83Z21xqwD6esn1wXzpYWFPv8IFhjBkMguRE6qCH3wWXrrsDDtQ
SKEGftdy2cec2jcVgdrUHgPo8cuI7/pIuYWxDaVWx7PxC19UdvBow4lBWQxZuMf4fJZ2PZ7rmeVE
5cYGTDmtfu1INtDEKFG382WgiCcIPJKi9nyymsU7wIDFuNT16c6Zr4YoNt6impMyapOGDxnuW6WM
Ld+u9yiYkYJEDg7U8kanvzYbpe7WLWnJAa/sM+s2u92Apd3wRlKYtneKp/5R2jO5sxlXdNn4Tz25
c4ykn0oW0TFsoEH0IrpMgmRzk7XQOl2ECdEESIsMOfHyHIYuuWGbOZyVN9CvXIGEz8j1jY4q91Nr
vHWu/JHFBMC6xu8aSXjtCTblUdhfmTOzIRLUSeQmXbgm2oKD+nssKbFwdr0Ej0sL2LxvPHHJmAVg
kbauQqXXrFu+VYE3ycCRwvmdpJ6O31o6iDuQyDVnhkBz/ElDy0xKveLa9iHjQ8Gd63A4OVZDsJeE
b62jvjGZ347sb0AGOKpGTKGkgmPSwRIN34jLUzur20BE72aHz0DoQHHXWzCAE1ah+tLrzHGi08eh
SQ6Zh+u9yTO6jol3Kp1VFoSWI51e9okxBzrPPOhks41pm8KWQ6gzzzUNhVRmgBfC14njW+h09MRM
sdAp1rmnUAzaJLiL/GixDsRhQD27T8Z6ImfcwxeLa5Q+g00x9pa36uhYpLMpYwWx6+NR1zbqh3Dp
37lkqK8YR65zi2F3d1PpvDf99VgIwDStQYOrDV1824V4uEtMPCEuTgvwF3mAS2ne1t03roRfIJUK
EZ+UOYIhzTUEzytC0SWRySQ8Yg0Hx4BTgXL4LRLkh0dwvdIBdmLsLOZ5d8ZlsAe0u6l02r0h9p4T
znB996EaQzR6u7jxre5mJCiPjflC4QiaFkr/3gUWt2V+gvbR9oeqwnarsNqyAx4n3CB9s0NQp9hG
AwG6cPkc7SdCM+5tp5EBFj4nX0MEQo0TcOlLajetZYItBJVk1D2TmVYQM5Rn05l2tHZ/dKiK3hAd
3AzTdwSkYtV6DFtDTNttXz0QMpmge7PXgUx269eMuUgTOITqhv1kWMQlS3lomghqJyVSk/NHP3iI
auRrIyLRYruHgt/d9cwvTIu7NEe58xQB2n6g0TI8TS7ffU2bHjEw3nabiAceyg91M724lK4CZuu+
/HHuWL3In78HjmCQJ0mZTCHcvTYCFsWm8i7B/7DxitamcsvpV7VgOJC2xQOJevaeRQv0hOaCgRGq
jYpVpX/a0XD5YvGLyQBxo5QsWqVo7tDHaHLGs7iylvZaNHyIkzo4I+F9T1ot/+lsTsY+mIcrajut
OmRmkuqd+BDjZQI07FHXgySRnM3tddBAxoTmY4xAFdYSCDErLxg/Sw5pxDrcBekX473YuFgPFgUt
rB6fnSTkrMKAuQVwuCoLHPhmEN3aODSq2H3IK4hm6AbgTvUNkkOBGQDDQlBfUCVf6rp+iQNFI1KP
1RBbEla/fttPzri2IGjwELPvpjg61wWp7rmLdlaOFyTe1YT0N9LVyKGYcTCZm02p6G0sXaYsaoEp
pYndfhJ/gHaGx21NF0TonYI6G/hMzC3/Li/JFLkSex29geemNN5GGtRobVNYKiWDwk4cYtM8BqPc
Jtk83OUdBmxC9Pt05Owzk+FIDUrrwgb76FTQClRVZ65pemWcg1WY7GIApLHU01Lg+C14jgCMZha4
YCRMQB2AhKh3bbA7RzwWVXNANH/y3Sm7kWPxmTMArxJXIJSpG56AT+zk3zA3yasNqYgW5PEYRAJD
B3DXQZn23vGnnerUeIz54YH3no9Rshu6PtlM4c8o4/Yc93N7/uufbPvI1owKZbbl+thKoLm7HYty
5qRCAQ2f30456ivEfJZY2Use7dhQfDawtJfyIaaWswoHLAYW2lU9ti8SzMg2aIBz0ko1FAwSQpRB
syJ8rQqxobjpFCQmOHD4ZL3YLkm47fPgBtAC7yynaiO4S9VzGCbPhQ7BtlqsGtDE8EAfhciPspxv
e00OxJoRTN3RnT98f4QBGKmj7XNQS8rhZiySjzis7JWVzqgOWBU2qs/RHTCtdoF3kTUO1ZkG031f
s1Bm7cn6X9yd13Lj2JZtvwgd8Bt4pXeiKIoSlXxBSEwJ3nt8fY/NE32jOs/pqvf7VpVGSQLbrjXn
mJ70gp6IEP/qnC2gzYuipkxj1HCqE732afzWz4eyl2guTk9KJsDusaFGJVfLiqrDWNH8yYmAiEal
OpRD5i7rBmV8+9qPzpM3Os6i0uMJf8oepjINRy7YOJB/9z0hg5zeK8l9Unt8AxlKsMkeESP7YpUQ
ETGDr3Vkrj0NBAjkeslj18Ir0lR3oY5oe0l8RfQxBIfMy0nURtmTgQYEZ5vTKXZpx5FBtRzCytv7
2bRxaXSfw1D7FJ5AG8t6wR8vPmht+c8cVrgKktE3L/1yq/HcobcpTwNVClqf7Vdkde/C1wni8otf
On0iVZNyNA1+h4JWkyDbQwvFGESI+qlgFwetqDSnfEKVpFU61puQXmidj+PcQLcK4pYMK7ncTRl6
Y+EEz84kL9NlsWnigT8pniKzXXDe7Mj/dE6BiT3OGPwBx0dywEhx8pxgZPw0EL2M+Ewx6xCXtvam
h05K8pa6LTLyyPraPARtDZps6Ju1hq4En8J0Mir7MhAMvrL10VnbQkYLDgi1Se0y1tNrPtTdkpph
xG6e7+OedLNeDTcDOch57xkw7wubZnmRn0hP3ba903y30P4ty0FJXadc+Qe+Wa/4z4EGYMEyrkED
IxGXYkrTFVJM/2zwTpWEulWTPYveLJ7qYfoshX3JhfM0IjYBXffbsaJ1mfS7EqscMm11PpbtV4pe
BsYA1o+GqN2gW7o+tOTGoxpB2saIgiHtUe5I4H/GEme0MTW89pjQTwOtRq4lKhsvfLbQegute7YD
bY1f6N2ecD0imvA6Ah2FV5HshjOG+TU3DJo+k7kDJ/lLTdGgKco6SfN962ELYWr6ivvb6tplI1M3
cv3Css/lmvBSE19YZaFSCVj15AUW/ORO8ibNaSKpjCOfmjpPRSNNRj6UIdBwT2YfXVDGknxjAgWj
C8yqFi60rL9CHP1Uw4+Yuvo86XtnE8GSMYvfQep3b1ro6E/y/zoTHaADBs9py61jAm4ygt9KNaDw
S8azHYwnPyEKKIrcTU7BgX0nQiHhbrIBZJ82TreoDrVt21lb6k3+U6lkw6Hs0pPK/JzVQ3QRhnUO
yjFd6fq01JMY508VeuBSTBDRVOB0GAq9h3ylFLvedaazQKkV6GGBVVDakTp/WhqmeNVy70ZC4W9y
Edy5EnBU6HxghEixGtPRFlk8fSKW+PDbglsoVy6AjAojEIw2sZe42egNe7AE2H0AwT6hiqQT7qVf
UDM4GjAPzRE3AO4K3PTeb09tLik5FWNH0VOx1j1BO+pIDVKK6AdP9GvKfF+izn4TZjVnPT0yd4X8
/az6juv0JWWUBLr2PsCYXlhD+NuZjGTeQ57BM2IfppClZLDcZdaWy6oy9wqvvXGbp8pcEgBJScRZ
0KjMO4CmbXz2R3mR4LTGdVYD1uxkVCPQxEBJ8XaxH4HKjtvFU6CYI/WNzttO0twYHmvYuCfyddID
aTnoAfFJdtqzUkBVHaeI0BGIMlrRIKbXg3xnmGCarJhMF00tlU0X1M+Tu1PVUt+XGFOreByOaUj0
tdJKVbRJXnlq9dU2Ve14x4DaqrLGERDTayB0nE/hHUwOLNHqV8RpM5CSnh0KJAILl4XVhDvwp18U
lsjTYfnD+tZTerONc6rWP7quvVr6xU6o4HGN+/SlfHcMKTs5pe4CmAnfqsLcKRbntWgQK5tL77xS
CC0WGODYDfMlGX3rrq2aZaJzRfN0/8ClbYae3t7Xif2J+xWAjo4owuhhT3m3yeDKqwXDFhd1sY5J
35w3vuVulR6lrNL9UiIZrOs40W7fTKCIzAApcqlRQkx064cjDihuNNvorNyzCaEByxn/wECOvFr3
kIBaDgijnotNX9ovhNSvssgtdh4LxApZpveL2GyUgnr5EWGm2rJd79SuGPednsFpRg6IKrtL91Ye
/NaG1FkCRMNJ4HN5bxIyrAtsBJFloAfGgypTdjBgdAAsSYRTc8UnXUeyiacGSyPZ1lx00mVn9SPU
bn2R9OlXhs5E5tnDINaxdXPc2AasdvMODe5aNYeCdVqmVrPfAkoH7jyiNO+alHhYLlbap4kyn1/k
FRKdMXN1/g9GKC4EpYbWjpzbD9k3rYLaPmnGeq3Waxa9Lhk3ZlZjHkJDyLEKQOM2KGkAcMmi/rN3
NHnsGCkuV1mEBsnV92aLRizB9LR2QmualQS4azy5BWsnQE8bfSlPZxGNfPbKu1Z9JBP8KIt6Svwc
Gd0edUK5caPEnKduRSZKYKwbiT0nEvALhMFWpPkL2mR9Cd38mk1AkrmIszMMBPKkDZcJs3shXXaV
axB652pLtddwBzxQ6eQtfWcGImpe2Ez6aYLOLyan40E4Pd5H82grxoFwY2QzKPDdqLnAsPzWum3o
82tjT62xTpV6rmyrwvgqc2o1cGzxGbj1uslQSBQyMYdlly6cCMdpwffxnrIw28R5BeHVKD/VipAb
+dPJBVWWuuGEHLYoTDy07I+AqrEYGAQCVZvSoPOyKbskEzWQsEbMzwoE+HrglhgbVBONznpKy+S9
xHJT66cy11zUPBSb1GybZVQ+dZeC1KMH9/8r79F1BHwKWqT/d///9bP6/e1n/0sB8P/+2v9wMxyd
FqeLEMCA+qXqdPr/pQFw/osGKBJWmWKi0ha3aE//jwYAuiPBJ+SXGMAsNFPlU/yPBsD5L9nHBHGB
uOVf8oA/SI9/R378txa5Su9fcwwsRKapWobzR1M0t4Gtj5gtZmMd/1ROeopDg9xAszvnIsHPrG7s
3vwu6RfVAaYTpe+BU3DryG5RjOMiT09/eX7/QSig/RuK8vGJECVYruE4uqb9IRWorE7Jhceukoz9
VZhI/OLSX8UIB6lD0hnluN90kATbZNUT+5WGJEV4PcWplgQH23hRo+hZEbj8wxEkDN1CRODxLcny
A+cSeMpOdx7z9kqu56pT3ItSR9AeVyaJunZQFHh/693Y8FVhWd0kIAnRHVJn3xjOY9rsMHYDl662
MWF8KjECIFx/TKyKOBzuPKl1P50fKW9oB84Dms7C9i7RRN5px3E7ph9FaiV1tCQ7taI911p0d0Mi
7Jy1qhWnbKLt6dETDTznYhXZSbpvbKM5I+B8atvPctqR3DDvGipH09EQ2Q1A2b2HFSKK7Jb7ya3N
cfJwLfRdjJA9Hme4b9VnXylrpYjRLbpVMB9rCmsxjnXTwqQLy6qLbl0BsCuPF64OS49Ylx5EWvCW
si6P8c2ihjK3Cg1ppsUHJJjLGv0P9h7Kb/6LPwiQadUu7l6wJb2YZXRLeXNYlY6hGx19XXmKdL6h
uxaOcdQKnkuVsp677qllmBUBP7xm4GG8R6gWboSVP5kGNLARdiIF1+NoyU/uCLhIeEgpeswreC6K
75zIGyA5AAcpLDPAUnSpMCXVEsWn18vO7PF0kwcZEM7pQIySlia1KdZV1F3Lsj97tuSox9ZL7b6K
0lr0bXYo+T3LdC+VCrdPqZ+zrH6f+vj2D4Ncyjz+KkVQEefS4rKlBgSw65/ClDqkbNgZNc5wWR3m
koQjHRl0a6+9NDmZQ/LDMwfdEGnLqITjUCjfRgKbQbvpTZT8a1n+P1Uh9p+qEEmRZepQbEIPpAvn
Dz2GTYCYH8Uq0WW8N6vtz42h0E4DaaXS/Oi9NXkzL5PSX7U4vxUuM1Jap7ICw9Q483T3w8wbAmR3
+Ri9YUuilBkdOfofzKCntFxV3P7cS2A3Z8/qzyDQ1tWDKTh2wA1qiphMiDSQrOQwP2kYxglh/AZp
vo8Lpmfrr90E5nIkgLUah5F8WT9VfhdFf6XBdtQy7tNhnC9QfG809VIaiNgSRikwapBt2gv45xkR
gTcg1Em4jtX6ZtAMkX8VVcFXp6X3v3+3+r9xiOTTRPPlILDRXfEnh6iaJjCwU99KqdMq4LIWif46
6PmN2/AtapRl+y2s+vUx18uK9YXMV1BniHLK3tqSSnmHiMEdMT0kGLKIGOWTF0tr1N7//oNKJdsf
g9DRDAvFo2ZBYDL+1H+RruNXgRgpWk0NcBO8dnZAjHGX3+h1HmmobODUL0h9ALKanjCQekNxaVIF
F0qKlZcEptQ++cPG4FXjYzySZXoy/eRIQud3qm5CnWIOEYou1mjuZ8zUDLdk2KW3Qs1voORPjdns
mjG+V1Dkwmo8c345B/RTdSelVZ5eXH/EsUHYcpvdzIRRomUY81i87FrHQNPsWjraYRv+NBHsyKK5
JnLAdL91T/hk6AVHksKPmRMfAzzKnDlPuuHfH+NCMfci95cDex5yUhp0LJNlfu4hIcw8N7uRtLUJ
7Pho4jZWW0yQ8VGOmElATEUe7NSHkUbpP0mU/uMLcZmG7O2MIOcPuRr7Rh8rIy+kpSKE1RqCLUnf
poPmKC0oN5sh5JM0PehTdDNbc9UrzjECpoQD8H0KoPtWQUtNodurtC/JIL+RPv3z94NGig//bdAg
oBIO5xbu3n+KqFpR23pGWg3KIgR8LrJRA+Zz016DPjkICvEM1nqXT/2ZltQtQxAbGbhlXAtTilLv
klYBDQe1PmRPNeIDIqRlaJZrL0gPJGftCHBh6/HNzWTqd2GWT+b4C5YzXMHox05BDyvRsSAqOiZU
uBnNDa66Y9QSqG7fcvhPEd5AuWWw6SybJLtZVv2S55RTjX6XBEzHtgYum5xa11t6Kc8X1WMcUern
knxAOrdW4uLieYjGze65GbHANwW4AgIx4gbiKMNo8qtVL8bnwKfg5VfAKbZ9deMu+u2pqyJO3nM7
OlqavZAvqi6rXZGKS0b1O0oGAFTxwWdrDy28LvLwUQlzg/03nrmvmVsAeMRMDfviREjzOTXptfG1
/To8FoG9GWEZkqR7jHTjtSzzf9gE/sN71TmbCjzyeEZMXWr2/iKOc5OMcJCUHOksMAi95ShBAeyE
avTZseF/uLHxT1LIP8WZrJCw5AzHQhSKClb8cfKMqR5aU89IcuwCJJa20Azid76MmLoSu7GWdmc9
kieV9qmOgJjF9PF9haYL0hlNq2Z/P7D/TZn5+DiOKdC426gvHLll/+UBELENvmZA9pwyXHMrfvG0
9jq5HY45nwOar+cfJoWY3qivaVM4//D4dfnj//eJQKIEbA7iumrhkfnj+Zc+XjrFZ9cgHaqa6bQ8
NfDBbmyDNtIwr2PNB+FVeeHLSAkfSAnU87BurxIOBbvVmMVa/aYO9JPjCPfSmLCSKf1E7oSyIoEK
kOygl/O+nE5d6/zTwvUfBo/hOhaCTgs6oGX9cWRXHahQuk7XBUrgU1WI34ZFrdTXunWnB0gu9FxW
xEagWXLaRylV0OLJ8op5qguSD941phqie1IqKnb/v3+xj0jPvz5ZTReq0An8ZFt2OHPJ/fovL5b2
85jYgru2AphvtAJt5r9ngTUAXrHo5Y7ooQgbpAB+1mrChfOGa4MzeB+1PhKphotzMJUvz0sPShy8
p7eW78BpVFVpCY07Qg+1OTXGbYdtBj0FehoTxUjXIk/0A+K00BOPQz9jbY/pkRbz2MRRpjKQFAXx
irCiO3koOeeR7OBFeJxwVC6niKsY250oKQTj4bmGrv8jh0Ne8kJTFIDE1XMd6SDJK4pYWDrbhZoq
X3rAEXfo6OhHlfuStcHHIG8ygUW/wA8KnHXxLayzGzEmnMxE99lg0/6H562rzp8nIM3g3ox8nYul
hub7sYf85YlrfQ3fyOJAl6Ql6rjsMPWC0UiksO7ZW24+sUuUeHK31E81G5/SXHKyvUtIZzCfGtw3
pGRDrSWnbNZrhFNV3VmlQTbrLO5bJu7CqhS/zZeyMN5Ea3x0hzqA6dwgyaDZkHgUw4yzvGHFbnJy
eHEGawkV06BaGkH5xE1yjtXY1gpywz5U2RmqWBVpaUtpRj93mhgLduB8pbRJ5rTjtJwyVIeuxrFg
c4XTdoO8DfZZqdwDwTWBAxbhhnTZBgWaXWsPNDQgRY0C2kvEWXSuuFCOUyo6826g99jXlcFSL1UL
+YROoi8AM9FOdsHfQTbEtBqNr2QOuNR1wYizYgA9Kk2K4kUeoEJAzEQ+DNU41NqhXYHR6MMVX2Oi
nV2snJSMlqH9yMg+Wkw2eHIrjy8G5v154yDBE0VaL5TkGepKuOpsnE627W6L1MLbOWpQp0L39aFs
jjo+8HQVttBpe8gs44FSFl1gVifAkg+ZsjMla4My5jILimglLBd0F9LkJZ3ac5448W6IM3AjJlBI
m7DJiDfaqWO8A5C/T0xa56GuvNnC+Kzs8io3HbnP1211bhQWAnl4Jl+asV1MJme059biMmEq3GE1
eZ60m+nqhMNZj5MbCJ2DPxqbPjeoR2vZLWXs9UNPqbBvz/IsQKLJi5Sg6g3vLCqzQ6BbHf1ABKUV
zAJS7cE9cwmJm13K3QyySfSjTAEeLmxjiZvM3UPTAWZxZVC1bzMFuRBjQy3kjLznkzkPirfWjpDc
6OG90QMQYYwqJ7ynirWERr4zAsnUsqjLl4xml5GpSp1zEIb3Mij3Vkib2SCWGHeQHQWfnl7veotF
37Q2YK7vwKdPJCrduL+f6QXeTS7OTpee5UU8cfozmorzBC4rK6VarFWpAhbPVp7RTuV7tUpyG6vw
NnTRT2DAWEutce2FybE24O7D415Af3xJ2/askzaTTPckfuMDX+q4wpzJqIMHSh8VIGCpOq/qVCqL
SVmpvQovMybMkk5jGA+ovdruYk/6zcEGTbGYQjvLm2R2zGiJ3lsVdpxj3YIe/SmSPJZCxqSVq+nc
0ejwJjW5UIRGi3w5Ni81Z6jScC5p3V1lQUUd7wjjCW0dHNLiOSMJeC2icy/p1fXclVenF73vruOQ
rWPDLOclxyvU2ds4xj0luiuOjo2qmpsx6T8jmz5qcGy68F7HLDBJdmiK/NARAhEohpRnneSvUe2/
yuO/PYKYySsaKeE6QKCk+QfhtDdtZLEnUG8uy0kobM+pLOE4DcEBWOBUWNRI2nj6vtGebTU5WiTl
gY3fMpyoccFPjT9Si+iOxqWu7V7iqbwQ6jo4Fx8Bmvy4vTcyZ3x5XhzY7ekewsG4oid/qyZi8UoW
fEWjEFM1V6Ptl0qHKZ0n1o/tOfPdi6yQxUF2SEJU6+4aQC72cY7OOUXqCS0HhWXI9P01RybXaN8h
5BP5r4LHl2gFHITxkYEUKSrFd4UB9Vr63T6lk0i9yJzsNepCdNFghOTxtR8TrmIjbgGsm9wTQ25Q
Ud6fdR6SNqrnxE5PbR3dO4FNARivQZldNNxp/OxDC6AoKfFdXicoMp45oWV4oI1TE3A7rgSoBd+m
31CV/Nx0pCkQ8vx0SnIsCK+JO1p7vcvh0sQbs0JGEzUc9/O+fFb0Usf95pCzTlt5bg3kNpEJodWe
WIg6eINRU201yCxGyB2rqhvCpjJlOaCSvBTJm6KNI7MvutdB+ISu3l8GpZdtQSk9a4w8aHRA0pCf
7jk0ZvR1ah2SfJVppB6iKw9QVFdS05+b3b5JHX1B+os7L3BJwOWqwmU3db+yyI/mpoejpA9btKca
pFs87mtNONnaK0pMt2A1FFp7q9jxm4VS6VsA+FRmnehLD7uPBy8ozenflDVqVi+Bwznmy8AkacfR
mmaZGhUQyrcadNn28QG8ymkAlvurAWwFQkKlXjvFno0p3uH2Z5FSi3Zu6nwBlGVRksSLOn63ITZN
RVsvgsgwgcLGCJHZtlryQ5A09s9tab00tgSmKnxjpU5e6btBtmkqkuYcSm0DnNEsUsYVobzuQigF
Vyfj6/GBrKH+jiFyLLQOfiyn7sVY/c5goGwngc6iwM+Iv5PnTTQctZ3JXVUuTB8869W2s/37qBxh
2smmDNnSetO8BCmblR1kySaTSWZTdYx1vPS1V73kVYB6KSnCpY4yFNVKv3NZEVa0n6x5RAYzirUw
3lSYvS1oQv6kj2tHdjBrApZMB5i9YIsLLb1eNVjLzTRF+x7x2fwsQI/vWz7YO7vCX0LMnFvXzyUF
AxDG7rMYyAeMuRTGyNwWBfOBzs6OKPpow9+XLmBG1RQdW8/VMK0SVsBGzxd3Sr4vJ8RO0e5FMN3c
ALNPm3n33FYJmctFD8tasm3wgBid1nCl5nwwuOMtp+cUjFipWWL7Q+uieIWIQUzd5IdU8cuN04/h
sog7iW5qd+yIDu327gsbNJUQI5KpzeTYwVcaa0ZMDJimCfYWWIknC9IMJ7xojzcVH41aQ5uPpbKv
PKHw/dHqnDMroyVXCIxINLKiDC9xt2pPxqbsHGIFf2sbH8l9w7NVhQl2WKl+rJuLf2sRqiWRMHQh
gdwyd8Ebs5O7qCMJB1iHHcJg1rHP1Lbeahu5c+h20TYXBCIxSNa40u9UbXdABqinewJNpUorOLF/
N2nwq5GF5ZZ1P1DG2dgmT3Y1nNP4FFUKHudQ+UpVlTNzhG4//iE66lJsidzzA+gilDeMgQBMP39t
OhbnBiIK+2lZM8S4nsEWQG4DVgZ8csBGQ/UfBAWO7zMUilujJCcrYzMQubfNVARZtX9vW3bfXNGe
PHLIZUVjGBFXFGGEnKc7y8oXOnO+NRWWZkz2RvzTUtSRf1Dg153hTb73IqEM+jR2HZ0Jibwgk3lm
FFwVxmReqzRILTTEBtvlo4g2caTIOf0k4lFm748YPJ6h2d3CvFgBFeKr8ubk+SpQrA0xhqdGENCb
xUiIw59akGntBD+ycuFq7OoFwC9UXAwUhtzUsrER7QMV8BdH+omPsY46m3MwnDsvDH/gObEXOKuh
VIY5HS6Sf7In8AYvptUE89brH20n3DP3KefgF3hcGpuM9oqpvI1h9kTw690Yw6Nd5f3SEdtB8K5s
9mdZgg5z+jvYb+ZN0HxmE5ZtEi65d1SLetCRvo+7jLP0smZld5NIcLEDOxVqDAwVI4SpMgoSyhBZ
fc+YbIE8fYZU4huGbtTuZduATJyrx/OiN8W5r2rFV1ky7518nSJIctml0yQ5jmPyaM7kKcdIeTht
ql9TrV1kEazy9H4m66kuGRGditGJp61kz2pTC7o23FOqZsHueFY7/8fCPq4L+1lnS5YqWFVo+LN5
u/ISV2TBvbOGvcXlPqDqHpuC7d5/Q3V86qzu2cnDeD4VGqKYgc641QCBs9PX0uPrDPJMUkOPrZXv
oSOXudOYKRpXSFV2vCQLtUWSrlkOngv6fJDRDvL9yuKp/DCyK9SmOkrA9iBPUQMdn1kdcC4V2cmu
qPNFPCQRMD7KduQ6EH42NqrHhglUUhb3u+mqG7uw4QiMf4FA+zn8xcvQ+j+2fo0GlwnPhEWMhIZX
HCCdPPu8jniKD0PF/du3gx/kgzMjTLcMuUPLD+ecRV4vf0CP1q1XHrsiuIeU2xEiyKEc3sepvTUM
60cnTHbWXDdeRKJ5YplDjro3y/aqN/6bb3Nqw413khML0LqsocxstTrK8Sovo48XLSeGfKGPQ5rx
nLr1viuzo5y1sJZWypDsAxO2phMszZFijRelN1nllAVwD8NdVNNXafTXoi8XUqvTohd1q/YcgNVN
uBFrPjd8wGKpZZ5qXnlaV2vLpFzZFhxS32ULU/6SPHPGaXqT81GWxmTnUNd5RLkebT3kvzSUbjZX
GW3iBIrlTi4d8ihZOM25zWGm8G/hil7LyS57n2zeZ1ncd6rkKL+fWsdHp6HCH+vbDinjlKM4KpIf
jrZbNTupUTyLOoRD6uRdFLtYN4yCRmt3sZEcjHqfOtWuls00PVDPTNiRIREss9glBLe7Ctm3TUGg
6+0+aPnCU/PK3fldFvMfK2MYZei5rUvIlm2ZAA04J94Svm9C+g9a+/rqUx7TIn+fmenBUoJ7i5Wv
HzkKqdlKRM3SDk7Z6B29nCqauQDvthlKw5rTed/IRVX34f0Z6abism4xACxPXEI0lejP5Ll5qvID
sOid5t5qsiAkAFCx+ZfLlldauf21wc8Q+PqB8judUV5C4uc306h2cg0b6pZEAU7I8iHbqn2piNs2
MudSlEw3EbRX2lwnWf+WFXQSfu8+UXuT7l6Unic/iYvs8Zbhu260N9nmDRn3mXKVQeNyKqJUZ2SX
l0rekTjFB9wyXO45JZaFIgkvilyqMj85uROrnBFTcKaoW+Y9VtuWE0XD7miOR097VSNchLl/j6z4
7tEhh88EDtmILib67MJFQN6/Qn9+J17KX+gpoMtNQ8mPyzB27cEBJ+9O77rdnw0pnSo6gtgcZxkl
ubPwnY700GylytOEiwAKlHeJHXIHQbJEQcZVLtLoPDf562hCqPQ6jqSB1WOnFPlCDcZPJ0qVeRZz
Li1rzK9D2D1TzD9yaFv2Fjqkhikq7GRchpE80FirkcCNWaaxE6dRuyXyD9E6RbjKSj4z9cuN0Dhl
XC+M9g31xdxP/WXUMFVsI8RHzA+zKvqUcv8ZfHkYVugQqXaFO0k2PGxYNk0u0uXj02qIIWeGMr6H
HrXXtL6IKv6MmvE9Rl8IheVdKHxLx9tUhBUBosXjhAr/3fGVX0bqLQPBsYiNJ4vWqk19EqLZEXFj
M+cIjZElIDykHvc0QVdW3z67AUfwwvlAw+fNSBAgzsONIXrp79bQnWODnHKiJ84Uq4BTcfWYQnyc
dcXVJw8/bYDdMw86qmdQjROKfcRVROYC2DpbC34K19igAucQ2bUrSkLfLh9P0dtrGfPN4Uh7pFG9
17CoFo3Jd1YKZxeShcFi+QuOMS7gIvnsDeV1VK21ZhNxMA4tVC1lXkTRR4wKeKb4wOOQLK8rzHTg
71fEfVKSdT1vrlp4Rxs48pqPHO7xUeuEHCdhT1LBxxAhYAIR9s3KcMxGYSCt198x9Ip1XYdvNV32
mQEZBf6lgbOAOBJMxgurapADG2QjmHa1yXW6Ca7oX2iFIkZOAOeb9LE9E5BdKRqYWFwAJ8CoM2X6
sKFZc2rkiwrcZT7JdICuKfuPHZ4VmDaq1Id4r0dinjY5/v8FXexq4w3qrrBYfU2LSxj7v4Yd1eLE
5/aLEC6sKJJ82ybDp459dqbBt0LQWOxDF2rS4583h/ClsJKPDDzBEgLQu0AT3aV8KdXDRJQQR6JZ
CFQyjDiRqoJqCrwnUhj1eUwwyjznkBCZNu7vLDk9HoMGAYl0y4xiQk2rucAv6tek0GT6azkBbxNI
M9wxFjOIZgzFAMxkCZCc8O++X6tIOmdBEL+ngGYi1U7WU+Yy8JNczOC4kkZfBSZcYe/wmOlpYvx2
43I+dum46Kv6kJQYmrHssFxawxGbB/c/VlT6zAMHZ6GdohyJRqiRKRkSrhxqpNxPhMwQfzMhtyVO
qlUgJzQIYlomTkXGg1J6BEkjezYRBkwWPX+eG1asJKBurMPUR/HCteEzURp9MYJEEiqbE5RJ0I51
sEUPScEEpD9zHG9hGD6nFa4Z3VfmvglfkRIGkDK5JFEgVAXJPxpqGtfy76iSOPKwlveyGIMMR9Y0
EPS7S4IkarzPy2IkcpEFjo0mTWCVAkIgTfc1cFXw7gUM1Q7bMdq9Gw0xgq6R2gWZMo/9cFwCd9sA
IPuOSfAgTWE1iPAzY32e6/24r2sUQaUD3TnFzgDgp3b4TERgfzQ1gN4hQt+jk9vIKmBom9RS92H4
6Q4w35KWyVLmGNXpEohMUxe6bR2NbD/ayhMhAXSNhL0zMXFwJ2EK60yRf/1XNqW3EstJ5I/PQK9u
TmIfu5KflsU8HFrj71X1nVnR52O9D4YKd5durqyECUNZD7D2BGEevTKng0bWTh3tOWvDDeLud82N
fqDmSQJz8qkrLDlWZx9L8HmILVepnkCYxtVXsezYVfoztvwQaeII6xLyqz7sFyVBKIbFL0Oeo7XS
fvgN0CrSPoBYx8M7QuDvxrTPwj16YKjZyNV3cBZAtulmUjmf+W3/TqD5z2OZqoJV1PkHR/5tJ+zO
oWXvnNZd+RNn6yF4anPtHmhOunw8sIIIChNLDO6mz0GLSB6SqyMfDWAAzHEz/A6dmpevs2X5oHuD
hEfqtxyPUWD/yNcJ3JTu004p5cUjZkgU+JZF7DIJSDXQauuCEe3keuo7KUw/TLCPwhnWds9zMtnf
M41VNR/ZXJdIjH4I+Dt4DLlBHd8JQUMe21EwUkpzo4T6XpUJaI+XYhPqCKBCfYeu1886lMRIjggm
kVtNz6ev+3d1oMiP06uk9J38kA+OBs5UZ51Ltg4COxb0Lv50q4hzORUpPl4tcLuz5+voOqq4fkE7
hhujQr/L1YISaq98t+Ym9GijqMJLST3UrJlb6E9dR9qB53H7CQROGBdeW6zzOHydd4oc+McjoW6W
mSgvHFpXFL0kgsI/jXn3jGj121Ic1Ozgli1WZBV/J6Vf5QvdO3sTbMGcqALmB/puW+DxkF84Yuau
E4Lw2lS76CMIy64/M9O8x+CgVbJx8wIqn87odiEjzUlpjOCYuAvHYeWhwfRLYKgffd523lHuFnYf
gtWH4Kcowx69xid3pFeMtG9KwTbilBVeMGqNspuo1e1Z03REhOZwIMfiqDjRZ5mJI2U+NNd68mxi
t4MuHe7MmI+XV/eksvkMpcodm22FzcIFF6CShsy/Hwi2UbAPnDsCNCxVh3HO4fVgLicoUolutequ
6twHShEUh4FEDosTmwIUcGDPG02c461Db9JVh5XTM1insPwg5NKe+DOPofyYexYXs6Zm09Dt9Eee
/WjgcZdsVEKM+t+tgZcAz2q21Cp2ZmWM1gVa9VS3WdEnFhkMG3L7RjCeT4tUjvPHNhZzB5qDMP7x
7ejHalMOXHg3NWy8udm+UOiiviRXItciQSD0LixUGi3T+WMUjjW/5YbRpxgZ5E3Ug4UZqXikeKVt
fgIlB+i74U9SdioJ9gHJoOFPKwgL9SGqJyEHlBhnstfeKMGsGkjBc7k2eBW6dkw9aVYDzlXfDTlq
a7bbKYGnOaUMAJPzVTUFP6kzYHznF3ptaep0o5po6NZFw/qVATlNlk0xEIMLgKOzVqXpKNA92CSo
AwpgcXNDKYjCDrV3K4WZ6pnEGstTme9n2VKl9GYoMopcuLsCdlDXatoKTj/nnZjSDMfYfBEpZ9sf
PhyX5eXxlgi4Ef/N3XksyW5k2fZX2noOGqTDMehJaJ1aTmCZN28CDq3V17+FIKtf8bK7aDXtCa2s
yMyMAByO4+fsvfYMHVxGSfxtz79MM7gsVweDbgTfkaDtIOq9VkxrvzAJF5vyZJ2SXrlIgW6kmRlu
XAjAtlKbawFp+ebZKWOEfykt/uuny8piY2nPlkZroPCHjI4l9W4A46JuCGiaSG5zRs4BU+dwGDKI
a5nQz2yhCKuUrl4/ph9eQz1fW+rRqbqzRY9rMQSYBcDh8XDdat70dV3Vcxl7/VqDaeycYby/XvzG
In5EFrwBJuu7MqATlQHPmF4rth23XYY67cR0djm4LgYD+ruH0a5WbmzRPofUXlfeY9QwdwONS3iI
rS8dO4yAL0HjRRLzRTTvXPpwcPGq4CkMVI3PODOOSVfuXBY1PO4Bx635XYcwetp261dZ/piDiLJ1
WNcxivtVW2mQFAfA2oJLq3WSLIPcPgZ4c+EGuQfBGRhJPsgdM2vfK3ylM2fV28am/ma1wTrH2E5+
kTaec0Z/UZP9MAcOTyOssNVUuC/ulJwmv+RDG8w+bCwxoo4xE0Ek8eaRojT4olmFT1m+ZKDJ9+UI
FXap0S1Zezm2CUbBISM8LAdd/Ls2tpYJqbElm0lhiT1JGNU1CbrUvcfAZQotWp38eAwSyu9eWoVT
WPf387xsqN8h5oSEnvIqmuj4BP7GApUJAl4vlu+AbqzxoJsDOBePLrzv04ot0OLxVMMKCYt8U855
S45+T+MQiFTLy7tthxuepQ/bSzdhYDEe7iPySwcYJv6m9W0oQkwaE6WTFtOcEtTqrOSQVi8GO92A
PRGmc4xhGh9Mo/uYYhrHo1uctYiNIm4U4oxG3MUDliljPNty0HDga7dGSYIqW2ps8SV0tpxqYtzm
jLi9aGH/DvgyWFK1Z6C90Tla9MbejPDJyfk1yzSTclnvnvSWbU/5LErmjsO67xmtJXBGyoGZBCpa
dyG+ItO7tbVulSYskConkkTOo3ipk+ngcTjtsJsWZd0tHeJeCVgnzbhqb3vT3Vu+RdEaaI+t8k69
KqkbJvXZk4Ox8ivtRzBNx7GhwG1JjlsXREz5zJbhDPFr0L1sZF4xzCkP2GAoboHOrHIfrk5gh3cR
DZues0lqFwcnBENWFgOpwwSfpIYBIBhCCZbXahgceimcGq+TDz/QSMUJMZF0iq48Sol8qu3fJ1uW
hoo78GbIn896S7rg4boVSfvdIqYL4TumKabL0Kd6CCfz3RlqrVzVXXnINGDvgimWSXjsMsuC9xFt
3MyOevYUzBOBnSmi8S8KPgms92AVpxlTLK6fZr8E3gi8JWUUiyly/nw8znbPUUiAB6Q57e5UBLM5
T36SUJRtMR/kCzg/LL95k6/b8q2eScivRWeSiz3vFgW4Gtvh8Ge6i27yfnatsxMWxb8MnGOALJu+
wAvgTgYpzT617fsinfudKkJZnHzPAuiOaLBFjkxAiwg2DLlF//n/zSa3v4uY/oNQmdtcZU39X//5
F5Ae8EgX64hnO7OHw/5FuN3adRzmTkqTOOdgwiCfQ1pLJneK6WFWBVyPFTQE//VfNf6q7+HP2sIR
JiNIJHzmnxVVEu5aPAmYZNfJ8sadrPsFI0B7ehAt7lZUvJYsksXveuX/q+6hmbMI/fF/9w49pZ/V
n9mhf/zIH+xQ6zdTWBR2Hr/HELwf/uEbMozfUAjzLwQJ0bYrHf7NP3xDFlm8dHH5P13Bzxjiv31D
tvmbhbCRwF1EcMSvWfLfYYcaCOe4y3/S1bHmhCsNwRfFq/PrKkhL6QCsB31fJEx7rfGWaJNoX/L6
wsEcAgOy23pr0rKd2lbRIyTxjo5DurfDECl89uZVO07Mkt6Ud9cTvMNxEONsPgApojc7xgJQTYt+
IICyERabmlYj8376xez7HJhESY+zrTG7O0B3Q/+5MUk1YBz/ZXbubYBPABk1Jw8UZN7G1NmRyiy5
t13tKZ041puq/bIdoqDYXkhnqcb3IQb3VNMxRhGOnAX1Flqlpj1XxGTwGDQbY+DYTSkWbirHZCqb
RR1pVjMfiShOBJAkCcbGzzhJnnJUo6YhHhVhGpzx9HAz9QF+z7BZdBnpAOMk3nFqj8vR6s41IRQr
7HceyGmA4eStiRNwl53XEJopZPogMmFupiyGquePZB6iOVoEGjEYZhv/LFWwgzxuHqeqhAwSyKPq
sPKWwU03WCtHaJuKZxUyYkmyYJisggoPTd9IJu1ZBK1KaO7RacyLr4pjRoJDm4xgYmKHtifJgHoQ
cJrwT8gfD3Yv7U3agAcIarFhfkombeIsLDk0K8dvD43ukGgbtBHsphomiVne1OEkF0XWGediOOrD
CujUhonU0vGNLYt1Z1gkk3BnvEREO9iNq15HWEX4whxNGxUbUfT6KZLqZaKIXwUGOCIOSGBpOqhD
AZRkTo2oPDqX+wmYgwwZBAe1TQ4NBrUIOYUvNma4U4IRme91OFl3+mR8mxUSwFqDtTAVlLVNttZY
40zlKnIpgpL8dB/xYudpuKXxMnNXyWFkJ6f/oVZxQAwGoRI3fpn/AJipZ0EIrpojipezJTZe722n
0eHCQHXoHRaX6CJgI4NOw9jpt0Tr7hw//+n75Z7yaCOkrzDEiqVe6d9yIv8gE/KbwJ5130Ti0vcv
I1YM4jIJ0jON9E0IICC5NZmrXEGP1Jr20BdGdNATY8agw4gzdfhODC1WPh5UjCX9a433Ce9njehs
0r9cyB0bx4QUp0/FTdl5iBQY9ikYG0tXC9GspWN4xgm2Qoj6ILvqLPLmM1fyHMFnCWBPQehLBZVL
88DAZo+pGMxK77GcXXlyRLerZbeekF1Yo0D8gDc8tsjW6Ejss8lbSZ3wSImwNSOIWiqSt0EXGVtl
pIQlIgGOWmdVFmW0SVPpbZqp/mk1+joYwhtV9DuVVHtBHlvSzMj7/FynMQkNBDouU90flz6WRfIj
q0J6fI2ZGCpoCs4hhH3QbtJZdpHfQ6Wj1GXCuLfz7A3Yh1yT0aIOKhoYJa0KCDoFBzGie4MTmFN4
OpBHSNyQ9Jrrr+bG6+tug7FXLdMJ/ZEqY6JqG+e2L5pXmVC2ttJ9NKMQg65fYmufoDaCXui24GNr
hp0jQrpOjZsUfcigFdnKNUt6pM54YP+l49Bhvaop6Q+2hVEu1eilc83yBToOVnbvEnFB10R56qsr
qe8iwtbS9hOsOUgnM/khUufN9PydyLtgD2SE2KFiDnps2dVikhhFew5idBd1WpwU6uMFmD+5sRCK
DVtp0Ygorfgcp83WDMgvHmLvEHbRUR8VrYCyPAERtS5lh10JRnxkGRerq+cTX9YS+n0S+GA3uiBt
BgbQroOETG6J2rOi+IZj8YxEAlVLOu5EBQFeS/IHI5wQy4L4WETOtvGtZhWXo8aSYduKr5HbBT7K
GkiOGfqIXUP4FbbHq0ZK1MxtvvcDklDthHhXz/7pF8F7RyenamldQe0kaYIackjcG78jhDemCbxF
nC06GlRxKL5bfkEr3C067wZGhGpvVU76TQcrwrHqiywDsUc2vSbCl36Lqr4njfzMdIzuUVVvJpNC
OnOJHWrJMWdQdpxMC6JT9XlNRBUV7bc5ndadSfYtVp0c1BuTm/xH01g0NRJlLwyhbsREEkTwwMWh
Li9YM6pJ3oL4R+CEu6mZ9kW9h6yF2hHs6FzOgnYH1dM+mizvo2n2z8TxIOyxg6XrTNVdlpTPmg4W
g9AR6xwE/qosU8hDdc0oHogYrUdMc1l+qD1iKtFC8DrsGNwkn0H4pDoyjAoBd0bvQXOxgrHHEFbZ
1Co9TMoSW1sQE9C6G4XonVtRdEttMFAtiJ4JWE7zF0NAsYYI9rNHH7RwCgiWFonprc+ruh66V31s
w51FbMzSKqz7IK7p1PgamdbDTmo9NB6q7g6wFwxesD8JjMjYZkXy8KTsvtjp6Z/XpfVIZQ7tqbnY
Hc3mxmd6oPvivkYroitdQmOAWBRMR+VLUn+SlfR48Re+zvycx6vB/WrYSBBFTR71GHTeRg0YPPwn
ZY42jUREYiQfMLbh1dP0TyKN72mbfMgkZKpfOCsNocPSS/tXoj22CRSSrWJesRR6QKhR7Lwj6t76
btzurtVJP62rNFYwNeXJe2nJGBwGb4dMXlvbtg6NTAP+kXKINonKWY08+eveIOlAZUctT/fupAws
IMJaTrEPRwmwB8LCbBO7liIgCXKmH35V7BwHTd+7yStznaXfpj7vMkm+Bhw5/LlkX9okU0V3McWT
QZgtaBF9EXNk6/En0rrjxOrknJK86nlkQFXlcDHirAlgD9254FgGvza2qZs/VxxE+/KppBkyqTnO
pNa/1RBiUmO6yLQNmEFuCoaDbX/ATOHiI2Z/H2LwNu0QfNGNp8fhf1hNhSAkme7opIbHSvfZqzB0
E9hqhltnwpBlpM2JBAx1rBUHOqRFEPYG+dTnULBgbEc9wh6tHfEIsl04anqsmOPAnHBQVTjJuYvY
36oIUmdGf3Exalm1JqyP0yLqUaez6NN53HgfJV6MZA+lXUu/ovrU8+bIXOqIKoOmAN2YdoA+x/ST
5ZZS4DoDx/M02jWBXZwRRSK2NNcaM/iz4cszHhJGuYKDcUOEzCgea8zdo5fvTQihhMfYP4shBOgX
NiTXVxDyhmo/Co6I42fo430qi5m3pfd0Srvqc2wzWtbGiQbNWR+OtTAgVPcValDlw2oRbb2sc+cR
+XaD66zYE5mZ7RU/Wzbmrk3to92zF1IEOavIh2uGhX2u40A1tiTHC/+tH0GtmO2uqWnSR3Z534EQ
XbgCnKRrQG8pafCR1Ub9mfd3RiKzddWqN7+PNi1gIcbjcmHTKXdy66XkaHjw4VGPlXZiYdS70vxZ
a8LfNUP13XnWsBiaPKBdpNYE1pJ3QddJtsDuNKNNl4ng5JpjlmH0Wu2Vq21IhkxXbSd/2jnevlAw
E/N7h8BOfoR0vmjvVPObQ1ETY7QG4WHYdLbhiJUXNUx7htfmMuidnhwafO3jF5GOmPI13hawyXhl
DAo089xkbuF+jO9+a2x0tKGEldDQHPEnoWFn19IzlEv0HZCoT9ohTSIS7/Cbe4V88A5iQjiOyvcY
pi8NHs0oTs6ph7+ULg89TqaCDsXRNKn1oJEEOBboPRUlhFDyCwDKfSOhaGpzaLiHMhJZWo0Mi8td
VRyIbLMHs1zea7GZLpKApgpr9y3xzZcgyu595hU0HFEWFGutLByWJy6YdEifEnKFIi7TomdfXvVx
Um9Gk/aQxoSvaeS2q6hPAPcQXxylP+LmJaQztra7S2Gn2kaiwC1Lm39YFTzx2GRUe6PIicnK/KB7
HURmgNipGG9kDPeoL+lHV+VIWFmt3Xu9dltVxOXGgHMKspNmYZw1E7kq9VUGJCpl3b0RdiX1d07z
11+6+agfmqBDbpiuuqkplkWR3fA0arczAaefHXg02N+Az3I6cen5DSF07IBqiQ5vtzYiNmmTd7jf
gwwzTAPmVcwOLYXHrMyjMagBQQ6sAHwl55BSay6emqKVx2QzPfLabVZeQQhDNam70m4Y3UXatJB6
i28q9Ztdmzxw4XCIgINcxBlT+LonmJLMLzDGCQchkyNp2NRUPc5wRviwCJLpyw/MGycxX0ZnxqoX
DWDY7pQ7/V1V1f1Gz3lV1TBUJzA7UzHqmwyoQ2ksWeNyPbXZD+VPN2adiW1cJSBpmZOOMMC8ZiBJ
3e14ms3hM5co0uWcbT9FawKfPgPwPl4tHh3tGgxTPTXT0q/R1gziAxbxyOyv829SixmeuIwYI8DY
6GtesJxWhu5JWbe5JXeq4wmp2nwkbIlY17w09pkzPDYMdtLye5LD28AcLyLXNYqcta/lP8GD7xjF
Plhsveu4Fy+2whystZcgk0udOi+BUDSCUk8cNJm1tQo0g5m8X/0M5+3ZTLRNX40d1jsGFV1F+LTm
RMuhjT7qsKLQ1Mikc/Vyb3k5hoQB2mbs60uEc+EABrah//pqCfmlx/6Xp0MPKUq8rI77UIOP12Sy
8ThNN8FLx5ZhtH1O01juzNCtV8qaOClNN10oTjF5idAa+CLqy3eN3QjBgkOV+xDi/xIVsWyh3mx7
7HuBp//QU7zpXk071s2eWnp1mGCqD+jPHI0Hh9HeZIEZ5s13i5By5xtVj3S8rom7gzraUNnb2H1h
jmBAa62NYhNfMoFlNoucG2mpOxkAjIZX03Z+ki/QrBLJTaGR8AaTEzuE538hNPqohd+veIMPZIhy
dKGXEACM1Bs88MSJMV52ZATATx+Z7eLE6f9vt+VmOo818zb+98bcg/qhfkn1+e+f+qM35/wmHKJs
PNA8XP0rv+N3pg+9OVpzNOYshxgC2mz4fP/ozVnyNxyotvCAbNimIV0+xD+YPs5v9vyr6OE6ps0r
yvi3enO/2nGZsOmE3Vj05Qz6fMbsNf4n/2UROMTyVcy6VEtdnMCFz8e7zkJXnkXpR+hX8UY11tYZ
035tDna1cYNxX+hz42408TmOkgU4qXsxfF1n/P90Mf+HprXxl661Z/OpIPxYJm5cYc2NxX/6eMw4
mUOTToufUw2b0Pw5xVW0T8v4idDY24IYgmXdYizRCSNeTimCnSpob4MI9qzyiFZWVIlSDB+1xbRT
uWwH9Nv/rrU+d0r/3N700BbY7twvxUni6L8YsnvSBppu5DCD3Ic05Ml2znTZDCh/t7Ep9zSpdhp7
3c4di8+EpB50ymSrjcSDlhSTUx2wiZpQOdFC1tt/fQWtv6QIecQZ4ZgnKcfVpTB+acDrqOIm28dI
bOvM0SxCDNkfM4/dNHsZfMrGISD0vSrrnFwQ577Al3kp2jzch5luowBIV1NXmCcysheVkhv6kg6R
lMS42C0T7WR08Uplao9IDdBRlAZbLdP2ASJPgbBWtF75MJgchiJSn03Er39DBrD/eumF69Gq5vnC
DS/1X9ZvV7qO63sJCoqiJ3qist4JJoZCnBnrGBn4kvcp2R2+ijfJmJsX5At0Vob8pvP7h6FRt1rY
Bif2eDoJHZVVUdqPBrzqxRgRnFoHu8rzceEOzrm0ERwpj3QZA8L1lqQ+XuDc722Z61vPRcNRMgym
jpk+mkzs/UhYvGxbddJqsvYkROA0RpLkoE8k9xDtjcEEMHLFY3YHAn+fIUvaMJtP1wCUN3+zBsCG
/bI+PfR9jk4XHmK2+StCqAw7b3AbRmqcF3EmVa+hmxXMvs5XB5v86grtrdX0u2gMR1QKMzHOvWQB
QsOAylb2xesoCUqxSZ1fDHRRLZysLHPmj7IgHD0fN9MYSToixl3ok7guXQB8ztx2to31NPGjg5LD
4itmIqrPPoF//f3+h13C0113HjTp7I3wzv68S4iRSgoEIwcTt101RvLpRNbdnNQ+D50Gl48YFz73
Bhjwoqj4R9xoq9pIADqm8eyoNsk/cLcEsLy6LiLtrPubMdh1wPGnAcjv2z9qPZ0xCFO4P39Cn66Z
sAZUkH4uX4oqu6ePMLMn3+OTzJ1tmdKU7GGGdykf3siLZUTW7KxQ/fRI4yAv7q6I1ezvZuQZk/in
Z+shw/Ff595jFicEGGxm+++gJycHdVWLbxq1NSQ/5AyTyQ2QaHiR8Ud/c+ntv27QvEDAcbLBOOwu
V3//P23Q5AEjiS7ZVOa/hKTgsRkIOaXKaBw/W8hOe7TD4GmyrTs1lbvCii61zlLApXA335wWtCqZ
GWIf+86woJZvEprnCt2TKRGPydvcWFloRn2SvztHv5NzyBKa9CSHv/IOYOVd51dnOKXQ2iPTNpNo
N+TDXiMikgKp2Xg+fW30J6RcWPwp0+65UNASS/VpjPm9l4C6dCP5I7TC47+/Km2DSD6h655jwi/5
8z0nEznq6NzpC9CBjHnUSi/lY1xoF4uILYkXjLwF9alVfLYwAEdgv1/XZqMY96eJ+uY4RbpmFH6T
uIIJ+O/wPH/NOGNc6Ah0dJbhMaF3513jn24dcZTuaHTcOr+MPueEL2tqXmMmxIPuH5Owfh0Eqm5H
fcPkOIURH/PM9wT7iuGp3llG9jPIo0+Eft96hSgMe3VmGXdDw32HEnink0MWiDdbsx/AJuj0uBdd
kXymtKXc1H4mAAwQgnZvTnRXJ/T9CEqsi6bZCzOzD7UdfsIXZ0iddZinhE/udvjdM4qqElTImWYR
z8SyNnjgY4V8bSyq25aQjUU9r7vrSq/d8sTA/q5FdbeIbJ6GDlNJLIw7ZGHfo4g/i8G4awtxNwXM
2fAQclS/TR3nEvPlTZu//q9XhPjru9gjzYFMPbSQAnbtL1d8AFJkTiW4UjrgxKRI+05gIekTHojZ
qqiHwc4xb/vSvrs+PUbIV7l6ddsoPnrvVQBWDdy0ldp4VLS7xNL3dY/DK7A2gS6A8rJoFMmoWvQg
mCSBw6EHoYBEdSotlkEOAuOLHeNUSZqRUQGGyLxrgIelUw7ChIvnu9kJvdOZtugyheVc6MmqGpob
vUpOXoGyxHLGZTG1x0BoH6TyPepOc6hVuTcz3giYMe+Y5r9epRrXW3DdegrNXMjR//GvLyYL9Nd3
v6lTIhvQQ0zCAakTf0HJTLVT2GZkwO1Fib9uvHHh4o1Zl8+AmfFMo19em8EfcsAE4YgiUXYjRr4b
B3Qmg+2hzqnGOCm2y06gWzPL0yDDGLXerK/LrZuhJ5NmFIihoaKjy8rEUrD30iBsnU2mLILAMI5o
QxCtvck+jbMPRCIMoZR9TCZB3weePjPdNYUq1rYx0BYkfs3afCM5iOQA2grqtRHep4l0jmVnz/Ly
hax96yAr86AXWn2wyJ7DTYK9C/ngycWryEwWhSq69x8tl2URdtoq8uJxjetb4mUYyPLy7pTvf2DA
RO8+j12c0FulBV1RhiG3dZ22a/RBt6RWD8sqNZ5zxX2N6bxMJ1Gi6snDLl/FXrvWS29YojXOVxlx
xpBmL2IG5hGIRV0w6/TcLrAPbe2dqRa9HTEZ48Q8OukxJWdddxSVc/nDnZlKGjXGycxzrCj69Oww
uTK6Drx736ot5WFohF/WLCkedM4j9Iwem/q1UOOlJZZj2bVRuixLztrFoO3Y8Ld9ZrkkhPnxNote
8llgbPfevc76ZRbE0x6XSM5mA43RTDvinwqWhLsKrDjm9yTfwKhhKir+G9uZnL2mJ89xivR+cMUu
9270DqhdjsibcIp6l1Mo49zJV3RFED3RXpyyYg4+Q1TsM3lZNlO3Bh6Z4jVwL/qsNMxkidYXgfNV
jqon5CAGuIutV6GN7TpPXQyzRaOvVIHHqI7Q46KNmLz9ld9mSkA4qlvht0S1PlFpj9H7hEw5LBhg
N3k3rMPgS9U9HUst3GglBzY6DVGMYpaDmXPMQLypDmLP2OUv3HDzhONi37Mt4SaUz55HLnhORo6t
xa/RLOZuOuaKQiGh5k2cLC8U8HZ7zAYSEjU6YiyjcOsaaMUymwxqtx03ZqoTtUwczNBdoqIID00/
LMrCfNY6Nqk8aYBFY9gg1YcNCBbevoctctNUgv/ltKtWoFDDwW4zSExux1k5m1eKbtwUddRCR9Hx
bF5X42AjxGLUMM5Mu1o1sJ0539lYeKRFl7X2JNZiOa3CYERnjRuuqjhWgd4nOwrrxfVpGeyM+VOo
v042T2I+8UYq0njjdbxjJ3e6QeyLLBQvUOYS2ZynjrvqSSWTQTCuh8KlQVkbZ0/uGdYk69pIcxqD
7nOjI0fUtZB0Ts9M1uZYdThouj0yHWtf9OzFHIvwEqKbJMrD3neJ9uJ3vAlz0bNjJZAoinoVKX0T
jsAtmqq6abt6N3CEKmfjEmdK6PMFC7UiK94G1Zd55sJW8afRe86OidGH5vQxHt3qxxCFb7kW2/sB
oR5nvm+rZUh/dbYJw7JXUWMwUJ6/byV+DLrMN57Vf/qFfItCk3l6W5kb08rXSTAS/UGo6TrJ/W/b
KL/jypPb3IYe5IvkiCGZKNPU1ReMBnkgBJiJJGXUpD7C3IwvpdPhT4FQUZFLQWgOydX4Kpyh38cZ
jpms4INrEWVcjDoVmri3KhnKshVNWxclx4JXn3fyB9wDdw1hBqdI2PHSzlAJwb7kG5TkvXZB2y2w
uUBJckqFlRzlK/1yydaRswvziKYewpw6SO6ansgPXR6vH/Z6c327KpYuymMH1xBKB3tplZii9LIr
Nk0iibacIUS0Dr/copWooUlqZ57bWhG3AhtkVVr6ttMjNIUlwsTZQbDv2u8mpIbzLZ5qf4T9EL12
QAJurHCp0GY+MxgNS/SPuUNfYLZLp02LIqhAlUysa2h3B6XZ0W2/SWuDRrajHsbEurO6jsgZg8op
6HRyLx15KqDGkPkJNd00jnqje4dqkLeaDp1w0J9GUj0bQXwgkJ4LPelsWfHWWCL7xNuuXpIa6lMe
EbiTTw9l3baYVTVvNWY1QJ70xWpINQQBD4lndN4j17m3SwoVsgv6pWnm5bnPtQcdXmdCgORR2Zh+
8pzb4UJjTAdX31Zd+sorMVnZGRladstXHh2uLeZkTlWmNy3yRH9KCweZf8JY0uxBgHSZYOdB4LFO
NXDFwmm3FQNVIzHlhmz3Z0HaaOJYZxGE9t6ZXDIMcm9fYdOGxOYW6zqZJk7m47DIXUwtut/stc73
8azWb07nluu8za1tGGXrPgNM0cyE87jjuK0RXenJPj45GYF8hEsuAwuNdtEP1UnYUIAzN9y3rv+C
/Nfa1zK4KVODyBZCLvGEGGS/g+VdpQGXnRiTrR9lq2q+9pVUa4yIw2G2FJABc8bor57xBb1oNsDA
NNagNroF7d5hTv4T4cUemX1P34Fl+d/0jp2LcsVtypjvEDj3+ClyNL7EYZTgTSJbnyGa0boV0jkU
RFVx9GJ/mR31ZgpUK4BXzMLg3iDCt1ckhBEE2ycaM+SKNDazMl9aWb1hG8N0pY8/u0yiVW7xOecx
uvROTKeKadPs7mg2HBvjjVRkFiN/eu19rd0EaOFp/LBVDiFisVindVyRDdpGpBt69U9Mupwh0Et4
Sz9n3m+ha141xYvs80enlQQ3J1h/dLQ/7BDi3S8yeigTM3snUedQcpKb9N5Bo014rDdYDHgNLPfX
W2uxRg0CUvcUIQzaoy1neGZAeIPRqg2gMGL7gXxM2oFGd1vGQX/Itf1Yu/3KjOClNX5/56gxvwtt
QgzHGCKPwWuyrp1Lo9L0vqJAWhkTAQeO0X7wqx20KNEOPYp/0Wd1Aif7ZsexAiZTES+un1Wr0mOh
WXAVeX3WQ0056Se3VdVi3lLiAjLdx9C2i148o082MtG+E2YFpAddyjBWGwwxB38IUBeM2j1vZ6Cx
PUNd0dO8pKAKCJOdXrU8Z80jSDqgTvhISQjtdFndpH29qzWJ3snrn1xJJSIMWqHXQunqymppKthp
8upbhO1oIBCMipVUJxGOV8fChWZAOTY1h0uZ3WQ941RMMdi0/GAbuWPE0JWXnygzb9tamDEVAW4d
o64iggCgR2iBrCo69XX8iMStQNDYD+vrS7u38jckAejiZyemRi22ROE3vyP5eAaraelnHxmV6NIv
uGBOJS9lJELSGNVROD2eWp8lM5tCQ3pZZIExmTSK8kZ4dNCSSBvWV/cnWexoCIKICj+r/TUIq2Fd
C9Z9TUz4Br8/TrJu2MQSG7KgOLItAwV/cRYR9VGtBrYlq7urY6NY+xXPR9DAwDHrr6DAelaHvs74
DLPANCFViW3qaz3paNDM5hSaMVujH8+yzbC3D88tHPFlFOFetUb7h18fEIHh1prdjIPPrsUJdE6Y
6rZGRPXLkTlnSO6d+9A4BRguliNGsE3sf0jG9FAlJd9mvvZVOVQ7ZY9QSmqaG9ok9oWQExC1FEvR
EOVr0nB6BvkcDuKqwOhJXmw/deVGle1uGCYLhI6BS0rGfLoBd0mgHq/vqN47icbZKG14hMcZXrgb
ZNM1/k13DBvb2Tn0qBYqr9fsZ3IrG0mPZUw4IU3LoHDGI2Zw0jQoUudqCo9Tgd0iWuPaCpZxjqPJ
zLgZOG33jg0n0DHoAPDKgKASq4uunkuDZVuIOliWzEFlMe1NhLyIUPpHghVZw36kL5j0z1XayiTw
ZR3N0vi4qsNlL3BNuHbvrpKp/y6eja5WN2gPGDHrsJnDlgcBtsn9ZGKAv3Zo65igNS2wLjZsvm2l
4lVvROZGqxJWfAMfYvI/+pQmVOqml2sJnPfgXvIJgt/1PkTmgVqohrhJPN6kxU+hxvmoR5WVS/Qq
NekZSFXCE6cXXkeeBhg25kMmVnOXdyhdi5Gur8QyEqL6AP3J95nKfF11JvGn3WWCfCwA0mxYmAj8
aCYDluWAFSDIAGyI6oAwt4SgFsGTGCX0yZIx3obhqx202NUsjqFxC8GiM8lWy8wlN9NfMla6GtRw
lMid3bxECE13+FUNZEKPlAgM1fF+6bzxl2kSEpbcGSBZxW0xH/0ckb3RXlGILAL7mGuPSmIYUG3U
f5EH7AoH+o/tMpyPrXRrke69u/5jMDi9FmY1sT/i1kgzOe5QMfDx3QDBp25wfB2b1SCzet0WmTu3
6bHHyCnejpRDWWTxkQuEmjdG5WtPXE6Cn8H+V3b00Jruux5WjyPf+VQHHcdx3h5GW1VbvcppN0+j
tW09jD8GuK+jHvk3gzaQqpkP+sVsEz7soLdnlxrnSLbCWed4uktlFLEHB/csw7cqi6NX4er9Noon
xBQ1cEPNn9wDyk/rjH+Fo57eXGK8ydupxLaD0p1ytbH1E5nL2Iv87CGcPOvY5l19kAxvr3+s9PBb
OJ6m7eIM+xAm4+KCWoMaK0wfIiQOe3uCEjJz1/fYb+Sx9Sr+UOEuyx7Y3cDZ1yz8G4Mk1B1CM3iN
Y+bBzEevQ39vAb9E3phJejbA/P4/7s6sKW4s28J/paNf7pMISUc6kiJud0SRqZwYzGQwflGkAWue
Z/36+wmoKsA1tJsX4j5UV7sMykyldLTP3mt9aw1mCFckFFJER9bZMCfmsRLVTMyoHGrCxmSsezuY
01dAatZDJNoT0WF+bLIRsHaOSbGz45x4yEw/SRoEyY9zHYHQbYpCf63VePgia4iPvJxw11Y590j3
OeSsdztCQ4JDNZmu6zAzr6aZvZgyFNQV7dLqmk/Cor1t+eV0xWvSsVI2es0In6pSdRXFCjcBQATE
uOp3SAreWgubG7+P0f3PqvMSdBgMWpKA6izeKpXyHWCBukgUgxbfKFPKI1RI/aiPED4MFcqneuIg
g99gqrltJwKQqm0/4ROM7bQHB1EQTAefD6Bqvm1scIxaXiZka6PSigvrqtUUe90GlDqkzWdQMnL0
sWtv6EHFiKHZyDT8UhiKepgldrMKe/+7U4wnmuYXGyCDjOXNpNsqmQG+pOYZjEOSjCYt2BuxhGyR
Bvm2tqC7AKQVu2Rql5lznZlxeirwlgG9sPlp8zRnFHHB0QzXqlpXq+1m9z0yOHlwDfb5rBQaSFlx
09oiPd6pQQc1KpBPqGxgTG8tMKxHmV/GyyzEbIedycI8sWZDPqGFSldGPQarnC6fliSr5KuWUQ+r
XOy0NHxkWqXpUuMzm5wNT6r0HQhxwR1Fq7fQZLAJFC5/4s4mxIANgBYn5KeMr7E/EmqaGLdFxZbV
iwNy/pp7eP8EN6VESRpcjuivDdZwCpEkVXBd6eopgTPsuGN1NznDTcZ+BK0MXixR6rsym5amQYXI
RmAbW1G7wsnrY98vzXXnsXOxxp1ToYyoZXTkg1WbLNV3ax1etNHjUJ6cGz312F5eJZh1mbuywZeh
sfPSuRQpv0xTRRRtjntSGNdm2ANl5VlfOaCOZLuITVVdDQ2V7NCiUmxSEa0UcwwOR7sediCcSELY
YN0sj30HYovqgNnMa4SbjgagqprdywMNumyyNKB7PC4dnWcj8e7HlrBWZibujIpTmwg+bplXaMG7
K0IhJUsihdNjg4q4sWmR9aRLwkX8m370I6j95VSK6gn8sjRUgvOgmM8epJcTgGBkJX5MEFTnr9km
0htciU4HdaGOKmWGSshmKcbzTB9wiVvKTRt0xaY0K7Jc8+C4qsZtA/B0iSjN52YcB3gxiJypI6jt
R/2OLBC+KyWDiuFXM5ellsdpGl5QiSFA0iBzkN6z/Ju+8FtFg45i3DEtRhpzW8N4O+zUSIMIm54t
CMldDFy7xgUVNmxyhfGPsPEjEDLXNGx+AO9piAQPaXwgtrbLkylHXoMgcqnq8FidpD3tKljgj+/v
/6s1jTJhFp/8uQLmep8kD/+4/59f8rrZ//MfD1kTNuP2/l//fP7NJxWMdeAIi/Aq2ir8S0cL+qtD
TR5YDsOlOQKFgQjfGBPGXx1q5gH5FlLytw6TfUL1flPBGKhgmKQIRo/zKMX8GQ0M74Dr/MV9gGSD
l6BqocZUGYi9ndQRFzokapGT+WwWpNFHDFZNTx0JT1IE+D6awoFGXHlunzWddQ6N48Q2kUUGAR3z
SOm3DcB2kWgrBQ0369WccDhWeAByqdHPyNO9wlKRKcqlEYyW29bVMm3ETdhER/osGcPePxYFfB0Q
UJ1nNShuTWWph3iNrKJcRhARGLrASqioaG1LOUqjrjoNWF4Q1I1LDZw7Tv7sZizk19K2d+hJoEqM
JFXZQXsVw0vaxNb4eaxqibHNwYLbgT3D6uY54grrt1vYSBUDgwDsipDJjPfnI2/NRnq8JftQPXab
iY6tEyLpsGNygjXn3sot7Pxy04XsrK2UgF+vbb91Wb5iSbOO6pIUWCMwjnGdLukIoWdureOxj3yX
iLxkwe6a9XUka9PwbMbXbCbWio9+V8vYxxQB2phZw1xg/IWUTlpJo20DTwdJi2pCCaHf9FCNA2Bd
8FG8VEc3GPH0l+rcroovpl4yQ89SMpANMrbZoKK1B5ffFcSY021ZKxIEg6hulMTYZW2BTCGySNhl
UdMf0OMeaUOZHwW6dyZlkZ7iHeZRgl++nPxd6DCzY9tPxM0RLO5uWYY6cR12iumGdHO7oR0xEQGi
dOmDIqoe4XJyy/gVKTRzp4VixUeiVE+hJuChwyi3I1RkqzW9fqi3lIpziK2GImNRVPSPdRMNsmE0
69gv99L00SDSflqIaXjco9OtQ3WY5fTZipovNtyoPdZGDBShwwpugBc8zFUM0Wj9xkldJ0G/75My
X1nOZ20WeJSBvVL7aU+Dzj+ZYD8NVv8tBo6Vlt8ArqDXlOKmbLpTNpMkSXcbdENcOFmru2sOdBkb
tliMJDzWefRpJCP8UC+zctXBAkaAAREKciGRHkuy1Qpay8huY2JrDlWFe8TMxUAHOMOiAsslHnn8
lFPuGjIeoen6d1ZbXxE4ly2Rq6yUtOyhfBBpwafJ8RcwJyjghrFlsIqbmkRTopuKlHFInK5jyqQO
hntmF98qgfkKhTE7Uba4nnomdeYWWa5/jdqHoWf00fuqdlK3o7YsLJq4VZl/G0T3nZkpLO5R7Krs
fgSEdahh+VzgfPsSOWApYw2yh4BO0SXi65yEsoE8vNXKBpluhq2jwslfjJhH4midK3ghbDUEYOul
5gkaNjfsCerV6WEakwVxPDaIeZ+g/nXIyFsb9aifqcvOZ7SB5W0l2qHGqNirmyLRaRVq2CwCdoeQ
a92RXUhvtDxkWxymCvhEG5CnhaB7E7diWTBcd4kReGhsa+doQJQ5e4cTDN6h15JPbW0ta2nSotPI
ZO4K1QJDCtHQrmhdj7LfhiWGwKoShOcO5lWtZtcC1pihKPI4Km+MKCdzWO/o6HXpZ7Sx+iJUBFG9
LXdjbmtQcwvgqmr0gEU12aV5tm+94NqerBC4ioHDr6svmOCUa1IsEFzTVRWDbS81o3bNbj8aXBkq
rT0zGT73Y/Ag9YfAbO4559rSipiPsy0pv9KyRZ0IG87KWbzyol47Q2SeJ+RvKgHN4daf/ZsMmiSj
KBq5qJCnr6aF1U+Yzo0z3vcVHrskV3FEKt+jQYf+W+x6C2kQwLe0pA1Sbb1Av7UZ5JJRUlGrlaPb
0btdqGIB2L5dBgw0V5a8bK1UW6DyZTpgnAhzNisngKanDjVKn0Zf8eMcxXnzNcz8wTVHbu/JZPH3
uEHgG2Ts6PzIXuW+cZiUyq6u+9EVA3vy2syJde08OmMKy2qEPHssqVzCOlga9uxAHolOcQLjkiQa
EuO1gT5vEM5GyV0TMcgvaV2tytlYbMlV7Y3ypNKimkR7Z4mJI3TRiNSrsl6ral+cjNiPg7xdTgFb
CCuBzcsWuaJhaq1yM0hwfoHRgCS0m4NmJdNNviVU+J65NUcPI1pWsSIXkm+FELYwQt7hdHa2iCds
1KZChx4StFvn2CcVvBdIB2TutmNHcnafn2oCkoiRpcOi0QPMXMDPRfeNzEwDXnzBNhJjL3gGkjJk
MZ5rCgP0UuprJLUeKw+2nyag9ldTbRXZ9dpgmkcDErRbY94UpAlsc4mHUQCeUzttizdlwBcR8HyT
l1kFhMa00eMxpGNnIw1GGJFvPrQKm6z+FrrGFolXutVSeUlYsrMyOxpT8C2fNHs/VSZu3Av3f+ff
uMsL4hb8oPn36z+S3vl8wOW+2b/6g/tYh523D9V48VC3Cb/6FPI3/+R/+pfP1dzVWDz865/7+zTM
uJqaikSKl4WeEFgj/qpEvALv1mARVH5B3PCPX+5D/+EPfv9ZLq0fGFAKiD+1dUmHm5LvWS2tHpA4
Naef8r8a25Xfy0TrYBZYEdyDghlL4/xmnsXSlIkkgrBLo6xTyU805c8UihoV6dtKkSJR48UsVL5k
MUrexcsdU11Rf5RagT9RUt7EDK6sHr9JlXrXhIGwnRa73qvZk0aDz0A+yDYEjdpT6RY+GXSInT8T
o3HR1qa/SM36pPDjy0GiDJNUAQQ2MEDJ1/jEHniaRDwu8O9kdxKvznKw5jQIRu+LKBX5mqRFHG51
F10Y4x2tmYVU1Oki5slKbLa9AGp16sfjZ2HWV4Vlf6myad/jctlYLYEhTg9UOb6WfLFu05nmjuzI
E1vNvxlqa689n3akOsljY1yHpffAYxA+vQk5LC7ybsv8dVgkgRau8ya/i5EOuYiBvts6dm8i6u0E
92oUXTD5PRFJRBxMiZEAOg4oBlV1JRHo/UTPmgytoyKkWW97IDdpB1ynkNbrmHm30rEoTJq9bfP2
NLOwd1TdmTQKqgqRnTDoP/f94m7IVGBXln+cYSAfq+DCcZIc7zOOcEOM+6ory2WBF2z4UiU9L6xN
2qKn9Vt0qHTtXtzZfTO5rcivJV6fRW8GLCkzAXukka1EMOWsCpugLCUP92wgcmOtedkR3Y97eruf
y7gkpr4s3Cowjx3fpMIaGu0wGZjU1Pl576G60D9Rf0E3xuyOmIey8Tv/nEkl34Vgfla+gWQrLyo3
6MTewZHE5L49EyMqUfA2tPDskwbJx06FixETDOnCxoDV5rGFxhHaNPlXS0Ri7StyayuDh9xDYmdS
raVQvUtQAdiUsFh2e2F7l1ieVIWxb13cI9ihMdmuxwTthN7TN8sZ2WNwTIdlCBJ2EZUUSqJs6VRk
uXls23M9K8fLtCHhEAOo26KAYpAnDw0ZHfs2exv6T641+9tToRpb1UP0MMikXEVbSPOpKyS7F0+l
OPQSKlw5ZLdpgX25pQDlgdBeJyu6PXgZc5mecIlAKp4MNHvsNdCCMgJXrenOmwSUTtU+kzU0MC+Z
jnX6VcdtxyjcKHmgLPnqazNNl/Fwi5Zpo9vqJ7yG9zkW/AVFsknPRTXhcutjvPea6JbIZI3KCoWN
GeFeD2rnvuvnFmnlsgB8oYuXU1CUhFkiCI4lVoIR5916tLNbE/rlYkz4HrQIy3WgupPIgOjBr1hW
uu6d6qqqLTus6sw9opNRZ2NAJ/NEzxNSD+nULxBxgBqv8KRKUbuNhJQgGzpZjcTNq/Xq5xJWCpTD
ComN2Z/iEYsXamvuGDCtpkTPlpp/3YS0TJsSxxh+PrhhEE0PHadkbMbIDTi8toZ4Ei8aJ+BFA0U/
4tTho26wEjVF47aDdeQTxRhi0FsYwjub5rATP57Y51gIyfLdVFYQ/Alh8DkTqKhmXG2rp4VrjMlt
Zbd4L7W1bJRyR/rfSW+XeEeVWWkH+hz+nHON46JFVQLxgpqUUW7HJ2wjySuMbOb62UYV2siwPPJd
5Tqd4AC0UO6JUa/cKVY9gq64tYBWzBu2pYGrHft5cS0S3I6FnDC8M8hpY4eCMZbwEnmNSKNVRxBR
wXC0+CR0tTjJEu/a3qW4wAi96Iakc4sy3HsevMsBLAwJZMmZr9/S3BbQ/3JnV9odc2FFjzetDaQ+
istj5omIuxqRb1QzXBkpZDgPtQFjd8SbATtGcFYUg2sFnZzblXZ+xDiB0mEsLuO+Pq2aTmxLpVYW
qs7YCXgHBVbv3ebFNcNmuah7YUKHQUlmjmRMwnlRmLBpa4cKiJ1UHXyNWBDHYh9BW/Mt/6auQIrg
1OT70ImmGlfFaH2SWhGSdkq72WQkNUq4iv0gpsNwNPNlkHKFDg0duThGlJQRE+nB+g0LAj8UDwJp
MaBSCr/FZQlKulF83LzMUMGXZIaCjGXqaFngBzDLrkN4m3iuRnV4aNvWYhqYV8dqHIFHLb4M3fAt
KbRPlsfm1/eGC0AN96JnDJ9ZxP0gRiU+TC+WzHYYVkk/5sbXv5VsiJZBV20HtM/REHZboYOeNr53
tBHZGJri1NKoe+fdXAELSBsDHZdk8olStdWLW4VEzKN8+JTmzIY0e13htnFL6tW2uxhV57z06FTG
dbL3dZxOZl3Gi6LBF+pPn/WORKKxRB5pJBbuh669sQ0VPVifbNHfwiZUoGEakrMNxWhchqjZiKkQ
9bWq5GyKMQcb9pitWdG10yxUP3uwIA6x0QkXrqtYWkUDhCTjijEyiLJg1oiYdYKNVNJuiVgwc8e+
1lYJJpLCjzaVzWis88x0K9ndhTmbgzmhzPZUcBhhKE/oNZf+d6XuB9z9xGH5nlUuy16vVqIIyBbz
bPAlk2uUsA/8CCANPf9K19ZqGuBrz/T4ksXhFsvVJ0vIL6bpX5umU3xy8LfWY2PCs+N+wqW+lcM5
6rZbVfHwgrbxN4EcHFVVD6HWJPvKl+Z51O07H2ZelVd7hgnIW1BqBaic0bx2d1mvF4zZh2Ih2kwe
dtp0Ffoe0TlO6Jp2dpGOLWZgSfRahMm+5+FgeLRkh7DSN7KCiG5hjBTFJhq8T1Ni0ODBrMZzB6QN
oB6+RhUVZtSA5YmMewGAcDli9VgGU3OkEfiwFPBBFrUJnla0GjQPX3lAboDcztNOEXdmK185rdSi
AoWMvC3zr/nYRzTKh1URSR57OQIhjy+Lnn+fVRlfUagv+7R1Fpp2K1v48bqqLfRJ8CgtVR47eEtV
bzAxBbMlVFmYFmSpm8Tj0K0rS+jKIxceklIocLAMFk0UfVNyJMeFEh4PnrNva304YdvNGXKqXRnX
x2nXkoyY+Atj2pthid9aWtUyK+9sq7pB+XAZE1oxq6UGPF2Bvm171TirQIoDmSUMGM1PYESkb43N
195xlDUkR/D1/rKlH7QQrEGL3AvPpN1BHywK9jI+3a7OGZF8jDMr0Uu102gi9jIsSVXnQVAqmE+E
Sfx2fyRGPbki+DxfTTHnYbT36MjdADmeUJv7oAm4qsNtjkpmwSV2aWSxtWi8VIH8RpJInIXHmkz0
Xe7H0OXjYNyoLYthUBPMYtcobpSIh6OJQADHx0QndCDcKoOnwIZW/1zNIXBFsbVH676r8lsVUzLg
0nSjVMSb6eqUzrppfdOrucWEszkm98cbK0nfU940bYVGFFsjqA+aRZhNBPvtG7O71sEHQIJXz+kN
aTBLeCuS68GqRkIYqXp0q7xu5riNKizYdRNDyEUioiXUnn4FbeULHHVYRfmOQe22MVqUKQHa0Di6
KOgBwPVXCRcWMAM9hStSqajS1KQ4VcZtWGtkCebJ1gaCoNhgWIIQnUBL1bCQzay2GHEKAgOdbwQj
JW42xJ8naufc8ImcavAx9TB9cczLxOvvqPypusRy6HT6VQjUCRSMEH31glKCZDNmUjHz3r48qWCl
QD1JYndIortEBSWUs63eOJW96pElLXOTjhQanXNDDPjl9FO6BvC5MihIYHiY5aT1rlQ6ZBA9KoSw
sPZeVhMKzhSFB1oJ9G32X2fVeaX710nGWFUnERMOAd3TLtFctQbuGkAHs6SxabrupqB/vMZuSXck
odFRGzDVEGhSl1aXI1pbmEowVCtHXxoOvQ9FzBeLLXey1/WNCfv+KCuXikE932c9GY5gvA/5pkbQ
T9QYllcsjai5GrNOJTtN2zBpUFaJg19i4HKAu7SppuERoMMdUAlicaN4KyGoT+F9Y47WhgfL2iip
9gId2ag+cS8h9Jebsmm2M8hlOUYsBfkElavR3JygzGSIjrpsF3kowvDJ+0s5laf1QLKmjMwVz3mx
GjIU5o0Bi9v3ecCAp09NZNcVO50Wl9dmaKvF5DX3aoDOnS4eHSu9RvnTg/0svyBvqxa9wKZuUb4i
MFqLycvWVoQYQbFISYavFKXWcdzQYR/Tqrls5mxpkSH9S0XzNXEy5WLwu5OwHYAGfMvS2rlVrYbB
Z0hMbEuAg+01LcPXylwbCSxh3aQRZkM9YWixTEMaWL5H6zk1PYhkoaYvPdRah0MGTr3O1HgdK0cS
YSR5L6GzyKgTM2QKC4Zxh1LSMvTo+oT4C4EpeIGLZhKPcXbkhNh8jLRb0zyDIOc4Lr2lYCVpIy7w
IezaHNhUofXLJGnVk2jCIRdm8rwsrfo4MrC2Fvg2J9BGKExKJ12EkXxoIx747YQELCzK3dTZlO5V
TSVsFUso3D4bJC5YWB2Dy0VDCEHZ7IhbGdl2IGp2Akp7RUuOgKWCIeUZw/4MS4CZU94NaIwJvDiL
lJq2qyTqNy5dJ5RXuhldJH18Uao6s9Z+Sti1Rqdsrk7UoVwksfaJpG6i6QNK2DGfe4G5vYri+E6J
swUIEPuoS4nAoLDdoSxYz/84VnDPXLdA4s5uF8fIulb1s3yMAH2hQKM7fIiB4VtlgPqLYfmesKby
YRzepYAg2xbJqtc8HYlbAMCnLzeRnyCXhZ3m5nVNkBvajjDGPOEkJ2bctGeW1RmLMjRbPhnVboTn
15JwekLbu2WeG/CIw0FqeJW3KNOWJFOiD4D7uCT5sDOR9TdylHeV3wK1LdN8FY9Husn1Su7IlsgJ
mOXhsG/H755u2a4mrDnbpVj2bVvsulQ+ALJbqHaUXOTsgdj72htQ+NrCq1Q0TD01AKIphrfjakQB
r+TtFlY7X1krHjh9eP8KeebXtnYY12hHYhNSnFo4X50BSX0S8lGrXB7bEqYUWKHLAVn3oggLG5GH
iDd6ZnI7e7ezF2P6AgGbJKG4OjHUei1xu/GYCP3VGECjkdQKA9Otw1TXeWj3AX75MNvounn3ODDU
ocm6lG6brDeWSooLJgqmfVhxG7Wm/ELGRIo3nG4kN63LKKvK3TzGuAiljt0HbLmh3ZU6LM1xibrb
tivXUMPGrTyD6dYAZcJkai/qWdGF2pooFjvDMiH19lSJxz3W7qPWR6qRZ8miBwpYRldKbtLxiB0Y
fh4zvQJUheOkNzJGXxlOyVnN46As8mphoUQvhpTO1ygvBqMn+9ibLka6Get8yGbeBbWjCu4QlQ5B
aYwlh6S/zRPzfPZj21jUSjiEcdV98Wr/sDQ988hLH3q/1ICdQfyjObXIFXvnNbq/JjiPspoQhJwc
T1pfvbOYzHkPJPe2F9dErZOM1Qc9gLqK/CEgbFpII0crzK99PIXUudOmC4YtkdmfbfBzBbQit2us
IzhWe7jKyVK0zlcZTnds/rHub8R8MRhYmlLYve0I/9M6pdG8j9hAkDKxI9OcWwZ4DTiZfdQAEJUk
LTX6tYjGo2YGOtetsgc/nqifnNDazOFnXgBVo0zG01Rjiiya4Ywv6/scwGAGl2j/EKsBb/ZNVf+E
0BylB1a0IPKYdmlHqSXqjVZ1m3hicUH5tYvkuIFhSNeqX2Gv2dEDQ31pGhelr900jXJKc5S0q2CB
LP7zTBJzFA0lRpmcG2qFfztPLnHRfcr9yEfitco0lnXUvDgmoDiPSlvvMskzPJoIojYDuFQBklXL
TsddQvMjGi6nzkC4d51lDeE3x3MmjHI+oLZxx1xBGQmqm7FXe1mLbSjYgHSBNv0X8ok/6ou/6pKv
H/LTffpQv+6WP3bAf2+ln1yurt7+wKtm+89111804n9or3Ok35vvj4DmK5w6s1DiRYP+P/qhvz7Q
q379Xd5mzdz998M8e9lvx37+plv/+JYe38pfHSHZ847be0YBhjgwdUfVHZsNLTASFUFFkmf+819r
+oEG7xlCiURZIecmOfqRFyfoz07BX3+6H+cYPx7n1fv/04kFMGLzrajlT87Bm2O8OAfGgTEPFgBo
6A6TJxMz74tzYB/MUGWGD1KqPK2E/tHOAYMSlFOvdD0/ewqEc4AjAUWPQJNGCN7sZ35xCjR5gK4M
uzPgTjZ35tPLfaDLgPf0zjMAKFvXLZOZEHNiCA6zwu7lGRAHfHKVe8V4kjB9uFOgaYbNzfuuy8CQ
BxoAIUhCuNv5st+uBuIAz61mcJJYMGzEBx/tVhCoyN57DlSoTFDWTW55SzdQIL6+EOSBamvzpUB4
lcFa8eHOgWmp710ODPXAnhc7vmphm5ahs+a9vBmMAySmpkE6M6NT1o0PdzP8kdbxZ9dEJs4WNC/T
nDE0fM+zlvDFSbAOWCs1B6sDjweHa+XDnQQN4hjr+PtWBMhmQMVMneefEFQJUJlenATqAz49/9Vi
xTAZovPXH6xAUJG9vvckGBRJJtpWeB/zqvfmSoD+pgrSytC+Ukrxfz/ckkBlp777SkCAoaszpk5I
S8Liev2AdLgQ6NhoBqA9Ifn3hzsJOuLIpzf1poL/sVz+81JRUAjZOo8F7gUQsG9OgiYO6GUQ1YCs
fH65mWPysW4HXdrWW4XPTy+MKmsCq4EAlScNSVvq9Zog5wsF3iHiHpO7YS4iPtZJMDT73RWzoR2w
2gmNPTkNGyTtb8oElgwHMySVpKZzQczyo491EnSTYv69C6PJtgHnCf4MPqFKetKrKwGrgM4TdA4q
cnRsnzNt8WOdhJnwSa333tOgHqjUilzzFiSi2cPw8hnJ1kqnmIZspKKHs1k4PuJZ+JGO+rPLgrC4
5FkYDIPqCyGh9UPRCOsUx4gpUeNYzrPQ8ANtIkFMmE/1y7seEFzs5tMj8NHO8vJSoFJge8kDAiYC
BEfzuXXxkc4BX97b/KqfvRDYSs/bJ56Of9hPoWakw+0wduU84daZ88s+1qogZpDve9cEyqW5UqCd
osn5McgD4GXhTJoXOwtTY/dgUF3/TKXwH1wuv3UgGSsn948NyvABWORvGuK//YFfG3g/HuC5MTcb
w+b+46sfnPXFT4d+eGyKzn/+96tq6rF5+OIvf20mPr7O868/f8AfX/rVa/36qX79j5vwodpXd8B1
H1/6+W3O3eN//fOXbyRBTOHL3uljy+j3N/KDKppL8mkZ+KvjHu5roNF3CLFfHvqpC/HeYy/2yf5t
VtxTq+/9R06LffY6he6pa/DeI7uMhsO9coERzs9enROi5OZ92HtfYAXAOgmV64fsYQr3/1jPf3r9
Ok9tsPe+zjEd8jb99f0+XutPu+l3HzgEv/XmLT/1sN995Dz9tq/ux1dv+mnj995Dn8z31UP98sjP
u6n3HvksfLjHKdS8OvRTZfreQ/9SvL02njc/7z3wVVvf7bNX5/m5dHj3kf8ze8VvS+t/t2j9eQTl
Ow8835VN/vKrfH6Svve8nORJWD+8PPDzFu69B/5by/M7z8hjqMCrK+X3TIH3Hpp7PXyziP+2nfnr
8/JHz9ffpno/PnV/ndb90a+9Linmn7hLHvbVv/8PAAD//w==</cx:binary>
              </cx:geoCache>
            </cx:geography>
          </cx:layoutPr>
        </cx:series>
      </cx:plotAreaRegion>
    </cx:plotArea>
    <cx:legend pos="t" align="ctr" overlay="0"/>
  </cx:chart>
  <cx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552449</xdr:colOff>
      <xdr:row>8</xdr:row>
      <xdr:rowOff>127000</xdr:rowOff>
    </xdr:from>
    <xdr:to>
      <xdr:col>21</xdr:col>
      <xdr:colOff>66675</xdr:colOff>
      <xdr:row>28</xdr:row>
      <xdr:rowOff>38099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578C8A3-D7E3-4390-9075-ED76DF0BE8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276225</xdr:colOff>
      <xdr:row>0</xdr:row>
      <xdr:rowOff>171450</xdr:rowOff>
    </xdr:from>
    <xdr:to>
      <xdr:col>5</xdr:col>
      <xdr:colOff>419100</xdr:colOff>
      <xdr:row>8</xdr:row>
      <xdr:rowOff>42334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">
              <a:extLst>
                <a:ext uri="{FF2B5EF4-FFF2-40B4-BE49-F238E27FC236}">
                  <a16:creationId xmlns:a16="http://schemas.microsoft.com/office/drawing/2014/main" id="{359572CE-C3C9-4C76-989A-E46AA087FF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6225" y="171450"/>
              <a:ext cx="3212042" cy="14054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Sequenza temporale: funziona in Excel 2013 o versione successiva. Non è possibile spostarla o ridimensionarla.</a:t>
              </a:r>
            </a:p>
          </xdr:txBody>
        </xdr:sp>
      </mc:Fallback>
    </mc:AlternateContent>
    <xdr:clientData/>
  </xdr:twoCellAnchor>
  <xdr:twoCellAnchor>
    <xdr:from>
      <xdr:col>5</xdr:col>
      <xdr:colOff>542924</xdr:colOff>
      <xdr:row>0</xdr:row>
      <xdr:rowOff>161925</xdr:rowOff>
    </xdr:from>
    <xdr:to>
      <xdr:col>9</xdr:col>
      <xdr:colOff>76200</xdr:colOff>
      <xdr:row>8</xdr:row>
      <xdr:rowOff>66675</xdr:rowOff>
    </xdr:to>
    <xdr:sp macro="" textlink="">
      <xdr:nvSpPr>
        <xdr:cNvPr id="8" name="Rettangolo 7">
          <a:extLst>
            <a:ext uri="{FF2B5EF4-FFF2-40B4-BE49-F238E27FC236}">
              <a16:creationId xmlns:a16="http://schemas.microsoft.com/office/drawing/2014/main" id="{3866FFA2-EA77-4FB0-8584-4C7BD9DD1EC5}"/>
            </a:ext>
          </a:extLst>
        </xdr:cNvPr>
        <xdr:cNvSpPr/>
      </xdr:nvSpPr>
      <xdr:spPr>
        <a:xfrm>
          <a:off x="3590924" y="161925"/>
          <a:ext cx="1971676" cy="14287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9</xdr:col>
      <xdr:colOff>542924</xdr:colOff>
      <xdr:row>0</xdr:row>
      <xdr:rowOff>161925</xdr:rowOff>
    </xdr:from>
    <xdr:to>
      <xdr:col>13</xdr:col>
      <xdr:colOff>76200</xdr:colOff>
      <xdr:row>8</xdr:row>
      <xdr:rowOff>66675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8FA27F8B-A3D1-42BF-AC8A-FBEF2AE54C64}"/>
            </a:ext>
          </a:extLst>
        </xdr:cNvPr>
        <xdr:cNvSpPr/>
      </xdr:nvSpPr>
      <xdr:spPr>
        <a:xfrm>
          <a:off x="3590924" y="161925"/>
          <a:ext cx="1971676" cy="14287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13</xdr:col>
      <xdr:colOff>542925</xdr:colOff>
      <xdr:row>0</xdr:row>
      <xdr:rowOff>152400</xdr:rowOff>
    </xdr:from>
    <xdr:to>
      <xdr:col>17</xdr:col>
      <xdr:colOff>76201</xdr:colOff>
      <xdr:row>8</xdr:row>
      <xdr:rowOff>57150</xdr:rowOff>
    </xdr:to>
    <xdr:sp macro="" textlink="">
      <xdr:nvSpPr>
        <xdr:cNvPr id="10" name="Rettangolo 9">
          <a:extLst>
            <a:ext uri="{FF2B5EF4-FFF2-40B4-BE49-F238E27FC236}">
              <a16:creationId xmlns:a16="http://schemas.microsoft.com/office/drawing/2014/main" id="{042F7B85-F4E7-47AB-91A0-1D0D6FDF34C9}"/>
            </a:ext>
          </a:extLst>
        </xdr:cNvPr>
        <xdr:cNvSpPr/>
      </xdr:nvSpPr>
      <xdr:spPr>
        <a:xfrm>
          <a:off x="8467725" y="152400"/>
          <a:ext cx="1971676" cy="14287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17</xdr:col>
      <xdr:colOff>532342</xdr:colOff>
      <xdr:row>0</xdr:row>
      <xdr:rowOff>141817</xdr:rowOff>
    </xdr:from>
    <xdr:to>
      <xdr:col>21</xdr:col>
      <xdr:colOff>65618</xdr:colOff>
      <xdr:row>8</xdr:row>
      <xdr:rowOff>46567</xdr:rowOff>
    </xdr:to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E58AD753-CB9B-4B1F-9163-2329F2CC3DD7}"/>
            </a:ext>
          </a:extLst>
        </xdr:cNvPr>
        <xdr:cNvSpPr/>
      </xdr:nvSpPr>
      <xdr:spPr>
        <a:xfrm>
          <a:off x="10967509" y="141817"/>
          <a:ext cx="1988609" cy="14287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</xdr:col>
      <xdr:colOff>552449</xdr:colOff>
      <xdr:row>28</xdr:row>
      <xdr:rowOff>123825</xdr:rowOff>
    </xdr:from>
    <xdr:to>
      <xdr:col>21</xdr:col>
      <xdr:colOff>74083</xdr:colOff>
      <xdr:row>46</xdr:row>
      <xdr:rowOff>10583</xdr:rowOff>
    </xdr:to>
    <xdr:graphicFrame macro="">
      <xdr:nvGraphicFramePr>
        <xdr:cNvPr id="12" name="Grafico 5">
          <a:extLst>
            <a:ext uri="{FF2B5EF4-FFF2-40B4-BE49-F238E27FC236}">
              <a16:creationId xmlns:a16="http://schemas.microsoft.com/office/drawing/2014/main" id="{AB7F558F-4267-4A8A-BA92-8919CC11D9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305859</xdr:colOff>
      <xdr:row>8</xdr:row>
      <xdr:rowOff>147107</xdr:rowOff>
    </xdr:from>
    <xdr:to>
      <xdr:col>5</xdr:col>
      <xdr:colOff>418042</xdr:colOff>
      <xdr:row>45</xdr:row>
      <xdr:rowOff>179916</xdr:rowOff>
    </xdr:to>
    <xdr:graphicFrame macro="">
      <xdr:nvGraphicFramePr>
        <xdr:cNvPr id="13" name="Grafico 6">
          <a:extLst>
            <a:ext uri="{FF2B5EF4-FFF2-40B4-BE49-F238E27FC236}">
              <a16:creationId xmlns:a16="http://schemas.microsoft.com/office/drawing/2014/main" id="{E8B2F4ED-A4A8-4832-BEA8-9BF35E770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158750</xdr:colOff>
      <xdr:row>8</xdr:row>
      <xdr:rowOff>131232</xdr:rowOff>
    </xdr:from>
    <xdr:to>
      <xdr:col>28</xdr:col>
      <xdr:colOff>433917</xdr:colOff>
      <xdr:row>46</xdr:row>
      <xdr:rowOff>21165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afico 2">
              <a:extLst>
                <a:ext uri="{FF2B5EF4-FFF2-40B4-BE49-F238E27FC236}">
                  <a16:creationId xmlns:a16="http://schemas.microsoft.com/office/drawing/2014/main" id="{DB79893C-DADC-414D-9A99-9CBEF1A2F2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960350" y="1664757"/>
              <a:ext cx="4542367" cy="71289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21</xdr:col>
      <xdr:colOff>158750</xdr:colOff>
      <xdr:row>0</xdr:row>
      <xdr:rowOff>127000</xdr:rowOff>
    </xdr:from>
    <xdr:to>
      <xdr:col>28</xdr:col>
      <xdr:colOff>433917</xdr:colOff>
      <xdr:row>8</xdr:row>
      <xdr:rowOff>31750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1690F606-A38C-4921-A365-EC9BD6B3A965}"/>
            </a:ext>
          </a:extLst>
        </xdr:cNvPr>
        <xdr:cNvSpPr/>
      </xdr:nvSpPr>
      <xdr:spPr>
        <a:xfrm>
          <a:off x="13049250" y="127000"/>
          <a:ext cx="4572000" cy="14287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 editAs="oneCell">
    <xdr:from>
      <xdr:col>21</xdr:col>
      <xdr:colOff>232837</xdr:colOff>
      <xdr:row>2</xdr:row>
      <xdr:rowOff>31750</xdr:rowOff>
    </xdr:from>
    <xdr:to>
      <xdr:col>23</xdr:col>
      <xdr:colOff>34014</xdr:colOff>
      <xdr:row>6</xdr:row>
      <xdr:rowOff>97484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94D9E5E-7CA4-477C-AA73-75784C824E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123337" y="412750"/>
          <a:ext cx="1028844" cy="838317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43287038" backgroundQuery="1" createdVersion="6" refreshedVersion="6" minRefreshableVersion="3" recordCount="0" supportSubquery="1" supportAdvancedDrill="1" xr:uid="{4CFFC232-F25B-4231-BB28-2C3D5D904EAD}">
  <cacheSource type="external" connectionId="3"/>
  <cacheFields count="3">
    <cacheField name="[dpc_covid19_ita_andamento_nazionale].[data].[data]" caption="data" numFmtId="0" level="1">
      <sharedItems containsSemiMixedTypes="0" containsNonDate="0" containsDate="1" containsString="0" minDate="2020-02-24T18:00:00" maxDate="2020-03-09T18:00:00" count="15">
        <d v="2020-02-24T18:00:00"/>
        <d v="2020-02-25T18:00:00"/>
        <d v="2020-02-26T18:00:00"/>
        <d v="2020-02-27T18:00:00"/>
        <d v="2020-02-28T18:00:00"/>
        <d v="2020-02-29T18:00:00"/>
        <d v="2020-03-01T18:00:00"/>
        <d v="2020-03-02T18:00:00"/>
        <d v="2020-03-03T18:00:00"/>
        <d v="2020-03-04T18:00:00"/>
        <d v="2020-03-05T18:00:00"/>
        <d v="2020-03-06T18:00:00"/>
        <d v="2020-03-07T18:00:00"/>
        <d v="2020-03-08T18:00:00"/>
        <d v="2020-03-09T18:00:00"/>
      </sharedItems>
      <extLst>
        <ext xmlns:x15="http://schemas.microsoft.com/office/spreadsheetml/2010/11/main" uri="{4F2E5C28-24EA-4eb8-9CBF-B6C8F9C3D259}">
          <x15:cachedUniqueNames>
            <x15:cachedUniqueName index="0" name="[dpc_covid19_ita_andamento_nazionale].[data].&amp;[2020-02-24T18:00:00]"/>
            <x15:cachedUniqueName index="1" name="[dpc_covid19_ita_andamento_nazionale].[data].&amp;[2020-02-25T18:00:00]"/>
            <x15:cachedUniqueName index="2" name="[dpc_covid19_ita_andamento_nazionale].[data].&amp;[2020-02-26T18:00:00]"/>
            <x15:cachedUniqueName index="3" name="[dpc_covid19_ita_andamento_nazionale].[data].&amp;[2020-02-27T18:00:00]"/>
            <x15:cachedUniqueName index="4" name="[dpc_covid19_ita_andamento_nazionale].[data].&amp;[2020-02-28T18:00:00]"/>
            <x15:cachedUniqueName index="5" name="[dpc_covid19_ita_andamento_nazionale].[data].&amp;[2020-02-29T18:00:00]"/>
            <x15:cachedUniqueName index="6" name="[dpc_covid19_ita_andamento_nazionale].[data].&amp;[2020-03-01T18:00:00]"/>
            <x15:cachedUniqueName index="7" name="[dpc_covid19_ita_andamento_nazionale].[data].&amp;[2020-03-02T18:00:00]"/>
            <x15:cachedUniqueName index="8" name="[dpc_covid19_ita_andamento_nazionale].[data].&amp;[2020-03-03T18:00:00]"/>
            <x15:cachedUniqueName index="9" name="[dpc_covid19_ita_andamento_nazionale].[data].&amp;[2020-03-04T18:00:00]"/>
            <x15:cachedUniqueName index="10" name="[dpc_covid19_ita_andamento_nazionale].[data].&amp;[2020-03-05T18:00:00]"/>
            <x15:cachedUniqueName index="11" name="[dpc_covid19_ita_andamento_nazionale].[data].&amp;[2020-03-06T18:00:00]"/>
            <x15:cachedUniqueName index="12" name="[dpc_covid19_ita_andamento_nazionale].[data].&amp;[2020-03-07T18:00:00]"/>
            <x15:cachedUniqueName index="13" name="[dpc_covid19_ita_andamento_nazionale].[data].&amp;[2020-03-08T18:00:00]"/>
            <x15:cachedUniqueName index="14" name="[dpc_covid19_ita_andamento_nazionale].[data].&amp;[2020-03-09T18:00:00]"/>
          </x15:cachedUniqueNames>
        </ext>
      </extLst>
    </cacheField>
    <cacheField name="[Measures].[Somma di totale_casi]" caption="Somma di totale_casi" numFmtId="0" hierarchy="34" level="32767"/>
    <cacheField name="[Measures].[Somma di deceduti]" caption="Somma di deceduti" numFmtId="0" hierarchy="35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>
      <fieldsUsage count="2">
        <fieldUsage x="-1"/>
        <fieldUsage x="0"/>
      </fieldsUsage>
    </cacheHierarchy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41203706" backgroundQuery="1" createdVersion="6" refreshedVersion="6" minRefreshableVersion="3" recordCount="0" supportSubquery="1" supportAdvancedDrill="1" xr:uid="{CA13D991-3DA2-4174-BC7A-E6FC7A26C5D4}">
  <cacheSource type="external" connectionId="3"/>
  <cacheFields count="1">
    <cacheField name="[Measures].[Massimo di totale_attualmente_positivi]" caption="Massimo di totale_attualmente_positivi" numFmtId="0" hierarchy="40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37384257" backgroundQuery="1" createdVersion="6" refreshedVersion="6" minRefreshableVersion="3" recordCount="0" supportSubquery="1" supportAdvancedDrill="1" xr:uid="{F82838FA-2748-4EFE-B7CC-C4363849ED81}">
  <cacheSource type="external" connectionId="3"/>
  <cacheFields count="3">
    <cacheField name="[Measures].[Somma di totale_ospedalizzati]" caption="Somma di totale_ospedalizzati" numFmtId="0" hierarchy="39" level="32767"/>
    <cacheField name="[dpc_covid19_ita_andamento_nazionale].[data].[data]" caption="data" numFmtId="0" level="1">
      <sharedItems containsSemiMixedTypes="0" containsNonDate="0" containsDate="1" containsString="0" minDate="2020-02-24T18:00:00" maxDate="2020-03-09T18:00:00" count="15">
        <d v="2020-02-24T18:00:00"/>
        <d v="2020-02-25T18:00:00"/>
        <d v="2020-02-26T18:00:00"/>
        <d v="2020-02-27T18:00:00"/>
        <d v="2020-02-28T18:00:00"/>
        <d v="2020-02-29T18:00:00"/>
        <d v="2020-03-01T18:00:00"/>
        <d v="2020-03-02T18:00:00"/>
        <d v="2020-03-03T18:00:00"/>
        <d v="2020-03-04T18:00:00"/>
        <d v="2020-03-05T18:00:00"/>
        <d v="2020-03-06T18:00:00"/>
        <d v="2020-03-07T18:00:00"/>
        <d v="2020-03-08T18:00:00"/>
        <d v="2020-03-09T18:00:00"/>
      </sharedItems>
      <extLst>
        <ext xmlns:x15="http://schemas.microsoft.com/office/spreadsheetml/2010/11/main" uri="{4F2E5C28-24EA-4eb8-9CBF-B6C8F9C3D259}">
          <x15:cachedUniqueNames>
            <x15:cachedUniqueName index="0" name="[dpc_covid19_ita_andamento_nazionale].[data].&amp;[2020-02-24T18:00:00]"/>
            <x15:cachedUniqueName index="1" name="[dpc_covid19_ita_andamento_nazionale].[data].&amp;[2020-02-25T18:00:00]"/>
            <x15:cachedUniqueName index="2" name="[dpc_covid19_ita_andamento_nazionale].[data].&amp;[2020-02-26T18:00:00]"/>
            <x15:cachedUniqueName index="3" name="[dpc_covid19_ita_andamento_nazionale].[data].&amp;[2020-02-27T18:00:00]"/>
            <x15:cachedUniqueName index="4" name="[dpc_covid19_ita_andamento_nazionale].[data].&amp;[2020-02-28T18:00:00]"/>
            <x15:cachedUniqueName index="5" name="[dpc_covid19_ita_andamento_nazionale].[data].&amp;[2020-02-29T18:00:00]"/>
            <x15:cachedUniqueName index="6" name="[dpc_covid19_ita_andamento_nazionale].[data].&amp;[2020-03-01T18:00:00]"/>
            <x15:cachedUniqueName index="7" name="[dpc_covid19_ita_andamento_nazionale].[data].&amp;[2020-03-02T18:00:00]"/>
            <x15:cachedUniqueName index="8" name="[dpc_covid19_ita_andamento_nazionale].[data].&amp;[2020-03-03T18:00:00]"/>
            <x15:cachedUniqueName index="9" name="[dpc_covid19_ita_andamento_nazionale].[data].&amp;[2020-03-04T18:00:00]"/>
            <x15:cachedUniqueName index="10" name="[dpc_covid19_ita_andamento_nazionale].[data].&amp;[2020-03-05T18:00:00]"/>
            <x15:cachedUniqueName index="11" name="[dpc_covid19_ita_andamento_nazionale].[data].&amp;[2020-03-06T18:00:00]"/>
            <x15:cachedUniqueName index="12" name="[dpc_covid19_ita_andamento_nazionale].[data].&amp;[2020-03-07T18:00:00]"/>
            <x15:cachedUniqueName index="13" name="[dpc_covid19_ita_andamento_nazionale].[data].&amp;[2020-03-08T18:00:00]"/>
            <x15:cachedUniqueName index="14" name="[dpc_covid19_ita_andamento_nazionale].[data].&amp;[2020-03-09T18:00:00]"/>
          </x15:cachedUniqueNames>
        </ext>
      </extLst>
    </cacheField>
    <cacheField name="[Measures].[Somma di terapia_intensiva]" caption="Somma di terapia_intensiva" numFmtId="0" hierarchy="44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>
      <fieldsUsage count="2">
        <fieldUsage x="-1"/>
        <fieldUsage x="1"/>
      </fieldsUsage>
    </cacheHierarchy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40277775" backgroundQuery="1" createdVersion="6" refreshedVersion="6" minRefreshableVersion="3" recordCount="0" supportSubquery="1" supportAdvancedDrill="1" xr:uid="{3AEDB236-9630-4E8B-AC51-46B7AFF37E8C}">
  <cacheSource type="external" connectionId="3"/>
  <cacheFields count="1">
    <cacheField name="[Measures].[Massimo di deceduti]" caption="Massimo di deceduti" numFmtId="0" hierarchy="43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38310188" backgroundQuery="1" createdVersion="6" refreshedVersion="6" minRefreshableVersion="3" recordCount="0" supportSubquery="1" supportAdvancedDrill="1" xr:uid="{D7E70031-50D2-45BA-A4A1-66AEE3451518}">
  <cacheSource type="external" connectionId="3"/>
  <cacheFields count="1">
    <cacheField name="[Measures].[Massimo di totale_casi]" caption="Massimo di totale_casi" numFmtId="0" hierarchy="41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42361114" backgroundQuery="1" createdVersion="6" refreshedVersion="6" minRefreshableVersion="3" recordCount="0" supportSubquery="1" supportAdvancedDrill="1" xr:uid="{0C8A9517-D14A-426D-8D61-5704AC355026}">
  <cacheSource type="external" connectionId="3"/>
  <cacheFields count="3">
    <cacheField name="[Measures].[Somma di nuovi_attualmente_positivi]" caption="Somma di nuovi_attualmente_positivi" numFmtId="0" hierarchy="37" level="32767"/>
    <cacheField name="[dpc_covid19_ita_andamento_nazionale].[mese].[mese]" caption="mese" numFmtId="0" hierarchy="13" level="1">
      <sharedItems containsSemiMixedTypes="0" containsString="0" containsNumber="1" containsInteger="1" minValue="2" maxValue="3" count="2"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dpc_covid19_ita_andamento_nazionale].[mese].&amp;[2]"/>
            <x15:cachedUniqueName index="1" name="[dpc_covid19_ita_andamento_nazionale].[mese].&amp;[3]"/>
          </x15:cachedUniqueNames>
        </ext>
      </extLst>
    </cacheField>
    <cacheField name="[dpc_covid19_ita_andamento_nazionale].[giorno].[giorno]" caption="giorno" numFmtId="0" hierarchy="12" level="1">
      <sharedItems containsSemiMixedTypes="0" containsString="0" containsNumber="1" containsInteger="1" minValue="1" maxValue="29" count="15">
        <n v="24"/>
        <n v="25"/>
        <n v="26"/>
        <n v="27"/>
        <n v="28"/>
        <n v="29"/>
        <n v="1"/>
        <n v="2"/>
        <n v="3"/>
        <n v="4"/>
        <n v="5"/>
        <n v="6"/>
        <n v="7"/>
        <n v="8"/>
        <n v="9"/>
      </sharedItems>
      <extLst>
        <ext xmlns:x15="http://schemas.microsoft.com/office/spreadsheetml/2010/11/main" uri="{4F2E5C28-24EA-4eb8-9CBF-B6C8F9C3D259}">
          <x15:cachedUniqueNames>
            <x15:cachedUniqueName index="0" name="[dpc_covid19_ita_andamento_nazionale].[giorno].&amp;[24]"/>
            <x15:cachedUniqueName index="1" name="[dpc_covid19_ita_andamento_nazionale].[giorno].&amp;[25]"/>
            <x15:cachedUniqueName index="2" name="[dpc_covid19_ita_andamento_nazionale].[giorno].&amp;[26]"/>
            <x15:cachedUniqueName index="3" name="[dpc_covid19_ita_andamento_nazionale].[giorno].&amp;[27]"/>
            <x15:cachedUniqueName index="4" name="[dpc_covid19_ita_andamento_nazionale].[giorno].&amp;[28]"/>
            <x15:cachedUniqueName index="5" name="[dpc_covid19_ita_andamento_nazionale].[giorno].&amp;[29]"/>
            <x15:cachedUniqueName index="6" name="[dpc_covid19_ita_andamento_nazionale].[giorno].&amp;[1]"/>
            <x15:cachedUniqueName index="7" name="[dpc_covid19_ita_andamento_nazionale].[giorno].&amp;[2]"/>
            <x15:cachedUniqueName index="8" name="[dpc_covid19_ita_andamento_nazionale].[giorno].&amp;[3]"/>
            <x15:cachedUniqueName index="9" name="[dpc_covid19_ita_andamento_nazionale].[giorno].&amp;[4]"/>
            <x15:cachedUniqueName index="10" name="[dpc_covid19_ita_andamento_nazionale].[giorno].&amp;[5]"/>
            <x15:cachedUniqueName index="11" name="[dpc_covid19_ita_andamento_nazionale].[giorno].&amp;[6]"/>
            <x15:cachedUniqueName index="12" name="[dpc_covid19_ita_andamento_nazionale].[giorno].&amp;[7]"/>
            <x15:cachedUniqueName index="13" name="[dpc_covid19_ita_andamento_nazionale].[giorno].&amp;[8]"/>
            <x15:cachedUniqueName index="14" name="[dpc_covid19_ita_andamento_nazionale].[giorno].&amp;[9]"/>
          </x15:cachedUniqueNames>
        </ext>
      </extLst>
    </cacheField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2" memberValueDatatype="20" unbalanced="0">
      <fieldsUsage count="2">
        <fieldUsage x="-1"/>
        <fieldUsage x="2"/>
      </fieldsUsage>
    </cacheHierarchy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2" memberValueDatatype="20" unbalanced="0">
      <fieldsUsage count="2">
        <fieldUsage x="-1"/>
        <fieldUsage x="1"/>
      </fieldsUsage>
    </cacheHierarchy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3946759" backgroundQuery="1" createdVersion="6" refreshedVersion="6" minRefreshableVersion="3" recordCount="0" supportSubquery="1" supportAdvancedDrill="1" xr:uid="{BFBE2F95-7064-4791-8E10-80F51CB09EE2}">
  <cacheSource type="external" connectionId="3"/>
  <cacheFields count="1">
    <cacheField name="[Measures].[Massimo di dimessi_guariti]" caption="Massimo di dimessi_guariti" numFmtId="0" hierarchy="42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20905324077" backgroundQuery="1" createdVersion="6" refreshedVersion="6" minRefreshableVersion="3" recordCount="0" supportSubquery="1" supportAdvancedDrill="1" xr:uid="{B78817E8-CAD3-4BF0-B2CB-66DAB69029AE}">
  <cacheSource type="external" connectionId="3"/>
  <cacheFields count="2">
    <cacheField name="[dpc_covid19_ita_regioni].[denominazione_regione].[denominazione_regione]" caption="denominazione_regione" numFmtId="0" hierarchy="18" level="1">
      <sharedItems count="21">
        <s v="Abruzzo"/>
        <s v="Basilicata"/>
        <s v="Bolzano"/>
        <s v="Calabria"/>
        <s v="Campania"/>
        <s v="Emilia Romagna"/>
        <s v="Friuli 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o"/>
        <s v="Umbria"/>
        <s v="Valle d'Aosta"/>
        <s v="Veneto"/>
      </sharedItems>
    </cacheField>
    <cacheField name="[Measures].[Massimo di totale_casi 2]" caption="Massimo di totale_casi 2" numFmtId="0" hierarchy="52" level="32767"/>
  </cacheFields>
  <cacheHierarchies count="54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2" memberValueDatatype="130" unbalanced="0">
      <fieldsUsage count="2">
        <fieldUsage x="-1"/>
        <fieldUsage x="0"/>
      </fieldsUsage>
    </cacheHierarchy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2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2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0.41443611111" backgroundQuery="1" createdVersion="3" refreshedVersion="6" minRefreshableVersion="3" recordCount="0" supportSubquery="1" supportAdvancedDrill="1" xr:uid="{F14FBC11-A515-41B5-B2D8-65A0F8749887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7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41058280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BD64A-9409-4DFA-9D3E-066D0EAB4257}" name="Tabella pivot5" cacheId="243" applyNumberFormats="0" applyBorderFormats="0" applyFontFormats="0" applyPatternFormats="0" applyAlignmentFormats="0" applyWidthHeightFormats="1" dataCaption="Valori" tag="167129ce-59a3-4d85-b7f8-84502f734a45" updatedVersion="6" minRefreshableVersion="5" useAutoFormatting="1" itemPrintTitles="1" createdVersion="6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Massimo di deceduti" fld="0" subtotal="max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decedut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7E90E-0326-429B-A053-54AB46FA61C9}" name="Tabella pivot3" cacheId="244" applyNumberFormats="0" applyBorderFormats="0" applyFontFormats="0" applyPatternFormats="0" applyAlignmentFormats="0" applyWidthHeightFormats="1" dataCaption="Valori" tag="5421e62f-46b1-4145-9f52-96c3c8bf46bb" updatedVersion="6" minRefreshableVersion="5" useAutoFormatting="1" itemPrintTitles="1" createdVersion="6" indent="0" outline="1" outlineData="1" multipleFieldFilters="0">
  <location ref="F2:F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Massimo di totale_casi" fld="0" subtotal="max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cas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6B4AD1-2D6D-49E1-BF1D-8FBF4D861F1D}" name="Tabella pivot2" cacheId="247" applyNumberFormats="0" applyBorderFormats="0" applyFontFormats="0" applyPatternFormats="0" applyAlignmentFormats="0" applyWidthHeightFormats="1" dataCaption="Valori" tag="4b6e6f9e-5ec9-4272-9f44-19ac7b585903" updatedVersion="6" minRefreshableVersion="3" useAutoFormatting="1" rowGrandTotals="0" colGrandTotals="0" itemPrintTitles="1" createdVersion="6" indent="0" outline="1" outlineData="1" multipleFieldFilters="0">
  <location ref="M6:N27" firstHeaderRow="1" firstDataRow="1" firstDataCol="1"/>
  <pivotFields count="2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dataField="1" subtotalTop="0" showAll="0" defaultSubtota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Items count="1">
    <i/>
  </colItems>
  <dataFields count="1">
    <dataField name="Massimo di totale_casi" fld="1" subtotal="max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attualmente_positivi"/>
    <pivotHierarchy dragToData="1"/>
    <pivotHierarchy dragToData="1" caption="Somma di totale_casi"/>
    <pivotHierarchy dragToData="1" caption="Massimo di totale_casi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2C4E4B-2773-48F2-8564-098E5EFACF02}" name="Tabella pivot1" cacheId="240" applyNumberFormats="0" applyBorderFormats="0" applyFontFormats="0" applyPatternFormats="0" applyAlignmentFormats="0" applyWidthHeightFormats="1" dataCaption="Valori" tag="988f76df-3d3b-4e18-8868-46f09558a923" updatedVersion="6" minRefreshableVersion="5" useAutoFormatting="1" subtotalHiddenItems="1" itemPrintTitles="1" createdVersion="6" indent="0" outline="1" outlineData="1" multipleFieldFilters="0" chartFormat="2">
  <location ref="B2:D18" firstHeaderRow="0" firstDataRow="1" firstDataCol="1"/>
  <pivotFields count="3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ASI TOTALI RILEVATI" fld="1" baseField="0" baseItem="0"/>
    <dataField name="DECEDUTI" fld="2" baseField="0" baseItem="0"/>
  </dataFields>
  <chartFormats count="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CASI TOTALI RILEVATI"/>
    <pivotHierarchy dragToData="1" caption="DECEDUT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889AB-D89C-4AE5-9ECB-0FD2A6D9148B}" name="Tabella pivot8" cacheId="245" applyNumberFormats="0" applyBorderFormats="0" applyFontFormats="0" applyPatternFormats="0" applyAlignmentFormats="0" applyWidthHeightFormats="1" dataCaption="Valori" tag="76949482-65a4-48b4-9553-a46a961a3d5a" updatedVersion="6" minRefreshableVersion="5" useAutoFormatting="1" itemPrintTitles="1" createdVersion="6" indent="0" outline="1" outlineData="1" multipleFieldFilters="0" chartFormat="2">
  <location ref="J6:K24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2">
    <field x="1"/>
    <field x="2"/>
  </rowFields>
  <rowItems count="18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omma di nuovi_attualmente_positivi" fld="0" baseField="0" baseItem="0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E820B6-4E36-4DF6-BA6E-215A130D09E5}" name="Tabella pivot6" cacheId="241" applyNumberFormats="0" applyBorderFormats="0" applyFontFormats="0" applyPatternFormats="0" applyAlignmentFormats="0" applyWidthHeightFormats="1" dataCaption="Valori" tag="f5aeba3a-0a0c-4bc1-85a0-ce39b541bd3e" updatedVersion="6" minRefreshableVersion="5" useAutoFormatting="1" itemPrintTitles="1" createdVersion="6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Massimo di totale_attualmente_positivi" fld="0" subtotal="max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attualmente_positiv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CB48B-C5B3-401D-A1BA-F10253956799}" name="Tabella pivot4" cacheId="246" applyNumberFormats="0" applyBorderFormats="0" applyFontFormats="0" applyPatternFormats="0" applyAlignmentFormats="0" applyWidthHeightFormats="1" dataCaption="Valori" tag="beaa4f3c-3365-4949-8e31-817613a9cf4b" updatedVersion="6" minRefreshableVersion="5" useAutoFormatting="1" itemPrintTitles="1" createdVersion="6" indent="0" outline="1" outlineData="1" multipleFieldFilters="0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Massimo di dimessi_guariti" fld="0" subtotal="max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dimessi_guarit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7EC4E3-6D59-4673-8352-877A612CC01A}" name="Tabella pivot7" cacheId="242" applyNumberFormats="0" applyBorderFormats="0" applyFontFormats="0" applyPatternFormats="0" applyAlignmentFormats="0" applyWidthHeightFormats="1" dataCaption="Valori" tag="1c72704f-781a-46e1-8242-47fa4c3e0ed2" updatedVersion="6" minRefreshableVersion="5" useAutoFormatting="1" subtotalHiddenItems="1" itemPrintTitles="1" createdVersion="6" indent="0" outline="1" outlineData="1" multipleFieldFilters="0" chartFormat="2">
  <location ref="F6:H22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totale_ospedalizzati" fld="0" baseField="0" baseItem="0"/>
    <dataField name="Somma di terapia_intensiva" fld="2" baseField="0" baseItem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54BF8EF1-CFCB-4411-9FCC-C19C2CE1C995}" autoFormatId="16" applyNumberFormats="0" applyBorderFormats="0" applyFontFormats="0" applyPatternFormats="0" applyAlignmentFormats="0" applyWidthHeightFormats="0">
  <queryTableRefresh nextId="13">
    <queryTableFields count="12">
      <queryTableField id="1" name="data" tableColumnId="1"/>
      <queryTableField id="2" name="stato" tableColumnId="2"/>
      <queryTableField id="3" name="ricoverati_con_sintomi" tableColumnId="3"/>
      <queryTableField id="4" name="terapia_intensiva" tableColumnId="4"/>
      <queryTableField id="5" name="totale_ospedalizzati" tableColumnId="5"/>
      <queryTableField id="6" name="isolamento_domiciliare" tableColumnId="6"/>
      <queryTableField id="7" name="totale_attualmente_positivi" tableColumnId="7"/>
      <queryTableField id="8" name="nuovi_attualmente_positivi" tableColumnId="8"/>
      <queryTableField id="9" name="dimessi_guariti" tableColumnId="9"/>
      <queryTableField id="10" name="deceduti" tableColumnId="10"/>
      <queryTableField id="11" name="totale_casi" tableColumnId="11"/>
      <queryTableField id="12" name="tamponi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73AABE25-CA61-462A-9B8A-F83D26066C43}" autoFormatId="16" applyNumberFormats="0" applyBorderFormats="0" applyFontFormats="0" applyPatternFormats="0" applyAlignmentFormats="0" applyWidthHeightFormats="0">
  <queryTableRefresh nextId="17">
    <queryTableFields count="16">
      <queryTableField id="1" name="data" tableColumnId="1"/>
      <queryTableField id="2" name="stato" tableColumnId="2"/>
      <queryTableField id="3" name="codice_regione" tableColumnId="3"/>
      <queryTableField id="4" name="denominazione_regione" tableColumnId="4"/>
      <queryTableField id="5" name="lat" tableColumnId="5"/>
      <queryTableField id="6" name="long" tableColumnId="6"/>
      <queryTableField id="7" name="ricoverati_con_sintomi" tableColumnId="7"/>
      <queryTableField id="8" name="terapia_intensiva" tableColumnId="8"/>
      <queryTableField id="9" name="totale_ospedalizzati" tableColumnId="9"/>
      <queryTableField id="10" name="isolamento_domiciliare" tableColumnId="10"/>
      <queryTableField id="11" name="totale_attualmente_positivi" tableColumnId="11"/>
      <queryTableField id="12" name="nuovi_attualmente_positivi" tableColumnId="12"/>
      <queryTableField id="13" name="dimessi_guariti" tableColumnId="13"/>
      <queryTableField id="14" name="deceduti" tableColumnId="14"/>
      <queryTableField id="15" name="totale_casi" tableColumnId="15"/>
      <queryTableField id="16" name="tamponi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1D3CF2-6D56-4A82-B974-9B77F0E94A5E}" name="dpc_covid19_ita_andamento_nazionale" displayName="dpc_covid19_ita_andamento_nazionale" ref="A1:L16" tableType="queryTable" totalsRowShown="0">
  <autoFilter ref="A1:L16" xr:uid="{EABC7277-E16F-4D96-ADF1-FFC0B5E7026E}"/>
  <tableColumns count="12">
    <tableColumn id="1" xr3:uid="{703403A0-8F9B-4346-B11C-E53859FA057C}" uniqueName="1" name="data" queryTableFieldId="1" dataDxfId="4"/>
    <tableColumn id="2" xr3:uid="{B188F686-BB42-42C1-9E53-39CED73FB743}" uniqueName="2" name="stato" queryTableFieldId="2" dataDxfId="3"/>
    <tableColumn id="3" xr3:uid="{38B2F1D6-B422-4F4A-B30E-685F11B53274}" uniqueName="3" name="ricoverati_con_sintomi" queryTableFieldId="3"/>
    <tableColumn id="4" xr3:uid="{ECFEC2C2-1463-468F-864F-16584BE2F2D5}" uniqueName="4" name="terapia_intensiva" queryTableFieldId="4"/>
    <tableColumn id="5" xr3:uid="{7981C252-894D-46ED-8230-557767A3A927}" uniqueName="5" name="totale_ospedalizzati" queryTableFieldId="5"/>
    <tableColumn id="6" xr3:uid="{2510A4E2-8AFC-4F5F-8FD5-2985E4028918}" uniqueName="6" name="isolamento_domiciliare" queryTableFieldId="6"/>
    <tableColumn id="7" xr3:uid="{EBE1D699-521F-4FA0-A872-D5409C93CAFD}" uniqueName="7" name="totale_attualmente_positivi" queryTableFieldId="7"/>
    <tableColumn id="8" xr3:uid="{CBACBD71-ED4E-440B-815F-9CC35B6A33BC}" uniqueName="8" name="nuovi_attualmente_positivi" queryTableFieldId="8"/>
    <tableColumn id="9" xr3:uid="{76143738-91A6-4C75-AC8B-EAF01F93DB95}" uniqueName="9" name="dimessi_guariti" queryTableFieldId="9"/>
    <tableColumn id="10" xr3:uid="{83E05A40-A3A1-4979-A200-15FC2C19E855}" uniqueName="10" name="deceduti" queryTableFieldId="10"/>
    <tableColumn id="11" xr3:uid="{D740AD00-6AFD-46C5-9FDC-2436FB9332A5}" uniqueName="11" name="totale_casi" queryTableFieldId="11"/>
    <tableColumn id="12" xr3:uid="{97F48D45-3389-488F-9CAC-B9FF1C8A09DE}" uniqueName="12" name="tamponi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A33B83-FE62-47BA-BA11-13E072BCB754}" name="dpc_covid19_ita_regioni" displayName="dpc_covid19_ita_regioni" ref="A1:P316" tableType="queryTable" totalsRowShown="0">
  <autoFilter ref="A1:P316" xr:uid="{FD4B2342-5440-47FA-BB24-0BBC72A59758}"/>
  <tableColumns count="16">
    <tableColumn id="1" xr3:uid="{D66CC6F6-1ED6-4A73-9E55-E9981117236A}" uniqueName="1" name="data" queryTableFieldId="1" dataDxfId="2"/>
    <tableColumn id="2" xr3:uid="{F268A315-D3B9-4E57-9A57-6BE3C26C8603}" uniqueName="2" name="stato" queryTableFieldId="2" dataDxfId="1"/>
    <tableColumn id="3" xr3:uid="{8B9FBA29-D96E-4B95-ADC4-D61EAB3C6E58}" uniqueName="3" name="codice_regione" queryTableFieldId="3"/>
    <tableColumn id="4" xr3:uid="{AAF36031-4ADE-4EE7-8799-3DA6B1F7FE86}" uniqueName="4" name="denominazione_regione" queryTableFieldId="4" dataDxfId="0"/>
    <tableColumn id="5" xr3:uid="{9ED8F63B-9A03-4DF0-A934-5DFB378F2D04}" uniqueName="5" name="lat" queryTableFieldId="5"/>
    <tableColumn id="6" xr3:uid="{26FA62E4-809D-4E46-A047-441395970A33}" uniqueName="6" name="long" queryTableFieldId="6"/>
    <tableColumn id="7" xr3:uid="{70C8D92C-DC1D-42E3-A1CA-A1F8088466B5}" uniqueName="7" name="ricoverati_con_sintomi" queryTableFieldId="7"/>
    <tableColumn id="8" xr3:uid="{E3D7D206-31FA-44C3-8CA9-C45047573232}" uniqueName="8" name="terapia_intensiva" queryTableFieldId="8"/>
    <tableColumn id="9" xr3:uid="{18438A4C-E380-457B-B7AC-11CC4DFF9288}" uniqueName="9" name="totale_ospedalizzati" queryTableFieldId="9"/>
    <tableColumn id="10" xr3:uid="{466E8A3D-6A70-4332-A889-6CC4EC4670C7}" uniqueName="10" name="isolamento_domiciliare" queryTableFieldId="10"/>
    <tableColumn id="11" xr3:uid="{C92ED2A1-0C60-4300-9F06-F4AEED2D5000}" uniqueName="11" name="totale_attualmente_positivi" queryTableFieldId="11"/>
    <tableColumn id="12" xr3:uid="{3141823B-F875-436E-81B9-A684CE63C799}" uniqueName="12" name="nuovi_attualmente_positivi" queryTableFieldId="12"/>
    <tableColumn id="13" xr3:uid="{351419AA-0E0D-4C98-BC5D-F968B2C210D1}" uniqueName="13" name="dimessi_guariti" queryTableFieldId="13"/>
    <tableColumn id="14" xr3:uid="{C43CBB18-A4DA-4C1B-9C8A-AE1F7FD9E431}" uniqueName="14" name="deceduti" queryTableFieldId="14"/>
    <tableColumn id="15" xr3:uid="{15132951-8058-46A9-8486-CFE4642BA187}" uniqueName="15" name="totale_casi" queryTableFieldId="15"/>
    <tableColumn id="16" xr3:uid="{040DC69F-DDAB-4531-B724-CA8573ADA0D6}" uniqueName="16" name="tamponi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SequenzaTemporale_data" xr10:uid="{A966DF0A-2404-4C1E-8510-8A979141DA3E}" sourceName="[dpc_covid19_ita_andamento_nazionale].[data]">
  <pivotTables>
    <pivotTable tabId="1" name="Tabella pivot1"/>
    <pivotTable tabId="1" name="Tabella pivot7"/>
    <pivotTable tabId="1" name="Tabella pivot3"/>
    <pivotTable tabId="1" name="Tabella pivot4"/>
    <pivotTable tabId="1" name="Tabella pivot5"/>
    <pivotTable tabId="1" name="Tabella pivot6"/>
    <pivotTable tabId="1" name="Tabella pivot8"/>
  </pivotTables>
  <state minimalRefreshVersion="6" lastRefreshVersion="6" pivotCacheId="1410582802" filterType="unknown">
    <bounds startDate="2020-01-01T18:00:00" endDate="2021-01-01T18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BAD214B4-A07C-4273-9743-2BECBD322BBF}" cache="SequenzaTemporale_data" caption="filtro per data" level="3" selectionLevel="3" scrollPosition="2020-02-23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pcm-dpc/COVID-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FCADC-A8D1-4BD8-BD76-E73401C8094D}">
  <dimension ref="A1:C10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25</v>
      </c>
    </row>
    <row r="2" spans="1:3" x14ac:dyDescent="0.25">
      <c r="C2" s="7" t="s">
        <v>35</v>
      </c>
    </row>
    <row r="4" spans="1:3" x14ac:dyDescent="0.25">
      <c r="B4">
        <v>1</v>
      </c>
      <c r="C4" t="s">
        <v>21</v>
      </c>
    </row>
    <row r="5" spans="1:3" x14ac:dyDescent="0.25">
      <c r="B5">
        <v>2</v>
      </c>
      <c r="C5" t="s">
        <v>22</v>
      </c>
    </row>
    <row r="6" spans="1:3" x14ac:dyDescent="0.25">
      <c r="B6">
        <v>3</v>
      </c>
      <c r="C6" t="s">
        <v>33</v>
      </c>
    </row>
    <row r="7" spans="1:3" x14ac:dyDescent="0.25">
      <c r="B7">
        <v>4</v>
      </c>
      <c r="C7" t="s">
        <v>23</v>
      </c>
    </row>
    <row r="8" spans="1:3" x14ac:dyDescent="0.25">
      <c r="B8">
        <v>5</v>
      </c>
      <c r="C8" t="s">
        <v>24</v>
      </c>
    </row>
    <row r="9" spans="1:3" x14ac:dyDescent="0.25">
      <c r="B9">
        <v>6</v>
      </c>
      <c r="C9" t="s">
        <v>26</v>
      </c>
    </row>
    <row r="10" spans="1:3" x14ac:dyDescent="0.25">
      <c r="B10">
        <v>7</v>
      </c>
      <c r="C10" t="s">
        <v>34</v>
      </c>
    </row>
  </sheetData>
  <hyperlinks>
    <hyperlink ref="C2" r:id="rId1" xr:uid="{382D3505-2A32-4085-ABF4-E9B635869EC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E37E-6C0C-4C6C-B66B-FC4912D918BD}">
  <dimension ref="G2:AB8"/>
  <sheetViews>
    <sheetView showGridLines="0" showRowColHeaders="0" tabSelected="1" zoomScale="90" zoomScaleNormal="90" workbookViewId="0">
      <selection activeCell="AE6" sqref="AE6"/>
    </sheetView>
  </sheetViews>
  <sheetFormatPr defaultRowHeight="15" x14ac:dyDescent="0.25"/>
  <sheetData>
    <row r="2" spans="7:28" x14ac:dyDescent="0.25">
      <c r="G2" s="12" t="s">
        <v>27</v>
      </c>
      <c r="H2" s="12"/>
      <c r="I2" s="12"/>
      <c r="K2" s="12" t="s">
        <v>30</v>
      </c>
      <c r="L2" s="12"/>
      <c r="M2" s="12"/>
      <c r="O2" s="12" t="s">
        <v>16</v>
      </c>
      <c r="P2" s="12"/>
      <c r="Q2" s="12"/>
      <c r="S2" s="12" t="s">
        <v>31</v>
      </c>
      <c r="T2" s="12"/>
      <c r="U2" s="12"/>
      <c r="W2" s="8" t="s">
        <v>61</v>
      </c>
      <c r="X2" s="8"/>
      <c r="Y2" s="8"/>
      <c r="Z2" s="8"/>
      <c r="AA2" s="8"/>
      <c r="AB2" s="8"/>
    </row>
    <row r="3" spans="7:28" ht="15.75" customHeight="1" x14ac:dyDescent="0.25">
      <c r="G3" s="11">
        <f>Pivot!F3</f>
        <v>9172</v>
      </c>
      <c r="H3" s="11"/>
      <c r="I3" s="11"/>
      <c r="K3" s="11">
        <f>Pivot!H3</f>
        <v>724</v>
      </c>
      <c r="L3" s="11"/>
      <c r="M3" s="11"/>
      <c r="O3" s="11">
        <f>Pivot!J3</f>
        <v>463</v>
      </c>
      <c r="P3" s="11"/>
      <c r="Q3" s="11"/>
      <c r="S3" s="11">
        <f>Pivot!L3</f>
        <v>7985</v>
      </c>
      <c r="T3" s="11"/>
      <c r="U3" s="11"/>
      <c r="Y3" s="9" t="s">
        <v>62</v>
      </c>
      <c r="Z3" s="10"/>
      <c r="AA3" s="10"/>
      <c r="AB3" s="10"/>
    </row>
    <row r="4" spans="7:28" x14ac:dyDescent="0.25">
      <c r="G4" s="11"/>
      <c r="H4" s="11"/>
      <c r="I4" s="11"/>
      <c r="K4" s="11"/>
      <c r="L4" s="11"/>
      <c r="M4" s="11"/>
      <c r="O4" s="11"/>
      <c r="P4" s="11"/>
      <c r="Q4" s="11"/>
      <c r="S4" s="11"/>
      <c r="T4" s="11"/>
      <c r="U4" s="11"/>
      <c r="Y4" s="10"/>
      <c r="Z4" s="10"/>
      <c r="AA4" s="10"/>
      <c r="AB4" s="10"/>
    </row>
    <row r="5" spans="7:28" x14ac:dyDescent="0.25">
      <c r="G5" s="11"/>
      <c r="H5" s="11"/>
      <c r="I5" s="11"/>
      <c r="K5" s="11"/>
      <c r="L5" s="11"/>
      <c r="M5" s="11"/>
      <c r="O5" s="11"/>
      <c r="P5" s="11"/>
      <c r="Q5" s="11"/>
      <c r="S5" s="11"/>
      <c r="T5" s="11"/>
      <c r="U5" s="11"/>
      <c r="Y5" s="10"/>
      <c r="Z5" s="10"/>
      <c r="AA5" s="10"/>
      <c r="AB5" s="10"/>
    </row>
    <row r="6" spans="7:28" x14ac:dyDescent="0.25">
      <c r="G6" s="11"/>
      <c r="H6" s="11"/>
      <c r="I6" s="11"/>
      <c r="K6" s="11"/>
      <c r="L6" s="11"/>
      <c r="M6" s="11"/>
      <c r="O6" s="11"/>
      <c r="P6" s="11"/>
      <c r="Q6" s="11"/>
      <c r="S6" s="11"/>
      <c r="T6" s="11"/>
      <c r="U6" s="11"/>
      <c r="Y6" s="10"/>
      <c r="Z6" s="10"/>
      <c r="AA6" s="10"/>
      <c r="AB6" s="10"/>
    </row>
    <row r="7" spans="7:28" x14ac:dyDescent="0.25">
      <c r="G7" s="11"/>
      <c r="H7" s="11"/>
      <c r="I7" s="11"/>
      <c r="K7" s="11"/>
      <c r="L7" s="11"/>
      <c r="M7" s="11"/>
      <c r="O7" s="11"/>
      <c r="P7" s="11"/>
      <c r="Q7" s="11"/>
      <c r="S7" s="11"/>
      <c r="T7" s="11"/>
      <c r="U7" s="11"/>
      <c r="Y7" s="10"/>
      <c r="Z7" s="10"/>
      <c r="AA7" s="10"/>
      <c r="AB7" s="10"/>
    </row>
    <row r="8" spans="7:28" x14ac:dyDescent="0.25">
      <c r="G8" s="8"/>
      <c r="H8" s="8"/>
      <c r="I8" s="8"/>
      <c r="K8" s="13">
        <f>K3/G3</f>
        <v>7.8935891844744879E-2</v>
      </c>
      <c r="L8" s="13"/>
      <c r="M8" s="13"/>
      <c r="O8" s="13">
        <f>O3/G3</f>
        <v>5.0479720889664195E-2</v>
      </c>
      <c r="P8" s="13"/>
      <c r="Q8" s="13"/>
      <c r="S8" s="8"/>
      <c r="T8" s="8"/>
      <c r="U8" s="8"/>
    </row>
  </sheetData>
  <mergeCells count="14">
    <mergeCell ref="W2:AB2"/>
    <mergeCell ref="Y3:AB7"/>
    <mergeCell ref="G3:I7"/>
    <mergeCell ref="G2:I2"/>
    <mergeCell ref="G8:I8"/>
    <mergeCell ref="K2:M2"/>
    <mergeCell ref="K3:M7"/>
    <mergeCell ref="K8:M8"/>
    <mergeCell ref="O3:Q7"/>
    <mergeCell ref="O2:Q2"/>
    <mergeCell ref="S2:U2"/>
    <mergeCell ref="S3:U7"/>
    <mergeCell ref="O8:Q8"/>
    <mergeCell ref="S8:U8"/>
  </mergeCells>
  <pageMargins left="0.7" right="0.7" top="0.75" bottom="0.75" header="0.3" footer="0.3"/>
  <pageSetup paperSize="9" orientation="portrait" r:id="rId1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7DFBF-AB79-419B-8974-DE5350C750F7}">
  <dimension ref="A1:L16"/>
  <sheetViews>
    <sheetView workbookViewId="0">
      <selection activeCell="E16" sqref="E16"/>
    </sheetView>
  </sheetViews>
  <sheetFormatPr defaultRowHeight="15" x14ac:dyDescent="0.25"/>
  <cols>
    <col min="1" max="1" width="15.85546875" bestFit="1" customWidth="1"/>
    <col min="2" max="2" width="7.7109375" bestFit="1" customWidth="1"/>
    <col min="3" max="3" width="24" bestFit="1" customWidth="1"/>
    <col min="4" max="4" width="18.85546875" bestFit="1" customWidth="1"/>
    <col min="5" max="5" width="21.42578125" bestFit="1" customWidth="1"/>
    <col min="6" max="6" width="24.7109375" bestFit="1" customWidth="1"/>
    <col min="7" max="7" width="28.7109375" bestFit="1" customWidth="1"/>
    <col min="8" max="8" width="28.42578125" bestFit="1" customWidth="1"/>
    <col min="9" max="9" width="17" bestFit="1" customWidth="1"/>
    <col min="10" max="10" width="11.140625" bestFit="1" customWidth="1"/>
    <col min="11" max="11" width="12.85546875" bestFit="1" customWidth="1"/>
    <col min="12" max="12" width="10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>
        <v>43885.75</v>
      </c>
      <c r="B2" s="2" t="s">
        <v>12</v>
      </c>
      <c r="C2">
        <v>101</v>
      </c>
      <c r="D2">
        <v>26</v>
      </c>
      <c r="E2">
        <v>127</v>
      </c>
      <c r="F2">
        <v>94</v>
      </c>
      <c r="G2">
        <v>221</v>
      </c>
      <c r="H2">
        <v>221</v>
      </c>
      <c r="I2">
        <v>1</v>
      </c>
      <c r="J2">
        <v>7</v>
      </c>
      <c r="K2">
        <v>229</v>
      </c>
      <c r="L2">
        <v>4324</v>
      </c>
    </row>
    <row r="3" spans="1:12" x14ac:dyDescent="0.25">
      <c r="A3" s="1">
        <v>43886.75</v>
      </c>
      <c r="B3" s="2" t="s">
        <v>12</v>
      </c>
      <c r="C3">
        <v>114</v>
      </c>
      <c r="D3">
        <v>35</v>
      </c>
      <c r="E3">
        <v>150</v>
      </c>
      <c r="F3">
        <v>162</v>
      </c>
      <c r="G3">
        <v>311</v>
      </c>
      <c r="H3">
        <v>90</v>
      </c>
      <c r="I3">
        <v>1</v>
      </c>
      <c r="J3">
        <v>10</v>
      </c>
      <c r="K3">
        <v>322</v>
      </c>
      <c r="L3">
        <v>8623</v>
      </c>
    </row>
    <row r="4" spans="1:12" x14ac:dyDescent="0.25">
      <c r="A4" s="1">
        <v>43887.75</v>
      </c>
      <c r="B4" s="2" t="s">
        <v>12</v>
      </c>
      <c r="C4">
        <v>128</v>
      </c>
      <c r="D4">
        <v>36</v>
      </c>
      <c r="E4">
        <v>164</v>
      </c>
      <c r="F4">
        <v>221</v>
      </c>
      <c r="G4">
        <v>385</v>
      </c>
      <c r="H4">
        <v>74</v>
      </c>
      <c r="I4">
        <v>3</v>
      </c>
      <c r="J4">
        <v>12</v>
      </c>
      <c r="K4">
        <v>400</v>
      </c>
      <c r="L4">
        <v>9587</v>
      </c>
    </row>
    <row r="5" spans="1:12" x14ac:dyDescent="0.25">
      <c r="A5" s="1">
        <v>43888.75</v>
      </c>
      <c r="B5" s="2" t="s">
        <v>12</v>
      </c>
      <c r="C5">
        <v>248</v>
      </c>
      <c r="D5">
        <v>56</v>
      </c>
      <c r="E5">
        <v>304</v>
      </c>
      <c r="F5">
        <v>284</v>
      </c>
      <c r="G5">
        <v>588</v>
      </c>
      <c r="H5">
        <v>203</v>
      </c>
      <c r="I5">
        <v>45</v>
      </c>
      <c r="J5">
        <v>17</v>
      </c>
      <c r="K5">
        <v>650</v>
      </c>
      <c r="L5">
        <v>12014</v>
      </c>
    </row>
    <row r="6" spans="1:12" x14ac:dyDescent="0.25">
      <c r="A6" s="1">
        <v>43889.75</v>
      </c>
      <c r="B6" s="2" t="s">
        <v>12</v>
      </c>
      <c r="C6">
        <v>345</v>
      </c>
      <c r="D6">
        <v>64</v>
      </c>
      <c r="E6">
        <v>409</v>
      </c>
      <c r="F6">
        <v>412</v>
      </c>
      <c r="G6">
        <v>821</v>
      </c>
      <c r="H6">
        <v>233</v>
      </c>
      <c r="I6">
        <v>46</v>
      </c>
      <c r="J6">
        <v>21</v>
      </c>
      <c r="K6">
        <v>888</v>
      </c>
      <c r="L6">
        <v>15695</v>
      </c>
    </row>
    <row r="7" spans="1:12" x14ac:dyDescent="0.25">
      <c r="A7" s="1">
        <v>43890.75</v>
      </c>
      <c r="B7" s="2" t="s">
        <v>12</v>
      </c>
      <c r="C7">
        <v>401</v>
      </c>
      <c r="D7">
        <v>105</v>
      </c>
      <c r="E7">
        <v>506</v>
      </c>
      <c r="F7">
        <v>543</v>
      </c>
      <c r="G7">
        <v>1049</v>
      </c>
      <c r="H7">
        <v>228</v>
      </c>
      <c r="I7">
        <v>50</v>
      </c>
      <c r="J7">
        <v>29</v>
      </c>
      <c r="K7">
        <v>1128</v>
      </c>
      <c r="L7">
        <v>18661</v>
      </c>
    </row>
    <row r="8" spans="1:12" x14ac:dyDescent="0.25">
      <c r="A8" s="1">
        <v>43891.75</v>
      </c>
      <c r="B8" s="2" t="s">
        <v>12</v>
      </c>
      <c r="C8">
        <v>639</v>
      </c>
      <c r="D8">
        <v>140</v>
      </c>
      <c r="E8">
        <v>779</v>
      </c>
      <c r="F8">
        <v>798</v>
      </c>
      <c r="G8">
        <v>1577</v>
      </c>
      <c r="H8">
        <v>528</v>
      </c>
      <c r="I8">
        <v>83</v>
      </c>
      <c r="J8">
        <v>34</v>
      </c>
      <c r="K8">
        <v>1694</v>
      </c>
      <c r="L8">
        <v>21127</v>
      </c>
    </row>
    <row r="9" spans="1:12" x14ac:dyDescent="0.25">
      <c r="A9" s="1">
        <v>43892.75</v>
      </c>
      <c r="B9" s="2" t="s">
        <v>12</v>
      </c>
      <c r="C9">
        <v>742</v>
      </c>
      <c r="D9">
        <v>166</v>
      </c>
      <c r="E9">
        <v>908</v>
      </c>
      <c r="F9">
        <v>927</v>
      </c>
      <c r="G9">
        <v>1835</v>
      </c>
      <c r="H9">
        <v>258</v>
      </c>
      <c r="I9">
        <v>149</v>
      </c>
      <c r="J9">
        <v>52</v>
      </c>
      <c r="K9">
        <v>2036</v>
      </c>
      <c r="L9">
        <v>23345</v>
      </c>
    </row>
    <row r="10" spans="1:12" x14ac:dyDescent="0.25">
      <c r="A10" s="1">
        <v>43893.75</v>
      </c>
      <c r="B10" s="2" t="s">
        <v>12</v>
      </c>
      <c r="C10">
        <v>1034</v>
      </c>
      <c r="D10">
        <v>229</v>
      </c>
      <c r="E10">
        <v>1263</v>
      </c>
      <c r="F10">
        <v>1000</v>
      </c>
      <c r="G10">
        <v>2263</v>
      </c>
      <c r="H10">
        <v>428</v>
      </c>
      <c r="I10">
        <v>160</v>
      </c>
      <c r="J10">
        <v>79</v>
      </c>
      <c r="K10">
        <v>2502</v>
      </c>
      <c r="L10">
        <v>25856</v>
      </c>
    </row>
    <row r="11" spans="1:12" x14ac:dyDescent="0.25">
      <c r="A11" s="1">
        <v>43894.75</v>
      </c>
      <c r="B11" s="2" t="s">
        <v>12</v>
      </c>
      <c r="C11">
        <v>1346</v>
      </c>
      <c r="D11">
        <v>295</v>
      </c>
      <c r="E11">
        <v>1641</v>
      </c>
      <c r="F11">
        <v>1065</v>
      </c>
      <c r="G11">
        <v>2706</v>
      </c>
      <c r="H11">
        <v>443</v>
      </c>
      <c r="I11">
        <v>276</v>
      </c>
      <c r="J11">
        <v>107</v>
      </c>
      <c r="K11">
        <v>3089</v>
      </c>
      <c r="L11">
        <v>29837</v>
      </c>
    </row>
    <row r="12" spans="1:12" x14ac:dyDescent="0.25">
      <c r="A12" s="1">
        <v>43895.75</v>
      </c>
      <c r="B12" s="2" t="s">
        <v>12</v>
      </c>
      <c r="C12">
        <v>1790</v>
      </c>
      <c r="D12">
        <v>351</v>
      </c>
      <c r="E12">
        <v>2141</v>
      </c>
      <c r="F12">
        <v>1155</v>
      </c>
      <c r="G12">
        <v>3296</v>
      </c>
      <c r="H12">
        <v>590</v>
      </c>
      <c r="I12">
        <v>414</v>
      </c>
      <c r="J12">
        <v>148</v>
      </c>
      <c r="K12">
        <v>3858</v>
      </c>
      <c r="L12">
        <v>32362</v>
      </c>
    </row>
    <row r="13" spans="1:12" x14ac:dyDescent="0.25">
      <c r="A13" s="1">
        <v>43896.75</v>
      </c>
      <c r="B13" s="2" t="s">
        <v>12</v>
      </c>
      <c r="C13">
        <v>2394</v>
      </c>
      <c r="D13">
        <v>462</v>
      </c>
      <c r="E13">
        <v>2856</v>
      </c>
      <c r="F13">
        <v>1060</v>
      </c>
      <c r="G13">
        <v>3916</v>
      </c>
      <c r="H13">
        <v>620</v>
      </c>
      <c r="I13">
        <v>523</v>
      </c>
      <c r="J13">
        <v>197</v>
      </c>
      <c r="K13">
        <v>4636</v>
      </c>
      <c r="L13">
        <v>36359</v>
      </c>
    </row>
    <row r="14" spans="1:12" x14ac:dyDescent="0.25">
      <c r="A14" s="1">
        <v>43897.75</v>
      </c>
      <c r="B14" s="2" t="s">
        <v>12</v>
      </c>
      <c r="C14">
        <v>2651</v>
      </c>
      <c r="D14">
        <v>567</v>
      </c>
      <c r="E14">
        <v>3218</v>
      </c>
      <c r="F14">
        <v>1843</v>
      </c>
      <c r="G14">
        <v>5061</v>
      </c>
      <c r="H14">
        <v>1145</v>
      </c>
      <c r="I14">
        <v>589</v>
      </c>
      <c r="J14">
        <v>233</v>
      </c>
      <c r="K14">
        <v>5883</v>
      </c>
      <c r="L14">
        <v>42062</v>
      </c>
    </row>
    <row r="15" spans="1:12" x14ac:dyDescent="0.25">
      <c r="A15" s="1">
        <v>43898.75</v>
      </c>
      <c r="B15" s="2" t="s">
        <v>12</v>
      </c>
      <c r="C15">
        <v>3557</v>
      </c>
      <c r="D15">
        <v>650</v>
      </c>
      <c r="E15">
        <v>4207</v>
      </c>
      <c r="F15">
        <v>2180</v>
      </c>
      <c r="G15">
        <v>6387</v>
      </c>
      <c r="H15">
        <v>1326</v>
      </c>
      <c r="I15">
        <v>622</v>
      </c>
      <c r="J15">
        <v>366</v>
      </c>
      <c r="K15">
        <v>7375</v>
      </c>
      <c r="L15">
        <v>49937</v>
      </c>
    </row>
    <row r="16" spans="1:12" x14ac:dyDescent="0.25">
      <c r="A16" s="1">
        <v>43899.75</v>
      </c>
      <c r="B16" s="2" t="s">
        <v>12</v>
      </c>
      <c r="C16">
        <v>4316</v>
      </c>
      <c r="D16">
        <v>733</v>
      </c>
      <c r="E16">
        <v>5049</v>
      </c>
      <c r="F16">
        <v>2936</v>
      </c>
      <c r="G16">
        <v>7985</v>
      </c>
      <c r="H16">
        <v>1598</v>
      </c>
      <c r="I16">
        <v>724</v>
      </c>
      <c r="J16">
        <v>463</v>
      </c>
      <c r="K16">
        <v>9172</v>
      </c>
      <c r="L16">
        <v>53826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2945-C539-40A1-A43D-88745D7B83AE}">
  <dimension ref="A1:P316"/>
  <sheetViews>
    <sheetView workbookViewId="0">
      <selection activeCell="C36" sqref="C36"/>
    </sheetView>
  </sheetViews>
  <sheetFormatPr defaultRowHeight="15" x14ac:dyDescent="0.25"/>
  <cols>
    <col min="1" max="1" width="15.85546875" bestFit="1" customWidth="1"/>
    <col min="2" max="2" width="7.7109375" bestFit="1" customWidth="1"/>
    <col min="3" max="3" width="17" bestFit="1" customWidth="1"/>
    <col min="4" max="4" width="25.42578125" bestFit="1" customWidth="1"/>
    <col min="5" max="6" width="11" bestFit="1" customWidth="1"/>
    <col min="7" max="7" width="24" bestFit="1" customWidth="1"/>
    <col min="8" max="8" width="18.85546875" bestFit="1" customWidth="1"/>
    <col min="9" max="9" width="21.42578125" bestFit="1" customWidth="1"/>
    <col min="10" max="10" width="24.7109375" bestFit="1" customWidth="1"/>
    <col min="11" max="11" width="28.7109375" bestFit="1" customWidth="1"/>
    <col min="12" max="12" width="28.42578125" bestFit="1" customWidth="1"/>
    <col min="13" max="13" width="17" bestFit="1" customWidth="1"/>
    <col min="14" max="14" width="11.140625" bestFit="1" customWidth="1"/>
    <col min="15" max="15" width="12.85546875" bestFit="1" customWidth="1"/>
    <col min="16" max="16" width="10.7109375" bestFit="1" customWidth="1"/>
  </cols>
  <sheetData>
    <row r="1" spans="1:16" x14ac:dyDescent="0.25">
      <c r="A1" t="s">
        <v>0</v>
      </c>
      <c r="B1" t="s">
        <v>1</v>
      </c>
      <c r="C1" t="s">
        <v>36</v>
      </c>
      <c r="D1" t="s">
        <v>37</v>
      </c>
      <c r="E1" t="s">
        <v>38</v>
      </c>
      <c r="F1" t="s">
        <v>39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</row>
    <row r="2" spans="1:16" x14ac:dyDescent="0.25">
      <c r="A2" s="1">
        <v>43885.75</v>
      </c>
      <c r="B2" s="2" t="s">
        <v>12</v>
      </c>
      <c r="C2">
        <v>13</v>
      </c>
      <c r="D2" s="2" t="s">
        <v>40</v>
      </c>
      <c r="E2">
        <v>4235122196</v>
      </c>
      <c r="F2">
        <v>1339843823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5</v>
      </c>
    </row>
    <row r="3" spans="1:16" x14ac:dyDescent="0.25">
      <c r="A3" s="1">
        <v>43885.75</v>
      </c>
      <c r="B3" s="2" t="s">
        <v>12</v>
      </c>
      <c r="C3">
        <v>17</v>
      </c>
      <c r="D3" s="2" t="s">
        <v>41</v>
      </c>
      <c r="E3">
        <v>4063947052</v>
      </c>
      <c r="F3">
        <v>1580514834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>
        <v>43885.75</v>
      </c>
      <c r="B4" s="2" t="s">
        <v>12</v>
      </c>
      <c r="C4">
        <v>4</v>
      </c>
      <c r="D4" s="2" t="s">
        <v>42</v>
      </c>
      <c r="E4">
        <v>4649933453</v>
      </c>
      <c r="F4">
        <v>1135662422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</row>
    <row r="5" spans="1:16" x14ac:dyDescent="0.25">
      <c r="A5" s="1">
        <v>43885.75</v>
      </c>
      <c r="B5" s="2" t="s">
        <v>12</v>
      </c>
      <c r="C5">
        <v>18</v>
      </c>
      <c r="D5" s="2" t="s">
        <v>43</v>
      </c>
      <c r="E5">
        <v>3890597598</v>
      </c>
      <c r="F5">
        <v>1659440194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</row>
    <row r="6" spans="1:16" x14ac:dyDescent="0.25">
      <c r="A6" s="1">
        <v>43885.75</v>
      </c>
      <c r="B6" s="2" t="s">
        <v>12</v>
      </c>
      <c r="C6">
        <v>15</v>
      </c>
      <c r="D6" s="2" t="s">
        <v>44</v>
      </c>
      <c r="E6">
        <v>4083956555</v>
      </c>
      <c r="F6">
        <v>1425084984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10</v>
      </c>
    </row>
    <row r="7" spans="1:16" x14ac:dyDescent="0.25">
      <c r="A7" s="1">
        <v>43885.75</v>
      </c>
      <c r="B7" s="2" t="s">
        <v>12</v>
      </c>
      <c r="C7">
        <v>8</v>
      </c>
      <c r="D7" s="2" t="s">
        <v>45</v>
      </c>
      <c r="E7">
        <v>4449436681</v>
      </c>
      <c r="F7">
        <v>113417208</v>
      </c>
      <c r="G7">
        <v>10</v>
      </c>
      <c r="H7">
        <v>2</v>
      </c>
      <c r="I7">
        <v>12</v>
      </c>
      <c r="J7">
        <v>6</v>
      </c>
      <c r="K7">
        <v>18</v>
      </c>
      <c r="L7">
        <v>18</v>
      </c>
      <c r="M7">
        <v>0</v>
      </c>
      <c r="N7">
        <v>0</v>
      </c>
      <c r="O7">
        <v>18</v>
      </c>
      <c r="P7">
        <v>148</v>
      </c>
    </row>
    <row r="8" spans="1:16" x14ac:dyDescent="0.25">
      <c r="A8" s="1">
        <v>43885.75</v>
      </c>
      <c r="B8" s="2" t="s">
        <v>12</v>
      </c>
      <c r="C8">
        <v>6</v>
      </c>
      <c r="D8" s="2" t="s">
        <v>46</v>
      </c>
      <c r="E8">
        <v>456494354</v>
      </c>
      <c r="F8">
        <v>1376813649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58</v>
      </c>
    </row>
    <row r="9" spans="1:16" x14ac:dyDescent="0.25">
      <c r="A9" s="1">
        <v>43885.75</v>
      </c>
      <c r="B9" s="2" t="s">
        <v>12</v>
      </c>
      <c r="C9">
        <v>12</v>
      </c>
      <c r="D9" s="2" t="s">
        <v>47</v>
      </c>
      <c r="E9">
        <v>4189277044</v>
      </c>
      <c r="F9">
        <v>1248366722</v>
      </c>
      <c r="G9">
        <v>1</v>
      </c>
      <c r="H9">
        <v>1</v>
      </c>
      <c r="I9">
        <v>2</v>
      </c>
      <c r="J9">
        <v>0</v>
      </c>
      <c r="K9">
        <v>2</v>
      </c>
      <c r="L9">
        <v>2</v>
      </c>
      <c r="M9">
        <v>1</v>
      </c>
      <c r="N9">
        <v>0</v>
      </c>
      <c r="O9">
        <v>3</v>
      </c>
      <c r="P9">
        <v>124</v>
      </c>
    </row>
    <row r="10" spans="1:16" x14ac:dyDescent="0.25">
      <c r="A10" s="1">
        <v>43885.75</v>
      </c>
      <c r="B10" s="2" t="s">
        <v>12</v>
      </c>
      <c r="C10">
        <v>7</v>
      </c>
      <c r="D10" s="2" t="s">
        <v>48</v>
      </c>
      <c r="E10">
        <v>4441149315</v>
      </c>
      <c r="F10">
        <v>89326992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</row>
    <row r="11" spans="1:16" x14ac:dyDescent="0.25">
      <c r="A11" s="1">
        <v>43885.75</v>
      </c>
      <c r="B11" s="2" t="s">
        <v>12</v>
      </c>
      <c r="C11">
        <v>3</v>
      </c>
      <c r="D11" s="2" t="s">
        <v>49</v>
      </c>
      <c r="E11">
        <v>4546679409</v>
      </c>
      <c r="F11">
        <v>9190347404</v>
      </c>
      <c r="G11">
        <v>76</v>
      </c>
      <c r="H11">
        <v>19</v>
      </c>
      <c r="I11">
        <v>95</v>
      </c>
      <c r="J11">
        <v>71</v>
      </c>
      <c r="K11">
        <v>166</v>
      </c>
      <c r="L11">
        <v>166</v>
      </c>
      <c r="M11">
        <v>0</v>
      </c>
      <c r="N11">
        <v>6</v>
      </c>
      <c r="O11">
        <v>172</v>
      </c>
      <c r="P11">
        <v>1463</v>
      </c>
    </row>
    <row r="12" spans="1:16" x14ac:dyDescent="0.25">
      <c r="A12" s="1">
        <v>43885.75</v>
      </c>
      <c r="B12" s="2" t="s">
        <v>12</v>
      </c>
      <c r="C12">
        <v>11</v>
      </c>
      <c r="D12" s="2" t="s">
        <v>50</v>
      </c>
      <c r="E12">
        <v>4361675973</v>
      </c>
      <c r="F12">
        <v>135188753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16</v>
      </c>
    </row>
    <row r="13" spans="1:16" x14ac:dyDescent="0.25">
      <c r="A13" s="1">
        <v>43885.75</v>
      </c>
      <c r="B13" s="2" t="s">
        <v>12</v>
      </c>
      <c r="C13">
        <v>14</v>
      </c>
      <c r="D13" s="2" t="s">
        <v>51</v>
      </c>
      <c r="E13">
        <v>4155774754</v>
      </c>
      <c r="F13">
        <v>1465916051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5">
      <c r="A14" s="1">
        <v>43885.75</v>
      </c>
      <c r="B14" s="2" t="s">
        <v>12</v>
      </c>
      <c r="C14">
        <v>1</v>
      </c>
      <c r="D14" s="2" t="s">
        <v>52</v>
      </c>
      <c r="E14">
        <v>450732745</v>
      </c>
      <c r="F14">
        <v>7680687483</v>
      </c>
      <c r="G14">
        <v>2</v>
      </c>
      <c r="H14">
        <v>0</v>
      </c>
      <c r="I14">
        <v>2</v>
      </c>
      <c r="J14">
        <v>1</v>
      </c>
      <c r="K14">
        <v>3</v>
      </c>
      <c r="L14">
        <v>3</v>
      </c>
      <c r="M14">
        <v>0</v>
      </c>
      <c r="N14">
        <v>0</v>
      </c>
      <c r="O14">
        <v>3</v>
      </c>
      <c r="P14">
        <v>141</v>
      </c>
    </row>
    <row r="15" spans="1:16" x14ac:dyDescent="0.25">
      <c r="A15" s="1">
        <v>43885.75</v>
      </c>
      <c r="B15" s="2" t="s">
        <v>12</v>
      </c>
      <c r="C15">
        <v>16</v>
      </c>
      <c r="D15" s="2" t="s">
        <v>53</v>
      </c>
      <c r="E15">
        <v>4112559576</v>
      </c>
      <c r="F15">
        <v>1686736689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5">
      <c r="A16" s="1">
        <v>43885.75</v>
      </c>
      <c r="B16" s="2" t="s">
        <v>12</v>
      </c>
      <c r="C16">
        <v>20</v>
      </c>
      <c r="D16" s="2" t="s">
        <v>54</v>
      </c>
      <c r="E16">
        <v>3921531192</v>
      </c>
      <c r="F16">
        <v>9110616306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</row>
    <row r="17" spans="1:16" x14ac:dyDescent="0.25">
      <c r="A17" s="1">
        <v>43885.75</v>
      </c>
      <c r="B17" s="2" t="s">
        <v>12</v>
      </c>
      <c r="C17">
        <v>19</v>
      </c>
      <c r="D17" s="2" t="s">
        <v>55</v>
      </c>
      <c r="E17">
        <v>3811569725</v>
      </c>
      <c r="F17">
        <v>133623567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5</v>
      </c>
    </row>
    <row r="18" spans="1:16" x14ac:dyDescent="0.25">
      <c r="A18" s="1">
        <v>43885.75</v>
      </c>
      <c r="B18" s="2" t="s">
        <v>12</v>
      </c>
      <c r="C18">
        <v>9</v>
      </c>
      <c r="D18" s="2" t="s">
        <v>56</v>
      </c>
      <c r="E18">
        <v>4376923077</v>
      </c>
      <c r="F18">
        <v>1125588885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140</v>
      </c>
    </row>
    <row r="19" spans="1:16" x14ac:dyDescent="0.25">
      <c r="A19" s="1">
        <v>43885.75</v>
      </c>
      <c r="B19" s="2" t="s">
        <v>12</v>
      </c>
      <c r="C19">
        <v>4</v>
      </c>
      <c r="D19" s="2" t="s">
        <v>57</v>
      </c>
      <c r="E19">
        <v>4606893511</v>
      </c>
      <c r="F19">
        <v>1112123097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3</v>
      </c>
    </row>
    <row r="20" spans="1:16" x14ac:dyDescent="0.25">
      <c r="A20" s="1">
        <v>43885.75</v>
      </c>
      <c r="B20" s="2" t="s">
        <v>12</v>
      </c>
      <c r="C20">
        <v>10</v>
      </c>
      <c r="D20" s="2" t="s">
        <v>58</v>
      </c>
      <c r="E20">
        <v>4310675841</v>
      </c>
      <c r="F20">
        <v>1238824698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 s="1">
        <v>43885.75</v>
      </c>
      <c r="B21" s="2" t="s">
        <v>12</v>
      </c>
      <c r="C21">
        <v>2</v>
      </c>
      <c r="D21" s="2" t="s">
        <v>59</v>
      </c>
      <c r="E21">
        <v>4573750286</v>
      </c>
      <c r="F21">
        <v>7320149366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7</v>
      </c>
    </row>
    <row r="22" spans="1:16" x14ac:dyDescent="0.25">
      <c r="A22" s="1">
        <v>43885.75</v>
      </c>
      <c r="B22" s="2" t="s">
        <v>12</v>
      </c>
      <c r="C22">
        <v>5</v>
      </c>
      <c r="D22" s="2" t="s">
        <v>60</v>
      </c>
      <c r="E22">
        <v>4543490485</v>
      </c>
      <c r="F22">
        <v>1233845213</v>
      </c>
      <c r="G22">
        <v>12</v>
      </c>
      <c r="H22">
        <v>4</v>
      </c>
      <c r="I22">
        <v>16</v>
      </c>
      <c r="J22">
        <v>16</v>
      </c>
      <c r="K22">
        <v>32</v>
      </c>
      <c r="L22">
        <v>32</v>
      </c>
      <c r="M22">
        <v>0</v>
      </c>
      <c r="N22">
        <v>1</v>
      </c>
      <c r="O22">
        <v>33</v>
      </c>
      <c r="P22">
        <v>2200</v>
      </c>
    </row>
    <row r="23" spans="1:16" x14ac:dyDescent="0.25">
      <c r="A23" s="1">
        <v>43886.75</v>
      </c>
      <c r="B23" s="2" t="s">
        <v>12</v>
      </c>
      <c r="C23">
        <v>13</v>
      </c>
      <c r="D23" s="2" t="s">
        <v>40</v>
      </c>
      <c r="E23">
        <v>4235122196</v>
      </c>
      <c r="F23">
        <v>1339843823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5</v>
      </c>
    </row>
    <row r="24" spans="1:16" x14ac:dyDescent="0.25">
      <c r="A24" s="1">
        <v>43886.75</v>
      </c>
      <c r="B24" s="2" t="s">
        <v>12</v>
      </c>
      <c r="C24">
        <v>17</v>
      </c>
      <c r="D24" s="2" t="s">
        <v>41</v>
      </c>
      <c r="E24">
        <v>4063947052</v>
      </c>
      <c r="F24">
        <v>1580514834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5">
      <c r="A25" s="1">
        <v>43886.75</v>
      </c>
      <c r="B25" s="2" t="s">
        <v>12</v>
      </c>
      <c r="C25">
        <v>4</v>
      </c>
      <c r="D25" s="2" t="s">
        <v>42</v>
      </c>
      <c r="E25">
        <v>4649933453</v>
      </c>
      <c r="F25">
        <v>1135662422</v>
      </c>
      <c r="G25">
        <v>1</v>
      </c>
      <c r="H25">
        <v>0</v>
      </c>
      <c r="I25">
        <v>1</v>
      </c>
      <c r="J25">
        <v>0</v>
      </c>
      <c r="K25">
        <v>1</v>
      </c>
      <c r="L25">
        <v>1</v>
      </c>
      <c r="M25">
        <v>0</v>
      </c>
      <c r="N25">
        <v>0</v>
      </c>
      <c r="O25">
        <v>1</v>
      </c>
      <c r="P25">
        <v>1</v>
      </c>
    </row>
    <row r="26" spans="1:16" x14ac:dyDescent="0.25">
      <c r="A26" s="1">
        <v>43886.75</v>
      </c>
      <c r="B26" s="2" t="s">
        <v>12</v>
      </c>
      <c r="C26">
        <v>18</v>
      </c>
      <c r="D26" s="2" t="s">
        <v>43</v>
      </c>
      <c r="E26">
        <v>3890597598</v>
      </c>
      <c r="F26">
        <v>1659440194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2</v>
      </c>
    </row>
    <row r="27" spans="1:16" x14ac:dyDescent="0.25">
      <c r="A27" s="1">
        <v>43886.75</v>
      </c>
      <c r="B27" s="2" t="s">
        <v>12</v>
      </c>
      <c r="C27">
        <v>15</v>
      </c>
      <c r="D27" s="2" t="s">
        <v>44</v>
      </c>
      <c r="E27">
        <v>4083956555</v>
      </c>
      <c r="F27">
        <v>1425084984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10</v>
      </c>
    </row>
    <row r="28" spans="1:16" x14ac:dyDescent="0.25">
      <c r="A28" s="1">
        <v>43886.75</v>
      </c>
      <c r="B28" s="2" t="s">
        <v>12</v>
      </c>
      <c r="C28">
        <v>8</v>
      </c>
      <c r="D28" s="2" t="s">
        <v>45</v>
      </c>
      <c r="E28">
        <v>4449436681</v>
      </c>
      <c r="F28">
        <v>113417208</v>
      </c>
      <c r="G28">
        <v>15</v>
      </c>
      <c r="H28">
        <v>2</v>
      </c>
      <c r="I28">
        <v>17</v>
      </c>
      <c r="J28">
        <v>9</v>
      </c>
      <c r="K28">
        <v>26</v>
      </c>
      <c r="L28">
        <v>8</v>
      </c>
      <c r="M28">
        <v>0</v>
      </c>
      <c r="N28">
        <v>0</v>
      </c>
      <c r="O28">
        <v>26</v>
      </c>
      <c r="P28">
        <v>391</v>
      </c>
    </row>
    <row r="29" spans="1:16" x14ac:dyDescent="0.25">
      <c r="A29" s="1">
        <v>43886.75</v>
      </c>
      <c r="B29" s="2" t="s">
        <v>12</v>
      </c>
      <c r="C29">
        <v>6</v>
      </c>
      <c r="D29" s="2" t="s">
        <v>46</v>
      </c>
      <c r="E29">
        <v>456494354</v>
      </c>
      <c r="F29">
        <v>1376813649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89</v>
      </c>
    </row>
    <row r="30" spans="1:16" x14ac:dyDescent="0.25">
      <c r="A30" s="1">
        <v>43886.75</v>
      </c>
      <c r="B30" s="2" t="s">
        <v>12</v>
      </c>
      <c r="C30">
        <v>12</v>
      </c>
      <c r="D30" s="2" t="s">
        <v>47</v>
      </c>
      <c r="E30">
        <v>4189277044</v>
      </c>
      <c r="F30">
        <v>1248366722</v>
      </c>
      <c r="G30">
        <v>1</v>
      </c>
      <c r="H30">
        <v>1</v>
      </c>
      <c r="I30">
        <v>2</v>
      </c>
      <c r="J30">
        <v>0</v>
      </c>
      <c r="K30">
        <v>2</v>
      </c>
      <c r="L30">
        <v>0</v>
      </c>
      <c r="M30">
        <v>1</v>
      </c>
      <c r="N30">
        <v>0</v>
      </c>
      <c r="O30">
        <v>3</v>
      </c>
      <c r="P30">
        <v>124</v>
      </c>
    </row>
    <row r="31" spans="1:16" x14ac:dyDescent="0.25">
      <c r="A31" s="1">
        <v>43886.75</v>
      </c>
      <c r="B31" s="2" t="s">
        <v>12</v>
      </c>
      <c r="C31">
        <v>7</v>
      </c>
      <c r="D31" s="2" t="s">
        <v>48</v>
      </c>
      <c r="E31">
        <v>4441149315</v>
      </c>
      <c r="F31">
        <v>89326992</v>
      </c>
      <c r="G31">
        <v>1</v>
      </c>
      <c r="H31">
        <v>0</v>
      </c>
      <c r="I31">
        <v>1</v>
      </c>
      <c r="J31">
        <v>0</v>
      </c>
      <c r="K31">
        <v>1</v>
      </c>
      <c r="L31">
        <v>1</v>
      </c>
      <c r="M31">
        <v>0</v>
      </c>
      <c r="N31">
        <v>0</v>
      </c>
      <c r="O31">
        <v>1</v>
      </c>
      <c r="P31">
        <v>39</v>
      </c>
    </row>
    <row r="32" spans="1:16" x14ac:dyDescent="0.25">
      <c r="A32" s="1">
        <v>43886.75</v>
      </c>
      <c r="B32" s="2" t="s">
        <v>12</v>
      </c>
      <c r="C32">
        <v>3</v>
      </c>
      <c r="D32" s="2" t="s">
        <v>49</v>
      </c>
      <c r="E32">
        <v>4546679409</v>
      </c>
      <c r="F32">
        <v>9190347404</v>
      </c>
      <c r="G32">
        <v>79</v>
      </c>
      <c r="H32">
        <v>25</v>
      </c>
      <c r="I32">
        <v>104</v>
      </c>
      <c r="J32">
        <v>127</v>
      </c>
      <c r="K32">
        <v>231</v>
      </c>
      <c r="L32">
        <v>65</v>
      </c>
      <c r="M32">
        <v>0</v>
      </c>
      <c r="N32">
        <v>9</v>
      </c>
      <c r="O32">
        <v>240</v>
      </c>
      <c r="P32">
        <v>3700</v>
      </c>
    </row>
    <row r="33" spans="1:16" x14ac:dyDescent="0.25">
      <c r="A33" s="1">
        <v>43886.75</v>
      </c>
      <c r="B33" s="2" t="s">
        <v>12</v>
      </c>
      <c r="C33">
        <v>11</v>
      </c>
      <c r="D33" s="2" t="s">
        <v>50</v>
      </c>
      <c r="E33">
        <v>4361675973</v>
      </c>
      <c r="F33">
        <v>135188753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21</v>
      </c>
    </row>
    <row r="34" spans="1:16" x14ac:dyDescent="0.25">
      <c r="A34" s="1">
        <v>43886.75</v>
      </c>
      <c r="B34" s="2" t="s">
        <v>12</v>
      </c>
      <c r="C34">
        <v>14</v>
      </c>
      <c r="D34" s="2" t="s">
        <v>51</v>
      </c>
      <c r="E34">
        <v>4155774754</v>
      </c>
      <c r="F34">
        <v>1465916051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 s="1">
        <v>43886.75</v>
      </c>
      <c r="B35" s="2" t="s">
        <v>12</v>
      </c>
      <c r="C35">
        <v>1</v>
      </c>
      <c r="D35" s="2" t="s">
        <v>52</v>
      </c>
      <c r="E35">
        <v>450732745</v>
      </c>
      <c r="F35">
        <v>7680687483</v>
      </c>
      <c r="G35">
        <v>2</v>
      </c>
      <c r="H35">
        <v>0</v>
      </c>
      <c r="I35">
        <v>2</v>
      </c>
      <c r="J35">
        <v>1</v>
      </c>
      <c r="K35">
        <v>3</v>
      </c>
      <c r="L35">
        <v>0</v>
      </c>
      <c r="M35">
        <v>0</v>
      </c>
      <c r="N35">
        <v>0</v>
      </c>
      <c r="O35">
        <v>3</v>
      </c>
      <c r="P35">
        <v>141</v>
      </c>
    </row>
    <row r="36" spans="1:16" x14ac:dyDescent="0.25">
      <c r="A36" s="1">
        <v>43886.75</v>
      </c>
      <c r="B36" s="2" t="s">
        <v>12</v>
      </c>
      <c r="C36">
        <v>16</v>
      </c>
      <c r="D36" s="2" t="s">
        <v>53</v>
      </c>
      <c r="E36">
        <v>4112559576</v>
      </c>
      <c r="F36">
        <v>1686736689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s="1">
        <v>43886.75</v>
      </c>
      <c r="B37" s="2" t="s">
        <v>12</v>
      </c>
      <c r="C37">
        <v>20</v>
      </c>
      <c r="D37" s="2" t="s">
        <v>54</v>
      </c>
      <c r="E37">
        <v>3921531192</v>
      </c>
      <c r="F37">
        <v>9110616306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</row>
    <row r="38" spans="1:16" x14ac:dyDescent="0.25">
      <c r="A38" s="1">
        <v>43886.75</v>
      </c>
      <c r="B38" s="2" t="s">
        <v>12</v>
      </c>
      <c r="C38">
        <v>19</v>
      </c>
      <c r="D38" s="2" t="s">
        <v>55</v>
      </c>
      <c r="E38">
        <v>3811569725</v>
      </c>
      <c r="F38">
        <v>133623567</v>
      </c>
      <c r="G38">
        <v>1</v>
      </c>
      <c r="H38">
        <v>0</v>
      </c>
      <c r="I38">
        <v>2</v>
      </c>
      <c r="J38">
        <v>2</v>
      </c>
      <c r="K38">
        <v>3</v>
      </c>
      <c r="L38">
        <v>3</v>
      </c>
      <c r="M38">
        <v>0</v>
      </c>
      <c r="N38">
        <v>0</v>
      </c>
      <c r="O38">
        <v>3</v>
      </c>
      <c r="P38">
        <v>5</v>
      </c>
    </row>
    <row r="39" spans="1:16" x14ac:dyDescent="0.25">
      <c r="A39" s="1">
        <v>43886.75</v>
      </c>
      <c r="B39" s="2" t="s">
        <v>12</v>
      </c>
      <c r="C39">
        <v>9</v>
      </c>
      <c r="D39" s="2" t="s">
        <v>56</v>
      </c>
      <c r="E39">
        <v>4376923077</v>
      </c>
      <c r="F39">
        <v>1125588885</v>
      </c>
      <c r="G39">
        <v>2</v>
      </c>
      <c r="H39">
        <v>0</v>
      </c>
      <c r="I39">
        <v>2</v>
      </c>
      <c r="J39">
        <v>0</v>
      </c>
      <c r="K39">
        <v>2</v>
      </c>
      <c r="L39">
        <v>2</v>
      </c>
      <c r="M39">
        <v>0</v>
      </c>
      <c r="N39">
        <v>0</v>
      </c>
      <c r="O39">
        <v>2</v>
      </c>
      <c r="P39">
        <v>296</v>
      </c>
    </row>
    <row r="40" spans="1:16" x14ac:dyDescent="0.25">
      <c r="A40" s="1">
        <v>43886.75</v>
      </c>
      <c r="B40" s="2" t="s">
        <v>12</v>
      </c>
      <c r="C40">
        <v>4</v>
      </c>
      <c r="D40" s="2" t="s">
        <v>57</v>
      </c>
      <c r="E40">
        <v>4606893511</v>
      </c>
      <c r="F40">
        <v>1112123097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3</v>
      </c>
    </row>
    <row r="41" spans="1:16" x14ac:dyDescent="0.25">
      <c r="A41" s="1">
        <v>43886.75</v>
      </c>
      <c r="B41" s="2" t="s">
        <v>12</v>
      </c>
      <c r="C41">
        <v>10</v>
      </c>
      <c r="D41" s="2" t="s">
        <v>58</v>
      </c>
      <c r="E41">
        <v>4310675841</v>
      </c>
      <c r="F41">
        <v>1238824698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8</v>
      </c>
    </row>
    <row r="42" spans="1:16" x14ac:dyDescent="0.25">
      <c r="A42" s="1">
        <v>43886.75</v>
      </c>
      <c r="B42" s="2" t="s">
        <v>12</v>
      </c>
      <c r="C42">
        <v>2</v>
      </c>
      <c r="D42" s="2" t="s">
        <v>59</v>
      </c>
      <c r="E42">
        <v>4573750286</v>
      </c>
      <c r="F42">
        <v>7320149366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7</v>
      </c>
    </row>
    <row r="43" spans="1:16" x14ac:dyDescent="0.25">
      <c r="A43" s="1">
        <v>43886.75</v>
      </c>
      <c r="B43" s="2" t="s">
        <v>12</v>
      </c>
      <c r="C43">
        <v>5</v>
      </c>
      <c r="D43" s="2" t="s">
        <v>60</v>
      </c>
      <c r="E43">
        <v>4543490485</v>
      </c>
      <c r="F43">
        <v>1233845213</v>
      </c>
      <c r="G43">
        <v>12</v>
      </c>
      <c r="H43">
        <v>7</v>
      </c>
      <c r="I43">
        <v>19</v>
      </c>
      <c r="J43">
        <v>23</v>
      </c>
      <c r="K43">
        <v>42</v>
      </c>
      <c r="L43">
        <v>10</v>
      </c>
      <c r="M43">
        <v>0</v>
      </c>
      <c r="N43">
        <v>1</v>
      </c>
      <c r="O43">
        <v>43</v>
      </c>
      <c r="P43">
        <v>3780</v>
      </c>
    </row>
    <row r="44" spans="1:16" x14ac:dyDescent="0.25">
      <c r="A44" s="1">
        <v>43887.75</v>
      </c>
      <c r="B44" s="2" t="s">
        <v>12</v>
      </c>
      <c r="C44">
        <v>13</v>
      </c>
      <c r="D44" s="2" t="s">
        <v>40</v>
      </c>
      <c r="E44">
        <v>4235122196</v>
      </c>
      <c r="F44">
        <v>1339843823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13</v>
      </c>
    </row>
    <row r="45" spans="1:16" x14ac:dyDescent="0.25">
      <c r="A45" s="1">
        <v>43887.75</v>
      </c>
      <c r="B45" s="2" t="s">
        <v>12</v>
      </c>
      <c r="C45">
        <v>17</v>
      </c>
      <c r="D45" s="2" t="s">
        <v>41</v>
      </c>
      <c r="E45">
        <v>4063947052</v>
      </c>
      <c r="F45">
        <v>1580514834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x14ac:dyDescent="0.25">
      <c r="A46" s="1">
        <v>43887.75</v>
      </c>
      <c r="B46" s="2" t="s">
        <v>12</v>
      </c>
      <c r="C46">
        <v>4</v>
      </c>
      <c r="D46" s="2" t="s">
        <v>42</v>
      </c>
      <c r="E46">
        <v>4649933453</v>
      </c>
      <c r="F46">
        <v>1135662422</v>
      </c>
      <c r="G46">
        <v>1</v>
      </c>
      <c r="H46">
        <v>0</v>
      </c>
      <c r="I46">
        <v>1</v>
      </c>
      <c r="J46">
        <v>0</v>
      </c>
      <c r="K46">
        <v>1</v>
      </c>
      <c r="L46">
        <v>0</v>
      </c>
      <c r="M46">
        <v>0</v>
      </c>
      <c r="N46">
        <v>0</v>
      </c>
      <c r="O46">
        <v>1</v>
      </c>
      <c r="P46">
        <v>1</v>
      </c>
    </row>
    <row r="47" spans="1:16" x14ac:dyDescent="0.25">
      <c r="A47" s="1">
        <v>43887.75</v>
      </c>
      <c r="B47" s="2" t="s">
        <v>12</v>
      </c>
      <c r="C47">
        <v>18</v>
      </c>
      <c r="D47" s="2" t="s">
        <v>43</v>
      </c>
      <c r="E47">
        <v>3890597598</v>
      </c>
      <c r="F47">
        <v>1659440194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3</v>
      </c>
    </row>
    <row r="48" spans="1:16" x14ac:dyDescent="0.25">
      <c r="A48" s="1">
        <v>43887.75</v>
      </c>
      <c r="B48" s="2" t="s">
        <v>12</v>
      </c>
      <c r="C48">
        <v>15</v>
      </c>
      <c r="D48" s="2" t="s">
        <v>44</v>
      </c>
      <c r="E48">
        <v>4083956555</v>
      </c>
      <c r="F48">
        <v>1425084984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</v>
      </c>
    </row>
    <row r="49" spans="1:16" x14ac:dyDescent="0.25">
      <c r="A49" s="1">
        <v>43887.75</v>
      </c>
      <c r="B49" s="2" t="s">
        <v>12</v>
      </c>
      <c r="C49">
        <v>8</v>
      </c>
      <c r="D49" s="2" t="s">
        <v>45</v>
      </c>
      <c r="E49">
        <v>4449436681</v>
      </c>
      <c r="F49">
        <v>113417208</v>
      </c>
      <c r="G49">
        <v>20</v>
      </c>
      <c r="H49">
        <v>3</v>
      </c>
      <c r="I49">
        <v>23</v>
      </c>
      <c r="J49">
        <v>23</v>
      </c>
      <c r="K49">
        <v>46</v>
      </c>
      <c r="L49">
        <v>20</v>
      </c>
      <c r="M49">
        <v>0</v>
      </c>
      <c r="N49">
        <v>1</v>
      </c>
      <c r="O49">
        <v>47</v>
      </c>
      <c r="P49">
        <v>577</v>
      </c>
    </row>
    <row r="50" spans="1:16" x14ac:dyDescent="0.25">
      <c r="A50" s="1">
        <v>43887.75</v>
      </c>
      <c r="B50" s="2" t="s">
        <v>12</v>
      </c>
      <c r="C50">
        <v>6</v>
      </c>
      <c r="D50" s="2" t="s">
        <v>46</v>
      </c>
      <c r="E50">
        <v>456494354</v>
      </c>
      <c r="F50">
        <v>1376813649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114</v>
      </c>
    </row>
    <row r="51" spans="1:16" x14ac:dyDescent="0.25">
      <c r="A51" s="1">
        <v>43887.75</v>
      </c>
      <c r="B51" s="2" t="s">
        <v>12</v>
      </c>
      <c r="C51">
        <v>12</v>
      </c>
      <c r="D51" s="2" t="s">
        <v>47</v>
      </c>
      <c r="E51">
        <v>4189277044</v>
      </c>
      <c r="F51">
        <v>1248366722</v>
      </c>
      <c r="G51">
        <v>0</v>
      </c>
      <c r="H51">
        <v>0</v>
      </c>
      <c r="I51">
        <v>0</v>
      </c>
      <c r="J51">
        <v>0</v>
      </c>
      <c r="K51">
        <v>0</v>
      </c>
      <c r="L51">
        <v>-2</v>
      </c>
      <c r="M51">
        <v>3</v>
      </c>
      <c r="N51">
        <v>0</v>
      </c>
      <c r="O51">
        <v>3</v>
      </c>
      <c r="P51">
        <v>124</v>
      </c>
    </row>
    <row r="52" spans="1:16" x14ac:dyDescent="0.25">
      <c r="A52" s="1">
        <v>43887.75</v>
      </c>
      <c r="B52" s="2" t="s">
        <v>12</v>
      </c>
      <c r="C52">
        <v>7</v>
      </c>
      <c r="D52" s="2" t="s">
        <v>48</v>
      </c>
      <c r="E52">
        <v>4441149315</v>
      </c>
      <c r="F52">
        <v>89326992</v>
      </c>
      <c r="G52">
        <v>6</v>
      </c>
      <c r="H52">
        <v>0</v>
      </c>
      <c r="I52">
        <v>6</v>
      </c>
      <c r="J52">
        <v>5</v>
      </c>
      <c r="K52">
        <v>11</v>
      </c>
      <c r="L52">
        <v>10</v>
      </c>
      <c r="M52">
        <v>0</v>
      </c>
      <c r="N52">
        <v>0</v>
      </c>
      <c r="O52">
        <v>11</v>
      </c>
      <c r="P52">
        <v>66</v>
      </c>
    </row>
    <row r="53" spans="1:16" x14ac:dyDescent="0.25">
      <c r="A53" s="1">
        <v>43887.75</v>
      </c>
      <c r="B53" s="2" t="s">
        <v>12</v>
      </c>
      <c r="C53">
        <v>3</v>
      </c>
      <c r="D53" s="2" t="s">
        <v>49</v>
      </c>
      <c r="E53">
        <v>4546679409</v>
      </c>
      <c r="F53">
        <v>9190347404</v>
      </c>
      <c r="G53">
        <v>79</v>
      </c>
      <c r="H53">
        <v>25</v>
      </c>
      <c r="I53">
        <v>104</v>
      </c>
      <c r="J53">
        <v>145</v>
      </c>
      <c r="K53">
        <v>249</v>
      </c>
      <c r="L53">
        <v>18</v>
      </c>
      <c r="M53">
        <v>0</v>
      </c>
      <c r="N53">
        <v>9</v>
      </c>
      <c r="O53">
        <v>258</v>
      </c>
      <c r="P53">
        <v>3208</v>
      </c>
    </row>
    <row r="54" spans="1:16" x14ac:dyDescent="0.25">
      <c r="A54" s="1">
        <v>43887.75</v>
      </c>
      <c r="B54" s="2" t="s">
        <v>12</v>
      </c>
      <c r="C54">
        <v>11</v>
      </c>
      <c r="D54" s="2" t="s">
        <v>50</v>
      </c>
      <c r="E54">
        <v>4361675973</v>
      </c>
      <c r="F54">
        <v>135188753</v>
      </c>
      <c r="G54">
        <v>1</v>
      </c>
      <c r="H54">
        <v>0</v>
      </c>
      <c r="I54">
        <v>1</v>
      </c>
      <c r="J54">
        <v>0</v>
      </c>
      <c r="K54">
        <v>1</v>
      </c>
      <c r="L54">
        <v>1</v>
      </c>
      <c r="M54">
        <v>0</v>
      </c>
      <c r="N54">
        <v>0</v>
      </c>
      <c r="O54">
        <v>1</v>
      </c>
      <c r="P54">
        <v>28</v>
      </c>
    </row>
    <row r="55" spans="1:16" x14ac:dyDescent="0.25">
      <c r="A55" s="1">
        <v>43887.75</v>
      </c>
      <c r="B55" s="2" t="s">
        <v>12</v>
      </c>
      <c r="C55">
        <v>14</v>
      </c>
      <c r="D55" s="2" t="s">
        <v>51</v>
      </c>
      <c r="E55">
        <v>4155774754</v>
      </c>
      <c r="F55">
        <v>1465916051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x14ac:dyDescent="0.25">
      <c r="A56" s="1">
        <v>43887.75</v>
      </c>
      <c r="B56" s="2" t="s">
        <v>12</v>
      </c>
      <c r="C56">
        <v>1</v>
      </c>
      <c r="D56" s="2" t="s">
        <v>52</v>
      </c>
      <c r="E56">
        <v>450732745</v>
      </c>
      <c r="F56">
        <v>7680687483</v>
      </c>
      <c r="G56">
        <v>2</v>
      </c>
      <c r="H56">
        <v>0</v>
      </c>
      <c r="I56">
        <v>2</v>
      </c>
      <c r="J56">
        <v>1</v>
      </c>
      <c r="K56">
        <v>3</v>
      </c>
      <c r="L56">
        <v>0</v>
      </c>
      <c r="M56">
        <v>0</v>
      </c>
      <c r="N56">
        <v>0</v>
      </c>
      <c r="O56">
        <v>3</v>
      </c>
      <c r="P56">
        <v>156</v>
      </c>
    </row>
    <row r="57" spans="1:16" x14ac:dyDescent="0.25">
      <c r="A57" s="1">
        <v>43887.75</v>
      </c>
      <c r="B57" s="2" t="s">
        <v>12</v>
      </c>
      <c r="C57">
        <v>16</v>
      </c>
      <c r="D57" s="2" t="s">
        <v>53</v>
      </c>
      <c r="E57">
        <v>4112559576</v>
      </c>
      <c r="F57">
        <v>1686736689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x14ac:dyDescent="0.25">
      <c r="A58" s="1">
        <v>43887.75</v>
      </c>
      <c r="B58" s="2" t="s">
        <v>12</v>
      </c>
      <c r="C58">
        <v>20</v>
      </c>
      <c r="D58" s="2" t="s">
        <v>54</v>
      </c>
      <c r="E58">
        <v>3921531192</v>
      </c>
      <c r="F58">
        <v>9110616306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</row>
    <row r="59" spans="1:16" x14ac:dyDescent="0.25">
      <c r="A59" s="1">
        <v>43887.75</v>
      </c>
      <c r="B59" s="2" t="s">
        <v>12</v>
      </c>
      <c r="C59">
        <v>19</v>
      </c>
      <c r="D59" s="2" t="s">
        <v>55</v>
      </c>
      <c r="E59">
        <v>3811569725</v>
      </c>
      <c r="F59">
        <v>133623567</v>
      </c>
      <c r="G59">
        <v>1</v>
      </c>
      <c r="H59">
        <v>0</v>
      </c>
      <c r="I59">
        <v>1</v>
      </c>
      <c r="J59">
        <v>2</v>
      </c>
      <c r="K59">
        <v>3</v>
      </c>
      <c r="L59">
        <v>0</v>
      </c>
      <c r="M59">
        <v>0</v>
      </c>
      <c r="N59">
        <v>0</v>
      </c>
      <c r="O59">
        <v>3</v>
      </c>
      <c r="P59">
        <v>5</v>
      </c>
    </row>
    <row r="60" spans="1:16" x14ac:dyDescent="0.25">
      <c r="A60" s="1">
        <v>43887.75</v>
      </c>
      <c r="B60" s="2" t="s">
        <v>12</v>
      </c>
      <c r="C60">
        <v>9</v>
      </c>
      <c r="D60" s="2" t="s">
        <v>56</v>
      </c>
      <c r="E60">
        <v>4376923077</v>
      </c>
      <c r="F60">
        <v>1125588885</v>
      </c>
      <c r="G60">
        <v>2</v>
      </c>
      <c r="H60">
        <v>0</v>
      </c>
      <c r="I60">
        <v>2</v>
      </c>
      <c r="J60">
        <v>0</v>
      </c>
      <c r="K60">
        <v>2</v>
      </c>
      <c r="L60">
        <v>0</v>
      </c>
      <c r="M60">
        <v>0</v>
      </c>
      <c r="N60">
        <v>0</v>
      </c>
      <c r="O60">
        <v>2</v>
      </c>
      <c r="P60">
        <v>363</v>
      </c>
    </row>
    <row r="61" spans="1:16" x14ac:dyDescent="0.25">
      <c r="A61" s="1">
        <v>43887.75</v>
      </c>
      <c r="B61" s="2" t="s">
        <v>12</v>
      </c>
      <c r="C61">
        <v>4</v>
      </c>
      <c r="D61" s="2" t="s">
        <v>57</v>
      </c>
      <c r="E61">
        <v>4606893511</v>
      </c>
      <c r="F61">
        <v>1112123097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3</v>
      </c>
    </row>
    <row r="62" spans="1:16" x14ac:dyDescent="0.25">
      <c r="A62" s="1">
        <v>43887.75</v>
      </c>
      <c r="B62" s="2" t="s">
        <v>12</v>
      </c>
      <c r="C62">
        <v>10</v>
      </c>
      <c r="D62" s="2" t="s">
        <v>58</v>
      </c>
      <c r="E62">
        <v>4310675841</v>
      </c>
      <c r="F62">
        <v>1238824698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8</v>
      </c>
    </row>
    <row r="63" spans="1:16" x14ac:dyDescent="0.25">
      <c r="A63" s="1">
        <v>43887.75</v>
      </c>
      <c r="B63" s="2" t="s">
        <v>12</v>
      </c>
      <c r="C63">
        <v>2</v>
      </c>
      <c r="D63" s="2" t="s">
        <v>59</v>
      </c>
      <c r="E63">
        <v>4573750286</v>
      </c>
      <c r="F63">
        <v>7320149366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7</v>
      </c>
    </row>
    <row r="64" spans="1:16" x14ac:dyDescent="0.25">
      <c r="A64" s="1">
        <v>43887.75</v>
      </c>
      <c r="B64" s="2" t="s">
        <v>12</v>
      </c>
      <c r="C64">
        <v>5</v>
      </c>
      <c r="D64" s="2" t="s">
        <v>60</v>
      </c>
      <c r="E64">
        <v>4543490485</v>
      </c>
      <c r="F64">
        <v>1233845213</v>
      </c>
      <c r="G64">
        <v>16</v>
      </c>
      <c r="H64">
        <v>8</v>
      </c>
      <c r="I64">
        <v>24</v>
      </c>
      <c r="J64">
        <v>45</v>
      </c>
      <c r="K64">
        <v>69</v>
      </c>
      <c r="L64">
        <v>27</v>
      </c>
      <c r="M64">
        <v>0</v>
      </c>
      <c r="N64">
        <v>2</v>
      </c>
      <c r="O64">
        <v>71</v>
      </c>
      <c r="P64">
        <v>4900</v>
      </c>
    </row>
    <row r="65" spans="1:16" x14ac:dyDescent="0.25">
      <c r="A65" s="1">
        <v>43888.75</v>
      </c>
      <c r="B65" s="2" t="s">
        <v>12</v>
      </c>
      <c r="C65">
        <v>13</v>
      </c>
      <c r="D65" s="2" t="s">
        <v>40</v>
      </c>
      <c r="E65">
        <v>4235122196</v>
      </c>
      <c r="F65">
        <v>1339843823</v>
      </c>
      <c r="G65">
        <v>1</v>
      </c>
      <c r="H65">
        <v>0</v>
      </c>
      <c r="I65">
        <v>1</v>
      </c>
      <c r="J65">
        <v>0</v>
      </c>
      <c r="K65">
        <v>1</v>
      </c>
      <c r="L65">
        <v>1</v>
      </c>
      <c r="M65">
        <v>0</v>
      </c>
      <c r="N65">
        <v>0</v>
      </c>
      <c r="O65">
        <v>1</v>
      </c>
      <c r="P65">
        <v>33</v>
      </c>
    </row>
    <row r="66" spans="1:16" x14ac:dyDescent="0.25">
      <c r="A66" s="1">
        <v>43888.75</v>
      </c>
      <c r="B66" s="2" t="s">
        <v>12</v>
      </c>
      <c r="C66">
        <v>17</v>
      </c>
      <c r="D66" s="2" t="s">
        <v>41</v>
      </c>
      <c r="E66">
        <v>4063947052</v>
      </c>
      <c r="F66">
        <v>1580514834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x14ac:dyDescent="0.25">
      <c r="A67" s="1">
        <v>43888.75</v>
      </c>
      <c r="B67" s="2" t="s">
        <v>12</v>
      </c>
      <c r="C67">
        <v>4</v>
      </c>
      <c r="D67" s="2" t="s">
        <v>42</v>
      </c>
      <c r="E67">
        <v>4649933453</v>
      </c>
      <c r="F67">
        <v>1135662422</v>
      </c>
      <c r="G67">
        <v>1</v>
      </c>
      <c r="H67">
        <v>0</v>
      </c>
      <c r="I67">
        <v>1</v>
      </c>
      <c r="J67">
        <v>0</v>
      </c>
      <c r="K67">
        <v>1</v>
      </c>
      <c r="L67">
        <v>0</v>
      </c>
      <c r="M67">
        <v>0</v>
      </c>
      <c r="N67">
        <v>0</v>
      </c>
      <c r="O67">
        <v>1</v>
      </c>
      <c r="P67">
        <v>2</v>
      </c>
    </row>
    <row r="68" spans="1:16" x14ac:dyDescent="0.25">
      <c r="A68" s="1">
        <v>43888.75</v>
      </c>
      <c r="B68" s="2" t="s">
        <v>12</v>
      </c>
      <c r="C68">
        <v>18</v>
      </c>
      <c r="D68" s="2" t="s">
        <v>43</v>
      </c>
      <c r="E68">
        <v>3890597598</v>
      </c>
      <c r="F68">
        <v>1659440194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14</v>
      </c>
    </row>
    <row r="69" spans="1:16" x14ac:dyDescent="0.25">
      <c r="A69" s="1">
        <v>43888.75</v>
      </c>
      <c r="B69" s="2" t="s">
        <v>12</v>
      </c>
      <c r="C69">
        <v>15</v>
      </c>
      <c r="D69" s="2" t="s">
        <v>44</v>
      </c>
      <c r="E69">
        <v>4083956555</v>
      </c>
      <c r="F69">
        <v>1425084984</v>
      </c>
      <c r="G69">
        <v>2</v>
      </c>
      <c r="H69">
        <v>0</v>
      </c>
      <c r="I69">
        <v>2</v>
      </c>
      <c r="J69">
        <v>1</v>
      </c>
      <c r="K69">
        <v>3</v>
      </c>
      <c r="L69">
        <v>3</v>
      </c>
      <c r="M69">
        <v>0</v>
      </c>
      <c r="N69">
        <v>0</v>
      </c>
      <c r="O69">
        <v>3</v>
      </c>
      <c r="P69">
        <v>10</v>
      </c>
    </row>
    <row r="70" spans="1:16" x14ac:dyDescent="0.25">
      <c r="A70" s="1">
        <v>43888.75</v>
      </c>
      <c r="B70" s="2" t="s">
        <v>12</v>
      </c>
      <c r="C70">
        <v>8</v>
      </c>
      <c r="D70" s="2" t="s">
        <v>45</v>
      </c>
      <c r="E70">
        <v>4449436681</v>
      </c>
      <c r="F70">
        <v>113417208</v>
      </c>
      <c r="G70">
        <v>36</v>
      </c>
      <c r="H70">
        <v>6</v>
      </c>
      <c r="I70">
        <v>42</v>
      </c>
      <c r="J70">
        <v>54</v>
      </c>
      <c r="K70">
        <v>96</v>
      </c>
      <c r="L70">
        <v>50</v>
      </c>
      <c r="M70">
        <v>0</v>
      </c>
      <c r="N70">
        <v>1</v>
      </c>
      <c r="O70">
        <v>97</v>
      </c>
      <c r="P70">
        <v>1033</v>
      </c>
    </row>
    <row r="71" spans="1:16" x14ac:dyDescent="0.25">
      <c r="A71" s="1">
        <v>43888.75</v>
      </c>
      <c r="B71" s="2" t="s">
        <v>12</v>
      </c>
      <c r="C71">
        <v>6</v>
      </c>
      <c r="D71" s="2" t="s">
        <v>46</v>
      </c>
      <c r="E71">
        <v>456494354</v>
      </c>
      <c r="F71">
        <v>1376813649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141</v>
      </c>
    </row>
    <row r="72" spans="1:16" x14ac:dyDescent="0.25">
      <c r="A72" s="1">
        <v>43888.75</v>
      </c>
      <c r="B72" s="2" t="s">
        <v>12</v>
      </c>
      <c r="C72">
        <v>12</v>
      </c>
      <c r="D72" s="2" t="s">
        <v>47</v>
      </c>
      <c r="E72">
        <v>4189277044</v>
      </c>
      <c r="F72">
        <v>1248366722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3</v>
      </c>
      <c r="N72">
        <v>0</v>
      </c>
      <c r="O72">
        <v>3</v>
      </c>
      <c r="P72">
        <v>552</v>
      </c>
    </row>
    <row r="73" spans="1:16" x14ac:dyDescent="0.25">
      <c r="A73" s="1">
        <v>43888.75</v>
      </c>
      <c r="B73" s="2" t="s">
        <v>12</v>
      </c>
      <c r="C73">
        <v>7</v>
      </c>
      <c r="D73" s="2" t="s">
        <v>48</v>
      </c>
      <c r="E73">
        <v>4441149315</v>
      </c>
      <c r="F73">
        <v>89326992</v>
      </c>
      <c r="G73">
        <v>9</v>
      </c>
      <c r="H73">
        <v>0</v>
      </c>
      <c r="I73">
        <v>9</v>
      </c>
      <c r="J73">
        <v>10</v>
      </c>
      <c r="K73">
        <v>19</v>
      </c>
      <c r="L73">
        <v>8</v>
      </c>
      <c r="M73">
        <v>0</v>
      </c>
      <c r="N73">
        <v>0</v>
      </c>
      <c r="O73">
        <v>19</v>
      </c>
      <c r="P73">
        <v>78</v>
      </c>
    </row>
    <row r="74" spans="1:16" x14ac:dyDescent="0.25">
      <c r="A74" s="1">
        <v>43888.75</v>
      </c>
      <c r="B74" s="2" t="s">
        <v>12</v>
      </c>
      <c r="C74">
        <v>3</v>
      </c>
      <c r="D74" s="2" t="s">
        <v>49</v>
      </c>
      <c r="E74">
        <v>4546679409</v>
      </c>
      <c r="F74">
        <v>9190347404</v>
      </c>
      <c r="G74">
        <v>172</v>
      </c>
      <c r="H74">
        <v>41</v>
      </c>
      <c r="I74">
        <v>213</v>
      </c>
      <c r="J74">
        <v>136</v>
      </c>
      <c r="K74">
        <v>349</v>
      </c>
      <c r="L74">
        <v>100</v>
      </c>
      <c r="M74">
        <v>40</v>
      </c>
      <c r="N74">
        <v>14</v>
      </c>
      <c r="O74">
        <v>403</v>
      </c>
      <c r="P74">
        <v>3320</v>
      </c>
    </row>
    <row r="75" spans="1:16" x14ac:dyDescent="0.25">
      <c r="A75" s="1">
        <v>43888.75</v>
      </c>
      <c r="B75" s="2" t="s">
        <v>12</v>
      </c>
      <c r="C75">
        <v>11</v>
      </c>
      <c r="D75" s="2" t="s">
        <v>50</v>
      </c>
      <c r="E75">
        <v>4361675973</v>
      </c>
      <c r="F75">
        <v>135188753</v>
      </c>
      <c r="G75">
        <v>2</v>
      </c>
      <c r="H75">
        <v>1</v>
      </c>
      <c r="I75">
        <v>3</v>
      </c>
      <c r="J75">
        <v>0</v>
      </c>
      <c r="K75">
        <v>3</v>
      </c>
      <c r="L75">
        <v>2</v>
      </c>
      <c r="M75">
        <v>0</v>
      </c>
      <c r="N75">
        <v>0</v>
      </c>
      <c r="O75">
        <v>3</v>
      </c>
      <c r="P75">
        <v>46</v>
      </c>
    </row>
    <row r="76" spans="1:16" x14ac:dyDescent="0.25">
      <c r="A76" s="1">
        <v>43888.75</v>
      </c>
      <c r="B76" s="2" t="s">
        <v>12</v>
      </c>
      <c r="C76">
        <v>14</v>
      </c>
      <c r="D76" s="2" t="s">
        <v>51</v>
      </c>
      <c r="E76">
        <v>4155774754</v>
      </c>
      <c r="F76">
        <v>1465916051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x14ac:dyDescent="0.25">
      <c r="A77" s="1">
        <v>43888.75</v>
      </c>
      <c r="B77" s="2" t="s">
        <v>12</v>
      </c>
      <c r="C77">
        <v>1</v>
      </c>
      <c r="D77" s="2" t="s">
        <v>52</v>
      </c>
      <c r="E77">
        <v>450732745</v>
      </c>
      <c r="F77">
        <v>7680687483</v>
      </c>
      <c r="G77">
        <v>2</v>
      </c>
      <c r="H77">
        <v>0</v>
      </c>
      <c r="I77">
        <v>2</v>
      </c>
      <c r="J77">
        <v>0</v>
      </c>
      <c r="K77">
        <v>2</v>
      </c>
      <c r="L77">
        <v>-1</v>
      </c>
      <c r="M77">
        <v>0</v>
      </c>
      <c r="N77">
        <v>0</v>
      </c>
      <c r="O77">
        <v>2</v>
      </c>
      <c r="P77">
        <v>156</v>
      </c>
    </row>
    <row r="78" spans="1:16" x14ac:dyDescent="0.25">
      <c r="A78" s="1">
        <v>43888.75</v>
      </c>
      <c r="B78" s="2" t="s">
        <v>12</v>
      </c>
      <c r="C78">
        <v>16</v>
      </c>
      <c r="D78" s="2" t="s">
        <v>53</v>
      </c>
      <c r="E78">
        <v>4112559576</v>
      </c>
      <c r="F78">
        <v>1686736689</v>
      </c>
      <c r="G78">
        <v>1</v>
      </c>
      <c r="H78">
        <v>0</v>
      </c>
      <c r="I78">
        <v>1</v>
      </c>
      <c r="J78">
        <v>0</v>
      </c>
      <c r="K78">
        <v>1</v>
      </c>
      <c r="L78">
        <v>1</v>
      </c>
      <c r="M78">
        <v>0</v>
      </c>
      <c r="N78">
        <v>0</v>
      </c>
      <c r="O78">
        <v>1</v>
      </c>
      <c r="P78">
        <v>0</v>
      </c>
    </row>
    <row r="79" spans="1:16" x14ac:dyDescent="0.25">
      <c r="A79" s="1">
        <v>43888.75</v>
      </c>
      <c r="B79" s="2" t="s">
        <v>12</v>
      </c>
      <c r="C79">
        <v>20</v>
      </c>
      <c r="D79" s="2" t="s">
        <v>54</v>
      </c>
      <c r="E79">
        <v>3921531192</v>
      </c>
      <c r="F79">
        <v>9110616306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</row>
    <row r="80" spans="1:16" x14ac:dyDescent="0.25">
      <c r="A80" s="1">
        <v>43888.75</v>
      </c>
      <c r="B80" s="2" t="s">
        <v>12</v>
      </c>
      <c r="C80">
        <v>19</v>
      </c>
      <c r="D80" s="2" t="s">
        <v>55</v>
      </c>
      <c r="E80">
        <v>3811569725</v>
      </c>
      <c r="F80">
        <v>133623567</v>
      </c>
      <c r="G80">
        <v>1</v>
      </c>
      <c r="H80">
        <v>0</v>
      </c>
      <c r="I80">
        <v>1</v>
      </c>
      <c r="J80">
        <v>1</v>
      </c>
      <c r="K80">
        <v>2</v>
      </c>
      <c r="L80">
        <v>-1</v>
      </c>
      <c r="M80">
        <v>2</v>
      </c>
      <c r="N80">
        <v>0</v>
      </c>
      <c r="O80">
        <v>4</v>
      </c>
      <c r="P80">
        <v>5</v>
      </c>
    </row>
    <row r="81" spans="1:16" x14ac:dyDescent="0.25">
      <c r="A81" s="1">
        <v>43888.75</v>
      </c>
      <c r="B81" s="2" t="s">
        <v>12</v>
      </c>
      <c r="C81">
        <v>9</v>
      </c>
      <c r="D81" s="2" t="s">
        <v>56</v>
      </c>
      <c r="E81">
        <v>4376923077</v>
      </c>
      <c r="F81">
        <v>1125588885</v>
      </c>
      <c r="G81">
        <v>2</v>
      </c>
      <c r="H81">
        <v>0</v>
      </c>
      <c r="I81">
        <v>2</v>
      </c>
      <c r="J81">
        <v>0</v>
      </c>
      <c r="K81">
        <v>2</v>
      </c>
      <c r="L81">
        <v>0</v>
      </c>
      <c r="M81">
        <v>0</v>
      </c>
      <c r="N81">
        <v>0</v>
      </c>
      <c r="O81">
        <v>2</v>
      </c>
      <c r="P81">
        <v>410</v>
      </c>
    </row>
    <row r="82" spans="1:16" x14ac:dyDescent="0.25">
      <c r="A82" s="1">
        <v>43888.75</v>
      </c>
      <c r="B82" s="2" t="s">
        <v>12</v>
      </c>
      <c r="C82">
        <v>4</v>
      </c>
      <c r="D82" s="2" t="s">
        <v>57</v>
      </c>
      <c r="E82">
        <v>4606893511</v>
      </c>
      <c r="F82">
        <v>1112123097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32</v>
      </c>
    </row>
    <row r="83" spans="1:16" x14ac:dyDescent="0.25">
      <c r="A83" s="1">
        <v>43888.75</v>
      </c>
      <c r="B83" s="2" t="s">
        <v>12</v>
      </c>
      <c r="C83">
        <v>10</v>
      </c>
      <c r="D83" s="2" t="s">
        <v>58</v>
      </c>
      <c r="E83">
        <v>4310675841</v>
      </c>
      <c r="F83">
        <v>1238824698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8</v>
      </c>
    </row>
    <row r="84" spans="1:16" x14ac:dyDescent="0.25">
      <c r="A84" s="1">
        <v>43888.75</v>
      </c>
      <c r="B84" s="2" t="s">
        <v>12</v>
      </c>
      <c r="C84">
        <v>2</v>
      </c>
      <c r="D84" s="2" t="s">
        <v>59</v>
      </c>
      <c r="E84">
        <v>4573750286</v>
      </c>
      <c r="F84">
        <v>7320149366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9</v>
      </c>
    </row>
    <row r="85" spans="1:16" x14ac:dyDescent="0.25">
      <c r="A85" s="1">
        <v>43888.75</v>
      </c>
      <c r="B85" s="2" t="s">
        <v>12</v>
      </c>
      <c r="C85">
        <v>5</v>
      </c>
      <c r="D85" s="2" t="s">
        <v>60</v>
      </c>
      <c r="E85">
        <v>4543490485</v>
      </c>
      <c r="F85">
        <v>1233845213</v>
      </c>
      <c r="G85">
        <v>19</v>
      </c>
      <c r="H85">
        <v>8</v>
      </c>
      <c r="I85">
        <v>27</v>
      </c>
      <c r="J85">
        <v>82</v>
      </c>
      <c r="K85">
        <v>109</v>
      </c>
      <c r="L85">
        <v>40</v>
      </c>
      <c r="M85">
        <v>0</v>
      </c>
      <c r="N85">
        <v>2</v>
      </c>
      <c r="O85">
        <v>111</v>
      </c>
      <c r="P85">
        <v>6164</v>
      </c>
    </row>
    <row r="86" spans="1:16" x14ac:dyDescent="0.25">
      <c r="A86" s="1">
        <v>43889.75</v>
      </c>
      <c r="B86" s="2" t="s">
        <v>12</v>
      </c>
      <c r="C86">
        <v>13</v>
      </c>
      <c r="D86" s="2" t="s">
        <v>40</v>
      </c>
      <c r="E86">
        <v>4235122196</v>
      </c>
      <c r="F86">
        <v>1339843823</v>
      </c>
      <c r="G86">
        <v>1</v>
      </c>
      <c r="H86">
        <v>0</v>
      </c>
      <c r="I86">
        <v>1</v>
      </c>
      <c r="J86">
        <v>0</v>
      </c>
      <c r="K86">
        <v>1</v>
      </c>
      <c r="L86">
        <v>0</v>
      </c>
      <c r="M86">
        <v>0</v>
      </c>
      <c r="N86">
        <v>0</v>
      </c>
      <c r="O86">
        <v>1</v>
      </c>
      <c r="P86">
        <v>33</v>
      </c>
    </row>
    <row r="87" spans="1:16" x14ac:dyDescent="0.25">
      <c r="A87" s="1">
        <v>43889.75</v>
      </c>
      <c r="B87" s="2" t="s">
        <v>12</v>
      </c>
      <c r="C87">
        <v>17</v>
      </c>
      <c r="D87" s="2" t="s">
        <v>41</v>
      </c>
      <c r="E87">
        <v>4063947052</v>
      </c>
      <c r="F87">
        <v>1580514834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x14ac:dyDescent="0.25">
      <c r="A88" s="1">
        <v>43889.75</v>
      </c>
      <c r="B88" s="2" t="s">
        <v>12</v>
      </c>
      <c r="C88">
        <v>4</v>
      </c>
      <c r="D88" s="2" t="s">
        <v>42</v>
      </c>
      <c r="E88">
        <v>4649933453</v>
      </c>
      <c r="F88">
        <v>1135662422</v>
      </c>
      <c r="G88">
        <v>1</v>
      </c>
      <c r="H88">
        <v>0</v>
      </c>
      <c r="I88">
        <v>1</v>
      </c>
      <c r="J88">
        <v>0</v>
      </c>
      <c r="K88">
        <v>1</v>
      </c>
      <c r="L88">
        <v>0</v>
      </c>
      <c r="M88">
        <v>0</v>
      </c>
      <c r="N88">
        <v>0</v>
      </c>
      <c r="O88">
        <v>1</v>
      </c>
      <c r="P88">
        <v>2</v>
      </c>
    </row>
    <row r="89" spans="1:16" x14ac:dyDescent="0.25">
      <c r="A89" s="1">
        <v>43889.75</v>
      </c>
      <c r="B89" s="2" t="s">
        <v>12</v>
      </c>
      <c r="C89">
        <v>18</v>
      </c>
      <c r="D89" s="2" t="s">
        <v>43</v>
      </c>
      <c r="E89">
        <v>3890597598</v>
      </c>
      <c r="F89">
        <v>1659440194</v>
      </c>
      <c r="G89">
        <v>0</v>
      </c>
      <c r="H89">
        <v>0</v>
      </c>
      <c r="I89">
        <v>0</v>
      </c>
      <c r="J89">
        <v>1</v>
      </c>
      <c r="K89">
        <v>1</v>
      </c>
      <c r="L89">
        <v>1</v>
      </c>
      <c r="M89">
        <v>0</v>
      </c>
      <c r="N89">
        <v>0</v>
      </c>
      <c r="O89">
        <v>1</v>
      </c>
      <c r="P89">
        <v>21</v>
      </c>
    </row>
    <row r="90" spans="1:16" x14ac:dyDescent="0.25">
      <c r="A90" s="1">
        <v>43889.75</v>
      </c>
      <c r="B90" s="2" t="s">
        <v>12</v>
      </c>
      <c r="C90">
        <v>15</v>
      </c>
      <c r="D90" s="2" t="s">
        <v>44</v>
      </c>
      <c r="E90">
        <v>4083956555</v>
      </c>
      <c r="F90">
        <v>1425084984</v>
      </c>
      <c r="G90">
        <v>2</v>
      </c>
      <c r="H90">
        <v>0</v>
      </c>
      <c r="I90">
        <v>2</v>
      </c>
      <c r="J90">
        <v>2</v>
      </c>
      <c r="K90">
        <v>4</v>
      </c>
      <c r="L90">
        <v>1</v>
      </c>
      <c r="M90">
        <v>0</v>
      </c>
      <c r="N90">
        <v>0</v>
      </c>
      <c r="O90">
        <v>4</v>
      </c>
      <c r="P90">
        <v>213</v>
      </c>
    </row>
    <row r="91" spans="1:16" x14ac:dyDescent="0.25">
      <c r="A91" s="1">
        <v>43889.75</v>
      </c>
      <c r="B91" s="2" t="s">
        <v>12</v>
      </c>
      <c r="C91">
        <v>8</v>
      </c>
      <c r="D91" s="2" t="s">
        <v>45</v>
      </c>
      <c r="E91">
        <v>4449436681</v>
      </c>
      <c r="F91">
        <v>113417208</v>
      </c>
      <c r="G91">
        <v>56</v>
      </c>
      <c r="H91">
        <v>6</v>
      </c>
      <c r="I91">
        <v>62</v>
      </c>
      <c r="J91">
        <v>81</v>
      </c>
      <c r="K91">
        <v>143</v>
      </c>
      <c r="L91">
        <v>47</v>
      </c>
      <c r="M91">
        <v>0</v>
      </c>
      <c r="N91">
        <v>2</v>
      </c>
      <c r="O91">
        <v>145</v>
      </c>
      <c r="P91">
        <v>1277</v>
      </c>
    </row>
    <row r="92" spans="1:16" x14ac:dyDescent="0.25">
      <c r="A92" s="1">
        <v>43889.75</v>
      </c>
      <c r="B92" s="2" t="s">
        <v>12</v>
      </c>
      <c r="C92">
        <v>6</v>
      </c>
      <c r="D92" s="2" t="s">
        <v>46</v>
      </c>
      <c r="E92">
        <v>456494354</v>
      </c>
      <c r="F92">
        <v>1376813649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169</v>
      </c>
    </row>
    <row r="93" spans="1:16" x14ac:dyDescent="0.25">
      <c r="A93" s="1">
        <v>43889.75</v>
      </c>
      <c r="B93" s="2" t="s">
        <v>12</v>
      </c>
      <c r="C93">
        <v>12</v>
      </c>
      <c r="D93" s="2" t="s">
        <v>47</v>
      </c>
      <c r="E93">
        <v>4189277044</v>
      </c>
      <c r="F93">
        <v>1248366722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3</v>
      </c>
      <c r="N93">
        <v>0</v>
      </c>
      <c r="O93">
        <v>3</v>
      </c>
      <c r="P93">
        <v>611</v>
      </c>
    </row>
    <row r="94" spans="1:16" x14ac:dyDescent="0.25">
      <c r="A94" s="1">
        <v>43889.75</v>
      </c>
      <c r="B94" s="2" t="s">
        <v>12</v>
      </c>
      <c r="C94">
        <v>7</v>
      </c>
      <c r="D94" s="2" t="s">
        <v>48</v>
      </c>
      <c r="E94">
        <v>4441149315</v>
      </c>
      <c r="F94">
        <v>89326992</v>
      </c>
      <c r="G94">
        <v>9</v>
      </c>
      <c r="H94">
        <v>0</v>
      </c>
      <c r="I94">
        <v>9</v>
      </c>
      <c r="J94">
        <v>10</v>
      </c>
      <c r="K94">
        <v>19</v>
      </c>
      <c r="L94">
        <v>0</v>
      </c>
      <c r="M94">
        <v>0</v>
      </c>
      <c r="N94">
        <v>0</v>
      </c>
      <c r="O94">
        <v>19</v>
      </c>
      <c r="P94">
        <v>112</v>
      </c>
    </row>
    <row r="95" spans="1:16" x14ac:dyDescent="0.25">
      <c r="A95" s="1">
        <v>43889.75</v>
      </c>
      <c r="B95" s="2" t="s">
        <v>12</v>
      </c>
      <c r="C95">
        <v>3</v>
      </c>
      <c r="D95" s="2" t="s">
        <v>49</v>
      </c>
      <c r="E95">
        <v>4546679409</v>
      </c>
      <c r="F95">
        <v>9190347404</v>
      </c>
      <c r="G95">
        <v>235</v>
      </c>
      <c r="H95">
        <v>47</v>
      </c>
      <c r="I95">
        <v>282</v>
      </c>
      <c r="J95">
        <v>192</v>
      </c>
      <c r="K95">
        <v>474</v>
      </c>
      <c r="L95">
        <v>125</v>
      </c>
      <c r="M95">
        <v>40</v>
      </c>
      <c r="N95">
        <v>17</v>
      </c>
      <c r="O95">
        <v>531</v>
      </c>
      <c r="P95">
        <v>4835</v>
      </c>
    </row>
    <row r="96" spans="1:16" x14ac:dyDescent="0.25">
      <c r="A96" s="1">
        <v>43889.75</v>
      </c>
      <c r="B96" s="2" t="s">
        <v>12</v>
      </c>
      <c r="C96">
        <v>11</v>
      </c>
      <c r="D96" s="2" t="s">
        <v>50</v>
      </c>
      <c r="E96">
        <v>4361675973</v>
      </c>
      <c r="F96">
        <v>135188753</v>
      </c>
      <c r="G96">
        <v>3</v>
      </c>
      <c r="H96">
        <v>2</v>
      </c>
      <c r="I96">
        <v>5</v>
      </c>
      <c r="J96">
        <v>1</v>
      </c>
      <c r="K96">
        <v>6</v>
      </c>
      <c r="L96">
        <v>3</v>
      </c>
      <c r="M96">
        <v>0</v>
      </c>
      <c r="N96">
        <v>0</v>
      </c>
      <c r="O96">
        <v>6</v>
      </c>
      <c r="P96">
        <v>47</v>
      </c>
    </row>
    <row r="97" spans="1:16" x14ac:dyDescent="0.25">
      <c r="A97" s="1">
        <v>43889.75</v>
      </c>
      <c r="B97" s="2" t="s">
        <v>12</v>
      </c>
      <c r="C97">
        <v>14</v>
      </c>
      <c r="D97" s="2" t="s">
        <v>51</v>
      </c>
      <c r="E97">
        <v>4155774754</v>
      </c>
      <c r="F97">
        <v>1465916051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x14ac:dyDescent="0.25">
      <c r="A98" s="1">
        <v>43889.75</v>
      </c>
      <c r="B98" s="2" t="s">
        <v>12</v>
      </c>
      <c r="C98">
        <v>1</v>
      </c>
      <c r="D98" s="2" t="s">
        <v>52</v>
      </c>
      <c r="E98">
        <v>450732745</v>
      </c>
      <c r="F98">
        <v>7680687483</v>
      </c>
      <c r="G98">
        <v>7</v>
      </c>
      <c r="H98">
        <v>0</v>
      </c>
      <c r="I98">
        <v>7</v>
      </c>
      <c r="J98">
        <v>4</v>
      </c>
      <c r="K98">
        <v>11</v>
      </c>
      <c r="L98">
        <v>9</v>
      </c>
      <c r="M98">
        <v>0</v>
      </c>
      <c r="N98">
        <v>0</v>
      </c>
      <c r="O98">
        <v>11</v>
      </c>
      <c r="P98">
        <v>227</v>
      </c>
    </row>
    <row r="99" spans="1:16" x14ac:dyDescent="0.25">
      <c r="A99" s="1">
        <v>43889.75</v>
      </c>
      <c r="B99" s="2" t="s">
        <v>12</v>
      </c>
      <c r="C99">
        <v>16</v>
      </c>
      <c r="D99" s="2" t="s">
        <v>53</v>
      </c>
      <c r="E99">
        <v>4112559576</v>
      </c>
      <c r="F99">
        <v>1686736689</v>
      </c>
      <c r="G99">
        <v>1</v>
      </c>
      <c r="H99">
        <v>0</v>
      </c>
      <c r="I99">
        <v>1</v>
      </c>
      <c r="J99">
        <v>2</v>
      </c>
      <c r="K99">
        <v>3</v>
      </c>
      <c r="L99">
        <v>2</v>
      </c>
      <c r="M99">
        <v>0</v>
      </c>
      <c r="N99">
        <v>0</v>
      </c>
      <c r="O99">
        <v>3</v>
      </c>
      <c r="P99">
        <v>242</v>
      </c>
    </row>
    <row r="100" spans="1:16" x14ac:dyDescent="0.25">
      <c r="A100" s="1">
        <v>43889.75</v>
      </c>
      <c r="B100" s="2" t="s">
        <v>12</v>
      </c>
      <c r="C100">
        <v>20</v>
      </c>
      <c r="D100" s="2" t="s">
        <v>54</v>
      </c>
      <c r="E100">
        <v>3921531192</v>
      </c>
      <c r="F100">
        <v>9110616306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1</v>
      </c>
    </row>
    <row r="101" spans="1:16" x14ac:dyDescent="0.25">
      <c r="A101" s="1">
        <v>43889.75</v>
      </c>
      <c r="B101" s="2" t="s">
        <v>12</v>
      </c>
      <c r="C101">
        <v>19</v>
      </c>
      <c r="D101" s="2" t="s">
        <v>55</v>
      </c>
      <c r="E101">
        <v>3811569725</v>
      </c>
      <c r="F101">
        <v>133623567</v>
      </c>
      <c r="G101">
        <v>1</v>
      </c>
      <c r="H101">
        <v>0</v>
      </c>
      <c r="I101">
        <v>1</v>
      </c>
      <c r="J101">
        <v>1</v>
      </c>
      <c r="K101">
        <v>2</v>
      </c>
      <c r="L101">
        <v>0</v>
      </c>
      <c r="M101">
        <v>2</v>
      </c>
      <c r="N101">
        <v>0</v>
      </c>
      <c r="O101">
        <v>4</v>
      </c>
      <c r="P101">
        <v>5</v>
      </c>
    </row>
    <row r="102" spans="1:16" x14ac:dyDescent="0.25">
      <c r="A102" s="1">
        <v>43889.75</v>
      </c>
      <c r="B102" s="2" t="s">
        <v>12</v>
      </c>
      <c r="C102">
        <v>9</v>
      </c>
      <c r="D102" s="2" t="s">
        <v>56</v>
      </c>
      <c r="E102">
        <v>4376923077</v>
      </c>
      <c r="F102">
        <v>1125588885</v>
      </c>
      <c r="G102">
        <v>5</v>
      </c>
      <c r="H102">
        <v>0</v>
      </c>
      <c r="I102">
        <v>5</v>
      </c>
      <c r="J102">
        <v>2</v>
      </c>
      <c r="K102">
        <v>7</v>
      </c>
      <c r="L102">
        <v>5</v>
      </c>
      <c r="M102">
        <v>1</v>
      </c>
      <c r="N102">
        <v>0</v>
      </c>
      <c r="O102">
        <v>8</v>
      </c>
      <c r="P102">
        <v>437</v>
      </c>
    </row>
    <row r="103" spans="1:16" x14ac:dyDescent="0.25">
      <c r="A103" s="1">
        <v>43889.75</v>
      </c>
      <c r="B103" s="2" t="s">
        <v>12</v>
      </c>
      <c r="C103">
        <v>4</v>
      </c>
      <c r="D103" s="2" t="s">
        <v>57</v>
      </c>
      <c r="E103">
        <v>4606893511</v>
      </c>
      <c r="F103">
        <v>1112123097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32</v>
      </c>
    </row>
    <row r="104" spans="1:16" x14ac:dyDescent="0.25">
      <c r="A104" s="1">
        <v>43889.75</v>
      </c>
      <c r="B104" s="2" t="s">
        <v>12</v>
      </c>
      <c r="C104">
        <v>10</v>
      </c>
      <c r="D104" s="2" t="s">
        <v>58</v>
      </c>
      <c r="E104">
        <v>4310675841</v>
      </c>
      <c r="F104">
        <v>1238824698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8</v>
      </c>
    </row>
    <row r="105" spans="1:16" x14ac:dyDescent="0.25">
      <c r="A105" s="1">
        <v>43889.75</v>
      </c>
      <c r="B105" s="2" t="s">
        <v>12</v>
      </c>
      <c r="C105">
        <v>2</v>
      </c>
      <c r="D105" s="2" t="s">
        <v>59</v>
      </c>
      <c r="E105">
        <v>4573750286</v>
      </c>
      <c r="F105">
        <v>7320149366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9</v>
      </c>
    </row>
    <row r="106" spans="1:16" x14ac:dyDescent="0.25">
      <c r="A106" s="1">
        <v>43889.75</v>
      </c>
      <c r="B106" s="2" t="s">
        <v>12</v>
      </c>
      <c r="C106">
        <v>5</v>
      </c>
      <c r="D106" s="2" t="s">
        <v>60</v>
      </c>
      <c r="E106">
        <v>4543490485</v>
      </c>
      <c r="F106">
        <v>1233845213</v>
      </c>
      <c r="G106">
        <v>24</v>
      </c>
      <c r="H106">
        <v>9</v>
      </c>
      <c r="I106">
        <v>33</v>
      </c>
      <c r="J106">
        <v>116</v>
      </c>
      <c r="K106">
        <v>149</v>
      </c>
      <c r="L106">
        <v>40</v>
      </c>
      <c r="M106">
        <v>0</v>
      </c>
      <c r="N106">
        <v>2</v>
      </c>
      <c r="O106">
        <v>151</v>
      </c>
      <c r="P106">
        <v>7414</v>
      </c>
    </row>
    <row r="107" spans="1:16" x14ac:dyDescent="0.25">
      <c r="A107" s="1">
        <v>43890.708333333336</v>
      </c>
      <c r="B107" s="2" t="s">
        <v>12</v>
      </c>
      <c r="C107">
        <v>13</v>
      </c>
      <c r="D107" s="2" t="s">
        <v>40</v>
      </c>
      <c r="E107">
        <v>4235122196</v>
      </c>
      <c r="F107">
        <v>1339843823</v>
      </c>
      <c r="G107">
        <v>2</v>
      </c>
      <c r="H107">
        <v>0</v>
      </c>
      <c r="I107">
        <v>2</v>
      </c>
      <c r="J107">
        <v>0</v>
      </c>
      <c r="K107">
        <v>2</v>
      </c>
      <c r="L107">
        <v>1</v>
      </c>
      <c r="M107">
        <v>0</v>
      </c>
      <c r="N107">
        <v>0</v>
      </c>
      <c r="O107">
        <v>2</v>
      </c>
      <c r="P107">
        <v>43</v>
      </c>
    </row>
    <row r="108" spans="1:16" x14ac:dyDescent="0.25">
      <c r="A108" s="1">
        <v>43890.708333333336</v>
      </c>
      <c r="B108" s="2" t="s">
        <v>12</v>
      </c>
      <c r="C108">
        <v>17</v>
      </c>
      <c r="D108" s="2" t="s">
        <v>41</v>
      </c>
      <c r="E108">
        <v>4063947052</v>
      </c>
      <c r="F108">
        <v>1580514834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32</v>
      </c>
    </row>
    <row r="109" spans="1:16" x14ac:dyDescent="0.25">
      <c r="A109" s="1">
        <v>43890.708333333336</v>
      </c>
      <c r="B109" s="2" t="s">
        <v>12</v>
      </c>
      <c r="C109">
        <v>4</v>
      </c>
      <c r="D109" s="2" t="s">
        <v>42</v>
      </c>
      <c r="E109">
        <v>4649933453</v>
      </c>
      <c r="F109">
        <v>1135662422</v>
      </c>
      <c r="G109">
        <v>1</v>
      </c>
      <c r="H109">
        <v>0</v>
      </c>
      <c r="I109">
        <v>1</v>
      </c>
      <c r="J109">
        <v>0</v>
      </c>
      <c r="K109">
        <v>1</v>
      </c>
      <c r="L109">
        <v>0</v>
      </c>
      <c r="M109">
        <v>0</v>
      </c>
      <c r="N109">
        <v>0</v>
      </c>
      <c r="O109">
        <v>1</v>
      </c>
      <c r="P109">
        <v>16</v>
      </c>
    </row>
    <row r="110" spans="1:16" x14ac:dyDescent="0.25">
      <c r="A110" s="1">
        <v>43890.708333333336</v>
      </c>
      <c r="B110" s="2" t="s">
        <v>12</v>
      </c>
      <c r="C110">
        <v>18</v>
      </c>
      <c r="D110" s="2" t="s">
        <v>43</v>
      </c>
      <c r="E110">
        <v>3890597598</v>
      </c>
      <c r="F110">
        <v>1659440194</v>
      </c>
      <c r="G110">
        <v>0</v>
      </c>
      <c r="H110">
        <v>0</v>
      </c>
      <c r="I110">
        <v>0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1</v>
      </c>
      <c r="P110">
        <v>27</v>
      </c>
    </row>
    <row r="111" spans="1:16" x14ac:dyDescent="0.25">
      <c r="A111" s="1">
        <v>43890.708333333336</v>
      </c>
      <c r="B111" s="2" t="s">
        <v>12</v>
      </c>
      <c r="C111">
        <v>15</v>
      </c>
      <c r="D111" s="2" t="s">
        <v>44</v>
      </c>
      <c r="E111">
        <v>4083956555</v>
      </c>
      <c r="F111">
        <v>1425084984</v>
      </c>
      <c r="G111">
        <v>3</v>
      </c>
      <c r="H111">
        <v>0</v>
      </c>
      <c r="I111">
        <v>3</v>
      </c>
      <c r="J111">
        <v>10</v>
      </c>
      <c r="K111">
        <v>13</v>
      </c>
      <c r="L111">
        <v>9</v>
      </c>
      <c r="M111">
        <v>0</v>
      </c>
      <c r="N111">
        <v>0</v>
      </c>
      <c r="O111">
        <v>13</v>
      </c>
      <c r="P111">
        <v>373</v>
      </c>
    </row>
    <row r="112" spans="1:16" x14ac:dyDescent="0.25">
      <c r="A112" s="1">
        <v>43890.708333333336</v>
      </c>
      <c r="B112" s="2" t="s">
        <v>12</v>
      </c>
      <c r="C112">
        <v>8</v>
      </c>
      <c r="D112" s="2" t="s">
        <v>45</v>
      </c>
      <c r="E112">
        <v>4449436681</v>
      </c>
      <c r="F112">
        <v>113417208</v>
      </c>
      <c r="G112">
        <v>86</v>
      </c>
      <c r="H112">
        <v>11</v>
      </c>
      <c r="I112">
        <v>97</v>
      </c>
      <c r="J112">
        <v>116</v>
      </c>
      <c r="K112">
        <v>213</v>
      </c>
      <c r="L112">
        <v>70</v>
      </c>
      <c r="M112">
        <v>0</v>
      </c>
      <c r="N112">
        <v>4</v>
      </c>
      <c r="O112">
        <v>217</v>
      </c>
      <c r="P112">
        <v>1550</v>
      </c>
    </row>
    <row r="113" spans="1:16" x14ac:dyDescent="0.25">
      <c r="A113" s="1">
        <v>43890.708333333336</v>
      </c>
      <c r="B113" s="2" t="s">
        <v>12</v>
      </c>
      <c r="C113">
        <v>6</v>
      </c>
      <c r="D113" s="2" t="s">
        <v>46</v>
      </c>
      <c r="E113">
        <v>456494354</v>
      </c>
      <c r="F113">
        <v>1376813649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189</v>
      </c>
    </row>
    <row r="114" spans="1:16" x14ac:dyDescent="0.25">
      <c r="A114" s="1">
        <v>43890.708333333336</v>
      </c>
      <c r="B114" s="2" t="s">
        <v>12</v>
      </c>
      <c r="C114">
        <v>12</v>
      </c>
      <c r="D114" s="2" t="s">
        <v>47</v>
      </c>
      <c r="E114">
        <v>4189277044</v>
      </c>
      <c r="F114">
        <v>1248366722</v>
      </c>
      <c r="G114">
        <v>3</v>
      </c>
      <c r="H114">
        <v>0</v>
      </c>
      <c r="I114">
        <v>3</v>
      </c>
      <c r="J114">
        <v>0</v>
      </c>
      <c r="K114">
        <v>3</v>
      </c>
      <c r="L114">
        <v>3</v>
      </c>
      <c r="M114">
        <v>3</v>
      </c>
      <c r="N114">
        <v>0</v>
      </c>
      <c r="O114">
        <v>6</v>
      </c>
      <c r="P114">
        <v>679</v>
      </c>
    </row>
    <row r="115" spans="1:16" x14ac:dyDescent="0.25">
      <c r="A115" s="1">
        <v>43890.708333333336</v>
      </c>
      <c r="B115" s="2" t="s">
        <v>12</v>
      </c>
      <c r="C115">
        <v>7</v>
      </c>
      <c r="D115" s="2" t="s">
        <v>48</v>
      </c>
      <c r="E115">
        <v>4441149315</v>
      </c>
      <c r="F115">
        <v>89326992</v>
      </c>
      <c r="G115">
        <v>4</v>
      </c>
      <c r="H115">
        <v>1</v>
      </c>
      <c r="I115">
        <v>5</v>
      </c>
      <c r="J115">
        <v>33</v>
      </c>
      <c r="K115">
        <v>38</v>
      </c>
      <c r="L115">
        <v>19</v>
      </c>
      <c r="M115">
        <v>4</v>
      </c>
      <c r="N115">
        <v>0</v>
      </c>
      <c r="O115">
        <v>42</v>
      </c>
      <c r="P115">
        <v>121</v>
      </c>
    </row>
    <row r="116" spans="1:16" x14ac:dyDescent="0.25">
      <c r="A116" s="1">
        <v>43890.708333333336</v>
      </c>
      <c r="B116" s="2" t="s">
        <v>12</v>
      </c>
      <c r="C116">
        <v>3</v>
      </c>
      <c r="D116" s="2" t="s">
        <v>49</v>
      </c>
      <c r="E116">
        <v>4546679409</v>
      </c>
      <c r="F116">
        <v>9190347404</v>
      </c>
      <c r="G116">
        <v>256</v>
      </c>
      <c r="H116">
        <v>80</v>
      </c>
      <c r="I116">
        <v>336</v>
      </c>
      <c r="J116">
        <v>216</v>
      </c>
      <c r="K116">
        <v>552</v>
      </c>
      <c r="L116">
        <v>78</v>
      </c>
      <c r="M116">
        <v>40</v>
      </c>
      <c r="N116">
        <v>23</v>
      </c>
      <c r="O116">
        <v>615</v>
      </c>
      <c r="P116">
        <v>5723</v>
      </c>
    </row>
    <row r="117" spans="1:16" x14ac:dyDescent="0.25">
      <c r="A117" s="1">
        <v>43890.708333333336</v>
      </c>
      <c r="B117" s="2" t="s">
        <v>12</v>
      </c>
      <c r="C117">
        <v>11</v>
      </c>
      <c r="D117" s="2" t="s">
        <v>50</v>
      </c>
      <c r="E117">
        <v>4361675973</v>
      </c>
      <c r="F117">
        <v>135188753</v>
      </c>
      <c r="G117">
        <v>6</v>
      </c>
      <c r="H117">
        <v>2</v>
      </c>
      <c r="I117">
        <v>8</v>
      </c>
      <c r="J117">
        <v>3</v>
      </c>
      <c r="K117">
        <v>11</v>
      </c>
      <c r="L117">
        <v>5</v>
      </c>
      <c r="M117">
        <v>0</v>
      </c>
      <c r="N117">
        <v>0</v>
      </c>
      <c r="O117">
        <v>11</v>
      </c>
      <c r="P117">
        <v>68</v>
      </c>
    </row>
    <row r="118" spans="1:16" x14ac:dyDescent="0.25">
      <c r="A118" s="1">
        <v>43890.708333333336</v>
      </c>
      <c r="B118" s="2" t="s">
        <v>12</v>
      </c>
      <c r="C118">
        <v>14</v>
      </c>
      <c r="D118" s="2" t="s">
        <v>51</v>
      </c>
      <c r="E118">
        <v>4155774754</v>
      </c>
      <c r="F118">
        <v>1465916051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</row>
    <row r="119" spans="1:16" x14ac:dyDescent="0.25">
      <c r="A119" s="1">
        <v>43890.708333333336</v>
      </c>
      <c r="B119" s="2" t="s">
        <v>12</v>
      </c>
      <c r="C119">
        <v>1</v>
      </c>
      <c r="D119" s="2" t="s">
        <v>52</v>
      </c>
      <c r="E119">
        <v>450732745</v>
      </c>
      <c r="F119">
        <v>7680687483</v>
      </c>
      <c r="G119">
        <v>7</v>
      </c>
      <c r="H119">
        <v>0</v>
      </c>
      <c r="I119">
        <v>7</v>
      </c>
      <c r="J119">
        <v>4</v>
      </c>
      <c r="K119">
        <v>11</v>
      </c>
      <c r="L119">
        <v>0</v>
      </c>
      <c r="M119">
        <v>0</v>
      </c>
      <c r="N119">
        <v>0</v>
      </c>
      <c r="O119">
        <v>11</v>
      </c>
      <c r="P119">
        <v>308</v>
      </c>
    </row>
    <row r="120" spans="1:16" x14ac:dyDescent="0.25">
      <c r="A120" s="1">
        <v>43890.708333333336</v>
      </c>
      <c r="B120" s="2" t="s">
        <v>12</v>
      </c>
      <c r="C120">
        <v>16</v>
      </c>
      <c r="D120" s="2" t="s">
        <v>53</v>
      </c>
      <c r="E120">
        <v>4112559576</v>
      </c>
      <c r="F120">
        <v>1686736689</v>
      </c>
      <c r="G120">
        <v>1</v>
      </c>
      <c r="H120">
        <v>0</v>
      </c>
      <c r="I120">
        <v>1</v>
      </c>
      <c r="J120">
        <v>2</v>
      </c>
      <c r="K120">
        <v>3</v>
      </c>
      <c r="L120">
        <v>0</v>
      </c>
      <c r="M120">
        <v>0</v>
      </c>
      <c r="N120">
        <v>0</v>
      </c>
      <c r="O120">
        <v>3</v>
      </c>
      <c r="P120">
        <v>252</v>
      </c>
    </row>
    <row r="121" spans="1:16" x14ac:dyDescent="0.25">
      <c r="A121" s="1">
        <v>43890.708333333336</v>
      </c>
      <c r="B121" s="2" t="s">
        <v>12</v>
      </c>
      <c r="C121">
        <v>20</v>
      </c>
      <c r="D121" s="2" t="s">
        <v>54</v>
      </c>
      <c r="E121">
        <v>3921531192</v>
      </c>
      <c r="F121">
        <v>9110616306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</v>
      </c>
    </row>
    <row r="122" spans="1:16" x14ac:dyDescent="0.25">
      <c r="A122" s="1">
        <v>43890.708333333336</v>
      </c>
      <c r="B122" s="2" t="s">
        <v>12</v>
      </c>
      <c r="C122">
        <v>19</v>
      </c>
      <c r="D122" s="2" t="s">
        <v>55</v>
      </c>
      <c r="E122">
        <v>3811569725</v>
      </c>
      <c r="F122">
        <v>133623567</v>
      </c>
      <c r="G122">
        <v>1</v>
      </c>
      <c r="H122">
        <v>0</v>
      </c>
      <c r="I122">
        <v>1</v>
      </c>
      <c r="J122">
        <v>1</v>
      </c>
      <c r="K122">
        <v>2</v>
      </c>
      <c r="L122">
        <v>0</v>
      </c>
      <c r="M122">
        <v>2</v>
      </c>
      <c r="N122">
        <v>0</v>
      </c>
      <c r="O122">
        <v>4</v>
      </c>
      <c r="P122">
        <v>6</v>
      </c>
    </row>
    <row r="123" spans="1:16" x14ac:dyDescent="0.25">
      <c r="A123" s="1">
        <v>43890.708333333336</v>
      </c>
      <c r="B123" s="2" t="s">
        <v>12</v>
      </c>
      <c r="C123">
        <v>9</v>
      </c>
      <c r="D123" s="2" t="s">
        <v>56</v>
      </c>
      <c r="E123">
        <v>4376923077</v>
      </c>
      <c r="F123">
        <v>1125588885</v>
      </c>
      <c r="G123">
        <v>7</v>
      </c>
      <c r="H123">
        <v>0</v>
      </c>
      <c r="I123">
        <v>7</v>
      </c>
      <c r="J123">
        <v>3</v>
      </c>
      <c r="K123">
        <v>10</v>
      </c>
      <c r="L123">
        <v>3</v>
      </c>
      <c r="M123">
        <v>1</v>
      </c>
      <c r="N123">
        <v>0</v>
      </c>
      <c r="O123">
        <v>11</v>
      </c>
      <c r="P123">
        <v>531</v>
      </c>
    </row>
    <row r="124" spans="1:16" x14ac:dyDescent="0.25">
      <c r="A124" s="1">
        <v>43890.708333333336</v>
      </c>
      <c r="B124" s="2" t="s">
        <v>12</v>
      </c>
      <c r="C124">
        <v>4</v>
      </c>
      <c r="D124" s="2" t="s">
        <v>57</v>
      </c>
      <c r="E124">
        <v>4606893511</v>
      </c>
      <c r="F124">
        <v>1112123097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43</v>
      </c>
    </row>
    <row r="125" spans="1:16" x14ac:dyDescent="0.25">
      <c r="A125" s="1">
        <v>43890.708333333336</v>
      </c>
      <c r="B125" s="2" t="s">
        <v>12</v>
      </c>
      <c r="C125">
        <v>10</v>
      </c>
      <c r="D125" s="2" t="s">
        <v>58</v>
      </c>
      <c r="E125">
        <v>4310675841</v>
      </c>
      <c r="F125">
        <v>1238824698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31</v>
      </c>
    </row>
    <row r="126" spans="1:16" x14ac:dyDescent="0.25">
      <c r="A126" s="1">
        <v>43890.708333333336</v>
      </c>
      <c r="B126" s="2" t="s">
        <v>12</v>
      </c>
      <c r="C126">
        <v>2</v>
      </c>
      <c r="D126" s="2" t="s">
        <v>59</v>
      </c>
      <c r="E126">
        <v>4573750286</v>
      </c>
      <c r="F126">
        <v>7320149366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9</v>
      </c>
    </row>
    <row r="127" spans="1:16" x14ac:dyDescent="0.25">
      <c r="A127" s="1">
        <v>43890.708333333336</v>
      </c>
      <c r="B127" s="2" t="s">
        <v>12</v>
      </c>
      <c r="C127">
        <v>5</v>
      </c>
      <c r="D127" s="2" t="s">
        <v>60</v>
      </c>
      <c r="E127">
        <v>4543490485</v>
      </c>
      <c r="F127">
        <v>1233845213</v>
      </c>
      <c r="G127">
        <v>24</v>
      </c>
      <c r="H127">
        <v>11</v>
      </c>
      <c r="I127">
        <v>35</v>
      </c>
      <c r="J127">
        <v>154</v>
      </c>
      <c r="K127">
        <v>189</v>
      </c>
      <c r="L127">
        <v>40</v>
      </c>
      <c r="M127">
        <v>0</v>
      </c>
      <c r="N127">
        <v>2</v>
      </c>
      <c r="O127">
        <v>191</v>
      </c>
      <c r="P127">
        <v>8659</v>
      </c>
    </row>
    <row r="128" spans="1:16" x14ac:dyDescent="0.25">
      <c r="A128" s="1">
        <v>43891.708333333336</v>
      </c>
      <c r="B128" s="2" t="s">
        <v>12</v>
      </c>
      <c r="C128">
        <v>13</v>
      </c>
      <c r="D128" s="2" t="s">
        <v>40</v>
      </c>
      <c r="E128">
        <v>4235122196</v>
      </c>
      <c r="F128">
        <v>1339843823</v>
      </c>
      <c r="G128">
        <v>3</v>
      </c>
      <c r="H128">
        <v>0</v>
      </c>
      <c r="I128">
        <v>3</v>
      </c>
      <c r="J128">
        <v>2</v>
      </c>
      <c r="K128">
        <v>5</v>
      </c>
      <c r="L128">
        <v>3</v>
      </c>
      <c r="M128">
        <v>0</v>
      </c>
      <c r="N128">
        <v>0</v>
      </c>
      <c r="O128">
        <v>5</v>
      </c>
      <c r="P128">
        <v>52</v>
      </c>
    </row>
    <row r="129" spans="1:16" x14ac:dyDescent="0.25">
      <c r="A129" s="1">
        <v>43891.708333333336</v>
      </c>
      <c r="B129" s="2" t="s">
        <v>12</v>
      </c>
      <c r="C129">
        <v>17</v>
      </c>
      <c r="D129" s="2" t="s">
        <v>41</v>
      </c>
      <c r="E129">
        <v>4063947052</v>
      </c>
      <c r="F129">
        <v>1580514834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39</v>
      </c>
    </row>
    <row r="130" spans="1:16" x14ac:dyDescent="0.25">
      <c r="A130" s="1">
        <v>43891.708333333336</v>
      </c>
      <c r="B130" s="2" t="s">
        <v>12</v>
      </c>
      <c r="C130">
        <v>4</v>
      </c>
      <c r="D130" s="2" t="s">
        <v>42</v>
      </c>
      <c r="E130">
        <v>4649933453</v>
      </c>
      <c r="F130">
        <v>1135662422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  <c r="M130">
        <v>0</v>
      </c>
      <c r="N130">
        <v>0</v>
      </c>
      <c r="O130">
        <v>1</v>
      </c>
      <c r="P130">
        <v>20</v>
      </c>
    </row>
    <row r="131" spans="1:16" x14ac:dyDescent="0.25">
      <c r="A131" s="1">
        <v>43891.708333333336</v>
      </c>
      <c r="B131" s="2" t="s">
        <v>12</v>
      </c>
      <c r="C131">
        <v>18</v>
      </c>
      <c r="D131" s="2" t="s">
        <v>43</v>
      </c>
      <c r="E131">
        <v>3890597598</v>
      </c>
      <c r="F131">
        <v>1659440194</v>
      </c>
      <c r="G131">
        <v>0</v>
      </c>
      <c r="H131">
        <v>0</v>
      </c>
      <c r="I131">
        <v>0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1</v>
      </c>
      <c r="P131">
        <v>35</v>
      </c>
    </row>
    <row r="132" spans="1:16" x14ac:dyDescent="0.25">
      <c r="A132" s="1">
        <v>43891.708333333336</v>
      </c>
      <c r="B132" s="2" t="s">
        <v>12</v>
      </c>
      <c r="C132">
        <v>15</v>
      </c>
      <c r="D132" s="2" t="s">
        <v>44</v>
      </c>
      <c r="E132">
        <v>4083956555</v>
      </c>
      <c r="F132">
        <v>1425084984</v>
      </c>
      <c r="G132">
        <v>4</v>
      </c>
      <c r="H132">
        <v>0</v>
      </c>
      <c r="I132">
        <v>4</v>
      </c>
      <c r="J132">
        <v>13</v>
      </c>
      <c r="K132">
        <v>17</v>
      </c>
      <c r="L132">
        <v>4</v>
      </c>
      <c r="M132">
        <v>0</v>
      </c>
      <c r="N132">
        <v>0</v>
      </c>
      <c r="O132">
        <v>17</v>
      </c>
      <c r="P132">
        <v>373</v>
      </c>
    </row>
    <row r="133" spans="1:16" x14ac:dyDescent="0.25">
      <c r="A133" s="1">
        <v>43891.708333333336</v>
      </c>
      <c r="B133" s="2" t="s">
        <v>12</v>
      </c>
      <c r="C133">
        <v>8</v>
      </c>
      <c r="D133" s="2" t="s">
        <v>45</v>
      </c>
      <c r="E133">
        <v>4449436681</v>
      </c>
      <c r="F133">
        <v>113417208</v>
      </c>
      <c r="G133">
        <v>127</v>
      </c>
      <c r="H133">
        <v>13</v>
      </c>
      <c r="I133">
        <v>140</v>
      </c>
      <c r="J133">
        <v>137</v>
      </c>
      <c r="K133">
        <v>277</v>
      </c>
      <c r="L133">
        <v>64</v>
      </c>
      <c r="M133">
        <v>0</v>
      </c>
      <c r="N133">
        <v>8</v>
      </c>
      <c r="O133">
        <v>285</v>
      </c>
      <c r="P133">
        <v>1795</v>
      </c>
    </row>
    <row r="134" spans="1:16" x14ac:dyDescent="0.25">
      <c r="A134" s="1">
        <v>43891.708333333336</v>
      </c>
      <c r="B134" s="2" t="s">
        <v>12</v>
      </c>
      <c r="C134">
        <v>6</v>
      </c>
      <c r="D134" s="2" t="s">
        <v>46</v>
      </c>
      <c r="E134">
        <v>456494354</v>
      </c>
      <c r="F134">
        <v>1376813649</v>
      </c>
      <c r="G134">
        <v>0</v>
      </c>
      <c r="H134">
        <v>0</v>
      </c>
      <c r="I134">
        <v>0</v>
      </c>
      <c r="J134">
        <v>6</v>
      </c>
      <c r="K134">
        <v>6</v>
      </c>
      <c r="L134">
        <v>6</v>
      </c>
      <c r="M134">
        <v>0</v>
      </c>
      <c r="N134">
        <v>0</v>
      </c>
      <c r="O134">
        <v>6</v>
      </c>
      <c r="P134">
        <v>243</v>
      </c>
    </row>
    <row r="135" spans="1:16" x14ac:dyDescent="0.25">
      <c r="A135" s="1">
        <v>43891.708333333336</v>
      </c>
      <c r="B135" s="2" t="s">
        <v>12</v>
      </c>
      <c r="C135">
        <v>12</v>
      </c>
      <c r="D135" s="2" t="s">
        <v>47</v>
      </c>
      <c r="E135">
        <v>4189277044</v>
      </c>
      <c r="F135">
        <v>1248366722</v>
      </c>
      <c r="G135">
        <v>3</v>
      </c>
      <c r="H135">
        <v>0</v>
      </c>
      <c r="I135">
        <v>3</v>
      </c>
      <c r="J135">
        <v>0</v>
      </c>
      <c r="K135">
        <v>3</v>
      </c>
      <c r="L135">
        <v>0</v>
      </c>
      <c r="M135">
        <v>3</v>
      </c>
      <c r="N135">
        <v>0</v>
      </c>
      <c r="O135">
        <v>6</v>
      </c>
      <c r="P135">
        <v>724</v>
      </c>
    </row>
    <row r="136" spans="1:16" x14ac:dyDescent="0.25">
      <c r="A136" s="1">
        <v>43891.708333333336</v>
      </c>
      <c r="B136" s="2" t="s">
        <v>12</v>
      </c>
      <c r="C136">
        <v>7</v>
      </c>
      <c r="D136" s="2" t="s">
        <v>48</v>
      </c>
      <c r="E136">
        <v>4441149315</v>
      </c>
      <c r="F136">
        <v>89326992</v>
      </c>
      <c r="G136">
        <v>12</v>
      </c>
      <c r="H136">
        <v>1</v>
      </c>
      <c r="I136">
        <v>13</v>
      </c>
      <c r="J136">
        <v>8</v>
      </c>
      <c r="K136">
        <v>21</v>
      </c>
      <c r="L136">
        <v>-17</v>
      </c>
      <c r="M136">
        <v>4</v>
      </c>
      <c r="N136">
        <v>0</v>
      </c>
      <c r="O136">
        <v>25</v>
      </c>
      <c r="P136">
        <v>121</v>
      </c>
    </row>
    <row r="137" spans="1:16" x14ac:dyDescent="0.25">
      <c r="A137" s="1">
        <v>43891.708333333336</v>
      </c>
      <c r="B137" s="2" t="s">
        <v>12</v>
      </c>
      <c r="C137">
        <v>3</v>
      </c>
      <c r="D137" s="2" t="s">
        <v>49</v>
      </c>
      <c r="E137">
        <v>4546679409</v>
      </c>
      <c r="F137">
        <v>9190347404</v>
      </c>
      <c r="G137">
        <v>406</v>
      </c>
      <c r="H137">
        <v>106</v>
      </c>
      <c r="I137">
        <v>512</v>
      </c>
      <c r="J137">
        <v>375</v>
      </c>
      <c r="K137">
        <v>887</v>
      </c>
      <c r="L137">
        <v>335</v>
      </c>
      <c r="M137">
        <v>73</v>
      </c>
      <c r="N137">
        <v>24</v>
      </c>
      <c r="O137">
        <v>984</v>
      </c>
      <c r="P137">
        <v>6879</v>
      </c>
    </row>
    <row r="138" spans="1:16" x14ac:dyDescent="0.25">
      <c r="A138" s="1">
        <v>43891.708333333336</v>
      </c>
      <c r="B138" s="2" t="s">
        <v>12</v>
      </c>
      <c r="C138">
        <v>11</v>
      </c>
      <c r="D138" s="2" t="s">
        <v>50</v>
      </c>
      <c r="E138">
        <v>4361675973</v>
      </c>
      <c r="F138">
        <v>135188753</v>
      </c>
      <c r="G138">
        <v>12</v>
      </c>
      <c r="H138">
        <v>5</v>
      </c>
      <c r="I138">
        <v>17</v>
      </c>
      <c r="J138">
        <v>8</v>
      </c>
      <c r="K138">
        <v>25</v>
      </c>
      <c r="L138">
        <v>14</v>
      </c>
      <c r="M138">
        <v>0</v>
      </c>
      <c r="N138">
        <v>0</v>
      </c>
      <c r="O138">
        <v>25</v>
      </c>
      <c r="P138">
        <v>101</v>
      </c>
    </row>
    <row r="139" spans="1:16" x14ac:dyDescent="0.25">
      <c r="A139" s="1">
        <v>43891.708333333336</v>
      </c>
      <c r="B139" s="2" t="s">
        <v>12</v>
      </c>
      <c r="C139">
        <v>14</v>
      </c>
      <c r="D139" s="2" t="s">
        <v>51</v>
      </c>
      <c r="E139">
        <v>4155774754</v>
      </c>
      <c r="F139">
        <v>1465916051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6</v>
      </c>
    </row>
    <row r="140" spans="1:16" x14ac:dyDescent="0.25">
      <c r="A140" s="1">
        <v>43891.708333333336</v>
      </c>
      <c r="B140" s="2" t="s">
        <v>12</v>
      </c>
      <c r="C140">
        <v>1</v>
      </c>
      <c r="D140" s="2" t="s">
        <v>52</v>
      </c>
      <c r="E140">
        <v>450732745</v>
      </c>
      <c r="F140">
        <v>7680687483</v>
      </c>
      <c r="G140">
        <v>11</v>
      </c>
      <c r="H140">
        <v>2</v>
      </c>
      <c r="I140">
        <v>13</v>
      </c>
      <c r="J140">
        <v>36</v>
      </c>
      <c r="K140">
        <v>49</v>
      </c>
      <c r="L140">
        <v>38</v>
      </c>
      <c r="M140">
        <v>0</v>
      </c>
      <c r="N140">
        <v>0</v>
      </c>
      <c r="O140">
        <v>49</v>
      </c>
      <c r="P140">
        <v>362</v>
      </c>
    </row>
    <row r="141" spans="1:16" x14ac:dyDescent="0.25">
      <c r="A141" s="1">
        <v>43891.708333333336</v>
      </c>
      <c r="B141" s="2" t="s">
        <v>12</v>
      </c>
      <c r="C141">
        <v>16</v>
      </c>
      <c r="D141" s="2" t="s">
        <v>53</v>
      </c>
      <c r="E141">
        <v>4112559576</v>
      </c>
      <c r="F141">
        <v>1686736689</v>
      </c>
      <c r="G141">
        <v>1</v>
      </c>
      <c r="H141">
        <v>0</v>
      </c>
      <c r="I141">
        <v>1</v>
      </c>
      <c r="J141">
        <v>2</v>
      </c>
      <c r="K141">
        <v>3</v>
      </c>
      <c r="L141">
        <v>0</v>
      </c>
      <c r="M141">
        <v>0</v>
      </c>
      <c r="N141">
        <v>0</v>
      </c>
      <c r="O141">
        <v>3</v>
      </c>
      <c r="P141">
        <v>262</v>
      </c>
    </row>
    <row r="142" spans="1:16" x14ac:dyDescent="0.25">
      <c r="A142" s="1">
        <v>43891.708333333336</v>
      </c>
      <c r="B142" s="2" t="s">
        <v>12</v>
      </c>
      <c r="C142">
        <v>20</v>
      </c>
      <c r="D142" s="2" t="s">
        <v>54</v>
      </c>
      <c r="E142">
        <v>3921531192</v>
      </c>
      <c r="F142">
        <v>9110616306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29</v>
      </c>
    </row>
    <row r="143" spans="1:16" x14ac:dyDescent="0.25">
      <c r="A143" s="1">
        <v>43891.708333333336</v>
      </c>
      <c r="B143" s="2" t="s">
        <v>12</v>
      </c>
      <c r="C143">
        <v>19</v>
      </c>
      <c r="D143" s="2" t="s">
        <v>55</v>
      </c>
      <c r="E143">
        <v>3811569725</v>
      </c>
      <c r="F143">
        <v>133623567</v>
      </c>
      <c r="G143">
        <v>1</v>
      </c>
      <c r="H143">
        <v>0</v>
      </c>
      <c r="I143">
        <v>1</v>
      </c>
      <c r="J143">
        <v>6</v>
      </c>
      <c r="K143">
        <v>7</v>
      </c>
      <c r="L143">
        <v>5</v>
      </c>
      <c r="M143">
        <v>2</v>
      </c>
      <c r="N143">
        <v>0</v>
      </c>
      <c r="O143">
        <v>9</v>
      </c>
      <c r="P143">
        <v>291</v>
      </c>
    </row>
    <row r="144" spans="1:16" x14ac:dyDescent="0.25">
      <c r="A144" s="1">
        <v>43891.708333333336</v>
      </c>
      <c r="B144" s="2" t="s">
        <v>12</v>
      </c>
      <c r="C144">
        <v>9</v>
      </c>
      <c r="D144" s="2" t="s">
        <v>56</v>
      </c>
      <c r="E144">
        <v>4376923077</v>
      </c>
      <c r="F144">
        <v>1125588885</v>
      </c>
      <c r="G144">
        <v>7</v>
      </c>
      <c r="H144">
        <v>0</v>
      </c>
      <c r="I144">
        <v>7</v>
      </c>
      <c r="J144">
        <v>5</v>
      </c>
      <c r="K144">
        <v>12</v>
      </c>
      <c r="L144">
        <v>2</v>
      </c>
      <c r="M144">
        <v>1</v>
      </c>
      <c r="N144">
        <v>0</v>
      </c>
      <c r="O144">
        <v>13</v>
      </c>
      <c r="P144">
        <v>572</v>
      </c>
    </row>
    <row r="145" spans="1:16" x14ac:dyDescent="0.25">
      <c r="A145" s="1">
        <v>43891.708333333336</v>
      </c>
      <c r="B145" s="2" t="s">
        <v>12</v>
      </c>
      <c r="C145">
        <v>4</v>
      </c>
      <c r="D145" s="2" t="s">
        <v>57</v>
      </c>
      <c r="E145">
        <v>4606893511</v>
      </c>
      <c r="F145">
        <v>1112123097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122</v>
      </c>
    </row>
    <row r="146" spans="1:16" x14ac:dyDescent="0.25">
      <c r="A146" s="1">
        <v>43891.708333333336</v>
      </c>
      <c r="B146" s="2" t="s">
        <v>12</v>
      </c>
      <c r="C146">
        <v>10</v>
      </c>
      <c r="D146" s="2" t="s">
        <v>58</v>
      </c>
      <c r="E146">
        <v>4310675841</v>
      </c>
      <c r="F146">
        <v>1238824698</v>
      </c>
      <c r="G146">
        <v>0</v>
      </c>
      <c r="H146">
        <v>0</v>
      </c>
      <c r="I146">
        <v>0</v>
      </c>
      <c r="J146">
        <v>2</v>
      </c>
      <c r="K146">
        <v>2</v>
      </c>
      <c r="L146">
        <v>2</v>
      </c>
      <c r="M146">
        <v>0</v>
      </c>
      <c r="N146">
        <v>0</v>
      </c>
      <c r="O146">
        <v>2</v>
      </c>
      <c r="P146">
        <v>35</v>
      </c>
    </row>
    <row r="147" spans="1:16" x14ac:dyDescent="0.25">
      <c r="A147" s="1">
        <v>43891.708333333336</v>
      </c>
      <c r="B147" s="2" t="s">
        <v>12</v>
      </c>
      <c r="C147">
        <v>2</v>
      </c>
      <c r="D147" s="2" t="s">
        <v>59</v>
      </c>
      <c r="E147">
        <v>4573750286</v>
      </c>
      <c r="F147">
        <v>7320149366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10</v>
      </c>
    </row>
    <row r="148" spans="1:16" x14ac:dyDescent="0.25">
      <c r="A148" s="1">
        <v>43891.708333333336</v>
      </c>
      <c r="B148" s="2" t="s">
        <v>12</v>
      </c>
      <c r="C148">
        <v>5</v>
      </c>
      <c r="D148" s="2" t="s">
        <v>60</v>
      </c>
      <c r="E148">
        <v>4543490485</v>
      </c>
      <c r="F148">
        <v>1233845213</v>
      </c>
      <c r="G148">
        <v>51</v>
      </c>
      <c r="H148">
        <v>13</v>
      </c>
      <c r="I148">
        <v>64</v>
      </c>
      <c r="J148">
        <v>197</v>
      </c>
      <c r="K148">
        <v>261</v>
      </c>
      <c r="L148">
        <v>72</v>
      </c>
      <c r="M148">
        <v>0</v>
      </c>
      <c r="N148">
        <v>2</v>
      </c>
      <c r="O148">
        <v>263</v>
      </c>
      <c r="P148">
        <v>9056</v>
      </c>
    </row>
    <row r="149" spans="1:16" x14ac:dyDescent="0.25">
      <c r="A149" s="1">
        <v>43892.75</v>
      </c>
      <c r="B149" s="2" t="s">
        <v>12</v>
      </c>
      <c r="C149">
        <v>13</v>
      </c>
      <c r="D149" s="2" t="s">
        <v>40</v>
      </c>
      <c r="E149">
        <v>4235122196</v>
      </c>
      <c r="F149">
        <v>1339843823</v>
      </c>
      <c r="G149">
        <v>3</v>
      </c>
      <c r="H149">
        <v>0</v>
      </c>
      <c r="I149">
        <v>3</v>
      </c>
      <c r="J149">
        <v>2</v>
      </c>
      <c r="K149">
        <v>5</v>
      </c>
      <c r="L149">
        <v>0</v>
      </c>
      <c r="M149">
        <v>0</v>
      </c>
      <c r="N149">
        <v>0</v>
      </c>
      <c r="O149">
        <v>5</v>
      </c>
      <c r="P149">
        <v>52</v>
      </c>
    </row>
    <row r="150" spans="1:16" x14ac:dyDescent="0.25">
      <c r="A150" s="1">
        <v>43892.75</v>
      </c>
      <c r="B150" s="2" t="s">
        <v>12</v>
      </c>
      <c r="C150">
        <v>17</v>
      </c>
      <c r="D150" s="2" t="s">
        <v>41</v>
      </c>
      <c r="E150">
        <v>4063947052</v>
      </c>
      <c r="F150">
        <v>1580514834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39</v>
      </c>
    </row>
    <row r="151" spans="1:16" x14ac:dyDescent="0.25">
      <c r="A151" s="1">
        <v>43892.75</v>
      </c>
      <c r="B151" s="2" t="s">
        <v>12</v>
      </c>
      <c r="C151">
        <v>4</v>
      </c>
      <c r="D151" s="2" t="s">
        <v>42</v>
      </c>
      <c r="E151">
        <v>4649933453</v>
      </c>
      <c r="F151">
        <v>1135662422</v>
      </c>
      <c r="G151">
        <v>1</v>
      </c>
      <c r="H151">
        <v>0</v>
      </c>
      <c r="I151">
        <v>1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1</v>
      </c>
      <c r="P151">
        <v>20</v>
      </c>
    </row>
    <row r="152" spans="1:16" x14ac:dyDescent="0.25">
      <c r="A152" s="1">
        <v>43892.75</v>
      </c>
      <c r="B152" s="2" t="s">
        <v>12</v>
      </c>
      <c r="C152">
        <v>18</v>
      </c>
      <c r="D152" s="2" t="s">
        <v>43</v>
      </c>
      <c r="E152">
        <v>3890597598</v>
      </c>
      <c r="F152">
        <v>1659440194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0</v>
      </c>
      <c r="M152">
        <v>0</v>
      </c>
      <c r="N152">
        <v>0</v>
      </c>
      <c r="O152">
        <v>1</v>
      </c>
      <c r="P152">
        <v>39</v>
      </c>
    </row>
    <row r="153" spans="1:16" x14ac:dyDescent="0.25">
      <c r="A153" s="1">
        <v>43892.75</v>
      </c>
      <c r="B153" s="2" t="s">
        <v>12</v>
      </c>
      <c r="C153">
        <v>15</v>
      </c>
      <c r="D153" s="2" t="s">
        <v>44</v>
      </c>
      <c r="E153">
        <v>4083956555</v>
      </c>
      <c r="F153">
        <v>1425084984</v>
      </c>
      <c r="G153">
        <v>4</v>
      </c>
      <c r="H153">
        <v>0</v>
      </c>
      <c r="I153">
        <v>4</v>
      </c>
      <c r="J153">
        <v>13</v>
      </c>
      <c r="K153">
        <v>17</v>
      </c>
      <c r="L153">
        <v>0</v>
      </c>
      <c r="M153">
        <v>0</v>
      </c>
      <c r="N153">
        <v>0</v>
      </c>
      <c r="O153">
        <v>17</v>
      </c>
      <c r="P153">
        <v>373</v>
      </c>
    </row>
    <row r="154" spans="1:16" x14ac:dyDescent="0.25">
      <c r="A154" s="1">
        <v>43892.75</v>
      </c>
      <c r="B154" s="2" t="s">
        <v>12</v>
      </c>
      <c r="C154">
        <v>8</v>
      </c>
      <c r="D154" s="2" t="s">
        <v>45</v>
      </c>
      <c r="E154">
        <v>4449436681</v>
      </c>
      <c r="F154">
        <v>113417208</v>
      </c>
      <c r="G154">
        <v>148</v>
      </c>
      <c r="H154">
        <v>16</v>
      </c>
      <c r="I154">
        <v>164</v>
      </c>
      <c r="J154">
        <v>160</v>
      </c>
      <c r="K154">
        <v>324</v>
      </c>
      <c r="L154">
        <v>47</v>
      </c>
      <c r="M154">
        <v>0</v>
      </c>
      <c r="N154">
        <v>11</v>
      </c>
      <c r="O154">
        <v>335</v>
      </c>
      <c r="P154">
        <v>1973</v>
      </c>
    </row>
    <row r="155" spans="1:16" x14ac:dyDescent="0.25">
      <c r="A155" s="1">
        <v>43892.75</v>
      </c>
      <c r="B155" s="2" t="s">
        <v>12</v>
      </c>
      <c r="C155">
        <v>6</v>
      </c>
      <c r="D155" s="2" t="s">
        <v>46</v>
      </c>
      <c r="E155">
        <v>456494354</v>
      </c>
      <c r="F155">
        <v>1376813649</v>
      </c>
      <c r="G155">
        <v>0</v>
      </c>
      <c r="H155">
        <v>0</v>
      </c>
      <c r="I155">
        <v>0</v>
      </c>
      <c r="J155">
        <v>9</v>
      </c>
      <c r="K155">
        <v>9</v>
      </c>
      <c r="L155">
        <v>3</v>
      </c>
      <c r="M155">
        <v>0</v>
      </c>
      <c r="N155">
        <v>0</v>
      </c>
      <c r="O155">
        <v>9</v>
      </c>
      <c r="P155">
        <v>269</v>
      </c>
    </row>
    <row r="156" spans="1:16" x14ac:dyDescent="0.25">
      <c r="A156" s="1">
        <v>43892.75</v>
      </c>
      <c r="B156" s="2" t="s">
        <v>12</v>
      </c>
      <c r="C156">
        <v>12</v>
      </c>
      <c r="D156" s="2" t="s">
        <v>47</v>
      </c>
      <c r="E156">
        <v>4189277044</v>
      </c>
      <c r="F156">
        <v>1248366722</v>
      </c>
      <c r="G156">
        <v>3</v>
      </c>
      <c r="H156">
        <v>0</v>
      </c>
      <c r="I156">
        <v>3</v>
      </c>
      <c r="J156">
        <v>1</v>
      </c>
      <c r="K156">
        <v>4</v>
      </c>
      <c r="L156">
        <v>1</v>
      </c>
      <c r="M156">
        <v>3</v>
      </c>
      <c r="N156">
        <v>0</v>
      </c>
      <c r="O156">
        <v>7</v>
      </c>
      <c r="P156">
        <v>773</v>
      </c>
    </row>
    <row r="157" spans="1:16" x14ac:dyDescent="0.25">
      <c r="A157" s="1">
        <v>43892.75</v>
      </c>
      <c r="B157" s="2" t="s">
        <v>12</v>
      </c>
      <c r="C157">
        <v>7</v>
      </c>
      <c r="D157" s="2" t="s">
        <v>48</v>
      </c>
      <c r="E157">
        <v>4441149315</v>
      </c>
      <c r="F157">
        <v>89326992</v>
      </c>
      <c r="G157">
        <v>12</v>
      </c>
      <c r="H157">
        <v>1</v>
      </c>
      <c r="I157">
        <v>13</v>
      </c>
      <c r="J157">
        <v>5</v>
      </c>
      <c r="K157">
        <v>18</v>
      </c>
      <c r="L157">
        <v>-3</v>
      </c>
      <c r="M157">
        <v>4</v>
      </c>
      <c r="N157">
        <v>0</v>
      </c>
      <c r="O157">
        <v>22</v>
      </c>
      <c r="P157">
        <v>121</v>
      </c>
    </row>
    <row r="158" spans="1:16" x14ac:dyDescent="0.25">
      <c r="A158" s="1">
        <v>43892.75</v>
      </c>
      <c r="B158" s="2" t="s">
        <v>12</v>
      </c>
      <c r="C158">
        <v>3</v>
      </c>
      <c r="D158" s="2" t="s">
        <v>49</v>
      </c>
      <c r="E158">
        <v>4546679409</v>
      </c>
      <c r="F158">
        <v>9190347404</v>
      </c>
      <c r="G158">
        <v>478</v>
      </c>
      <c r="H158">
        <v>127</v>
      </c>
      <c r="I158">
        <v>605</v>
      </c>
      <c r="J158">
        <v>472</v>
      </c>
      <c r="K158">
        <v>1077</v>
      </c>
      <c r="L158">
        <v>190</v>
      </c>
      <c r="M158">
        <v>139</v>
      </c>
      <c r="N158">
        <v>38</v>
      </c>
      <c r="O158">
        <v>1254</v>
      </c>
      <c r="P158">
        <v>7925</v>
      </c>
    </row>
    <row r="159" spans="1:16" x14ac:dyDescent="0.25">
      <c r="A159" s="1">
        <v>43892.75</v>
      </c>
      <c r="B159" s="2" t="s">
        <v>12</v>
      </c>
      <c r="C159">
        <v>11</v>
      </c>
      <c r="D159" s="2" t="s">
        <v>50</v>
      </c>
      <c r="E159">
        <v>4361675973</v>
      </c>
      <c r="F159">
        <v>135188753</v>
      </c>
      <c r="G159">
        <v>17</v>
      </c>
      <c r="H159">
        <v>6</v>
      </c>
      <c r="I159">
        <v>23</v>
      </c>
      <c r="J159">
        <v>11</v>
      </c>
      <c r="K159">
        <v>34</v>
      </c>
      <c r="L159">
        <v>9</v>
      </c>
      <c r="M159">
        <v>0</v>
      </c>
      <c r="N159">
        <v>1</v>
      </c>
      <c r="O159">
        <v>35</v>
      </c>
      <c r="P159">
        <v>137</v>
      </c>
    </row>
    <row r="160" spans="1:16" x14ac:dyDescent="0.25">
      <c r="A160" s="1">
        <v>43892.75</v>
      </c>
      <c r="B160" s="2" t="s">
        <v>12</v>
      </c>
      <c r="C160">
        <v>14</v>
      </c>
      <c r="D160" s="2" t="s">
        <v>51</v>
      </c>
      <c r="E160">
        <v>4155774754</v>
      </c>
      <c r="F160">
        <v>1465916051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13</v>
      </c>
    </row>
    <row r="161" spans="1:16" x14ac:dyDescent="0.25">
      <c r="A161" s="1">
        <v>43892.75</v>
      </c>
      <c r="B161" s="2" t="s">
        <v>12</v>
      </c>
      <c r="C161">
        <v>1</v>
      </c>
      <c r="D161" s="2" t="s">
        <v>52</v>
      </c>
      <c r="E161">
        <v>450732745</v>
      </c>
      <c r="F161">
        <v>7680687483</v>
      </c>
      <c r="G161">
        <v>12</v>
      </c>
      <c r="H161">
        <v>2</v>
      </c>
      <c r="I161">
        <v>14</v>
      </c>
      <c r="J161">
        <v>37</v>
      </c>
      <c r="K161">
        <v>51</v>
      </c>
      <c r="L161">
        <v>2</v>
      </c>
      <c r="M161">
        <v>0</v>
      </c>
      <c r="N161">
        <v>0</v>
      </c>
      <c r="O161">
        <v>51</v>
      </c>
      <c r="P161">
        <v>434</v>
      </c>
    </row>
    <row r="162" spans="1:16" x14ac:dyDescent="0.25">
      <c r="A162" s="1">
        <v>43892.75</v>
      </c>
      <c r="B162" s="2" t="s">
        <v>12</v>
      </c>
      <c r="C162">
        <v>16</v>
      </c>
      <c r="D162" s="2" t="s">
        <v>53</v>
      </c>
      <c r="E162">
        <v>4112559576</v>
      </c>
      <c r="F162">
        <v>1686736689</v>
      </c>
      <c r="G162">
        <v>2</v>
      </c>
      <c r="H162">
        <v>0</v>
      </c>
      <c r="I162">
        <v>2</v>
      </c>
      <c r="J162">
        <v>2</v>
      </c>
      <c r="K162">
        <v>4</v>
      </c>
      <c r="L162">
        <v>1</v>
      </c>
      <c r="M162">
        <v>0</v>
      </c>
      <c r="N162">
        <v>0</v>
      </c>
      <c r="O162">
        <v>4</v>
      </c>
      <c r="P162">
        <v>278</v>
      </c>
    </row>
    <row r="163" spans="1:16" x14ac:dyDescent="0.25">
      <c r="A163" s="1">
        <v>43892.75</v>
      </c>
      <c r="B163" s="2" t="s">
        <v>12</v>
      </c>
      <c r="C163">
        <v>20</v>
      </c>
      <c r="D163" s="2" t="s">
        <v>54</v>
      </c>
      <c r="E163">
        <v>3921531192</v>
      </c>
      <c r="F163">
        <v>9110616306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29</v>
      </c>
    </row>
    <row r="164" spans="1:16" x14ac:dyDescent="0.25">
      <c r="A164" s="1">
        <v>43892.75</v>
      </c>
      <c r="B164" s="2" t="s">
        <v>12</v>
      </c>
      <c r="C164">
        <v>19</v>
      </c>
      <c r="D164" s="2" t="s">
        <v>55</v>
      </c>
      <c r="E164">
        <v>3811569725</v>
      </c>
      <c r="F164">
        <v>133623567</v>
      </c>
      <c r="G164">
        <v>2</v>
      </c>
      <c r="H164">
        <v>0</v>
      </c>
      <c r="I164">
        <v>2</v>
      </c>
      <c r="J164">
        <v>3</v>
      </c>
      <c r="K164">
        <v>5</v>
      </c>
      <c r="L164">
        <v>-2</v>
      </c>
      <c r="M164">
        <v>2</v>
      </c>
      <c r="N164">
        <v>0</v>
      </c>
      <c r="O164">
        <v>7</v>
      </c>
      <c r="P164">
        <v>307</v>
      </c>
    </row>
    <row r="165" spans="1:16" x14ac:dyDescent="0.25">
      <c r="A165" s="1">
        <v>43892.75</v>
      </c>
      <c r="B165" s="2" t="s">
        <v>12</v>
      </c>
      <c r="C165">
        <v>9</v>
      </c>
      <c r="D165" s="2" t="s">
        <v>56</v>
      </c>
      <c r="E165">
        <v>4376923077</v>
      </c>
      <c r="F165">
        <v>1125588885</v>
      </c>
      <c r="G165">
        <v>7</v>
      </c>
      <c r="H165">
        <v>0</v>
      </c>
      <c r="I165">
        <v>7</v>
      </c>
      <c r="J165">
        <v>5</v>
      </c>
      <c r="K165">
        <v>12</v>
      </c>
      <c r="L165">
        <v>0</v>
      </c>
      <c r="M165">
        <v>1</v>
      </c>
      <c r="N165">
        <v>0</v>
      </c>
      <c r="O165">
        <v>13</v>
      </c>
      <c r="P165">
        <v>613</v>
      </c>
    </row>
    <row r="166" spans="1:16" x14ac:dyDescent="0.25">
      <c r="A166" s="1">
        <v>43892.75</v>
      </c>
      <c r="B166" s="2" t="s">
        <v>12</v>
      </c>
      <c r="C166">
        <v>4</v>
      </c>
      <c r="D166" s="2" t="s">
        <v>57</v>
      </c>
      <c r="E166">
        <v>4606893511</v>
      </c>
      <c r="F166">
        <v>1112123097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122</v>
      </c>
    </row>
    <row r="167" spans="1:16" x14ac:dyDescent="0.25">
      <c r="A167" s="1">
        <v>43892.75</v>
      </c>
      <c r="B167" s="2" t="s">
        <v>12</v>
      </c>
      <c r="C167">
        <v>10</v>
      </c>
      <c r="D167" s="2" t="s">
        <v>58</v>
      </c>
      <c r="E167">
        <v>4310675841</v>
      </c>
      <c r="F167">
        <v>1238824698</v>
      </c>
      <c r="G167">
        <v>0</v>
      </c>
      <c r="H167">
        <v>0</v>
      </c>
      <c r="I167">
        <v>0</v>
      </c>
      <c r="J167">
        <v>2</v>
      </c>
      <c r="K167">
        <v>2</v>
      </c>
      <c r="L167">
        <v>0</v>
      </c>
      <c r="M167">
        <v>0</v>
      </c>
      <c r="N167">
        <v>0</v>
      </c>
      <c r="O167">
        <v>2</v>
      </c>
      <c r="P167">
        <v>35</v>
      </c>
    </row>
    <row r="168" spans="1:16" x14ac:dyDescent="0.25">
      <c r="A168" s="1">
        <v>43892.75</v>
      </c>
      <c r="B168" s="2" t="s">
        <v>12</v>
      </c>
      <c r="C168">
        <v>2</v>
      </c>
      <c r="D168" s="2" t="s">
        <v>59</v>
      </c>
      <c r="E168">
        <v>4573750286</v>
      </c>
      <c r="F168">
        <v>7320149366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11</v>
      </c>
    </row>
    <row r="169" spans="1:16" x14ac:dyDescent="0.25">
      <c r="A169" s="1">
        <v>43892.75</v>
      </c>
      <c r="B169" s="2" t="s">
        <v>12</v>
      </c>
      <c r="C169">
        <v>5</v>
      </c>
      <c r="D169" s="2" t="s">
        <v>60</v>
      </c>
      <c r="E169">
        <v>4543490485</v>
      </c>
      <c r="F169">
        <v>1233845213</v>
      </c>
      <c r="G169">
        <v>53</v>
      </c>
      <c r="H169">
        <v>14</v>
      </c>
      <c r="I169">
        <v>67</v>
      </c>
      <c r="J169">
        <v>204</v>
      </c>
      <c r="K169">
        <v>271</v>
      </c>
      <c r="L169">
        <v>10</v>
      </c>
      <c r="M169">
        <v>0</v>
      </c>
      <c r="N169">
        <v>2</v>
      </c>
      <c r="O169">
        <v>273</v>
      </c>
      <c r="P169">
        <v>9782</v>
      </c>
    </row>
    <row r="170" spans="1:16" x14ac:dyDescent="0.25">
      <c r="A170" s="1">
        <v>43893.75</v>
      </c>
      <c r="B170" s="2" t="s">
        <v>12</v>
      </c>
      <c r="C170">
        <v>13</v>
      </c>
      <c r="D170" s="2" t="s">
        <v>40</v>
      </c>
      <c r="E170">
        <v>4235122196</v>
      </c>
      <c r="F170">
        <v>1339843823</v>
      </c>
      <c r="G170">
        <v>5</v>
      </c>
      <c r="H170">
        <v>0</v>
      </c>
      <c r="I170">
        <v>5</v>
      </c>
      <c r="J170">
        <v>1</v>
      </c>
      <c r="K170">
        <v>6</v>
      </c>
      <c r="L170">
        <v>1</v>
      </c>
      <c r="M170">
        <v>0</v>
      </c>
      <c r="N170">
        <v>0</v>
      </c>
      <c r="O170">
        <v>6</v>
      </c>
      <c r="P170">
        <v>52</v>
      </c>
    </row>
    <row r="171" spans="1:16" x14ac:dyDescent="0.25">
      <c r="A171" s="1">
        <v>43893.75</v>
      </c>
      <c r="B171" s="2" t="s">
        <v>12</v>
      </c>
      <c r="C171">
        <v>17</v>
      </c>
      <c r="D171" s="2" t="s">
        <v>41</v>
      </c>
      <c r="E171">
        <v>4063947052</v>
      </c>
      <c r="F171">
        <v>1580514834</v>
      </c>
      <c r="G171">
        <v>0</v>
      </c>
      <c r="H171">
        <v>0</v>
      </c>
      <c r="I171">
        <v>0</v>
      </c>
      <c r="J171">
        <v>1</v>
      </c>
      <c r="K171">
        <v>1</v>
      </c>
      <c r="L171">
        <v>1</v>
      </c>
      <c r="M171">
        <v>0</v>
      </c>
      <c r="N171">
        <v>0</v>
      </c>
      <c r="O171">
        <v>1</v>
      </c>
      <c r="P171">
        <v>42</v>
      </c>
    </row>
    <row r="172" spans="1:16" x14ac:dyDescent="0.25">
      <c r="A172" s="1">
        <v>43893.75</v>
      </c>
      <c r="B172" s="2" t="s">
        <v>12</v>
      </c>
      <c r="C172">
        <v>4</v>
      </c>
      <c r="D172" s="2" t="s">
        <v>42</v>
      </c>
      <c r="E172">
        <v>4649933453</v>
      </c>
      <c r="F172">
        <v>1135662422</v>
      </c>
      <c r="G172">
        <v>1</v>
      </c>
      <c r="H172">
        <v>0</v>
      </c>
      <c r="I172">
        <v>1</v>
      </c>
      <c r="J172">
        <v>0</v>
      </c>
      <c r="K172">
        <v>1</v>
      </c>
      <c r="L172">
        <v>0</v>
      </c>
      <c r="M172">
        <v>0</v>
      </c>
      <c r="N172">
        <v>0</v>
      </c>
      <c r="O172">
        <v>1</v>
      </c>
      <c r="P172">
        <v>20</v>
      </c>
    </row>
    <row r="173" spans="1:16" x14ac:dyDescent="0.25">
      <c r="A173" s="1">
        <v>43893.75</v>
      </c>
      <c r="B173" s="2" t="s">
        <v>12</v>
      </c>
      <c r="C173">
        <v>18</v>
      </c>
      <c r="D173" s="2" t="s">
        <v>43</v>
      </c>
      <c r="E173">
        <v>3890597598</v>
      </c>
      <c r="F173">
        <v>1659440194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0</v>
      </c>
      <c r="M173">
        <v>0</v>
      </c>
      <c r="N173">
        <v>0</v>
      </c>
      <c r="O173">
        <v>1</v>
      </c>
      <c r="P173">
        <v>39</v>
      </c>
    </row>
    <row r="174" spans="1:16" x14ac:dyDescent="0.25">
      <c r="A174" s="1">
        <v>43893.75</v>
      </c>
      <c r="B174" s="2" t="s">
        <v>12</v>
      </c>
      <c r="C174">
        <v>15</v>
      </c>
      <c r="D174" s="2" t="s">
        <v>44</v>
      </c>
      <c r="E174">
        <v>4083956555</v>
      </c>
      <c r="F174">
        <v>1425084984</v>
      </c>
      <c r="G174">
        <v>11</v>
      </c>
      <c r="H174">
        <v>0</v>
      </c>
      <c r="I174">
        <v>11</v>
      </c>
      <c r="J174">
        <v>19</v>
      </c>
      <c r="K174">
        <v>30</v>
      </c>
      <c r="L174">
        <v>13</v>
      </c>
      <c r="M174">
        <v>0</v>
      </c>
      <c r="N174">
        <v>0</v>
      </c>
      <c r="O174">
        <v>30</v>
      </c>
      <c r="P174">
        <v>405</v>
      </c>
    </row>
    <row r="175" spans="1:16" x14ac:dyDescent="0.25">
      <c r="A175" s="1">
        <v>43893.75</v>
      </c>
      <c r="B175" s="2" t="s">
        <v>12</v>
      </c>
      <c r="C175">
        <v>8</v>
      </c>
      <c r="D175" s="2" t="s">
        <v>45</v>
      </c>
      <c r="E175">
        <v>4449436681</v>
      </c>
      <c r="F175">
        <v>113417208</v>
      </c>
      <c r="G175">
        <v>187</v>
      </c>
      <c r="H175">
        <v>24</v>
      </c>
      <c r="I175">
        <v>211</v>
      </c>
      <c r="J175">
        <v>187</v>
      </c>
      <c r="K175">
        <v>398</v>
      </c>
      <c r="L175">
        <v>74</v>
      </c>
      <c r="M175">
        <v>4</v>
      </c>
      <c r="N175">
        <v>18</v>
      </c>
      <c r="O175">
        <v>420</v>
      </c>
      <c r="P175">
        <v>2012</v>
      </c>
    </row>
    <row r="176" spans="1:16" x14ac:dyDescent="0.25">
      <c r="A176" s="1">
        <v>43893.75</v>
      </c>
      <c r="B176" s="2" t="s">
        <v>12</v>
      </c>
      <c r="C176">
        <v>6</v>
      </c>
      <c r="D176" s="2" t="s">
        <v>46</v>
      </c>
      <c r="E176">
        <v>456494354</v>
      </c>
      <c r="F176">
        <v>1376813649</v>
      </c>
      <c r="G176">
        <v>1</v>
      </c>
      <c r="H176">
        <v>0</v>
      </c>
      <c r="I176">
        <v>1</v>
      </c>
      <c r="J176">
        <v>12</v>
      </c>
      <c r="K176">
        <v>13</v>
      </c>
      <c r="L176">
        <v>4</v>
      </c>
      <c r="M176">
        <v>0</v>
      </c>
      <c r="N176">
        <v>0</v>
      </c>
      <c r="O176">
        <v>13</v>
      </c>
      <c r="P176">
        <v>354</v>
      </c>
    </row>
    <row r="177" spans="1:16" x14ac:dyDescent="0.25">
      <c r="A177" s="1">
        <v>43893.75</v>
      </c>
      <c r="B177" s="2" t="s">
        <v>12</v>
      </c>
      <c r="C177">
        <v>12</v>
      </c>
      <c r="D177" s="2" t="s">
        <v>47</v>
      </c>
      <c r="E177">
        <v>4189277044</v>
      </c>
      <c r="F177">
        <v>1248366722</v>
      </c>
      <c r="G177">
        <v>10</v>
      </c>
      <c r="H177">
        <v>0</v>
      </c>
      <c r="I177">
        <v>10</v>
      </c>
      <c r="J177">
        <v>1</v>
      </c>
      <c r="K177">
        <v>11</v>
      </c>
      <c r="L177">
        <v>7</v>
      </c>
      <c r="M177">
        <v>3</v>
      </c>
      <c r="N177">
        <v>0</v>
      </c>
      <c r="O177">
        <v>14</v>
      </c>
      <c r="P177">
        <v>877</v>
      </c>
    </row>
    <row r="178" spans="1:16" x14ac:dyDescent="0.25">
      <c r="A178" s="1">
        <v>43893.75</v>
      </c>
      <c r="B178" s="2" t="s">
        <v>12</v>
      </c>
      <c r="C178">
        <v>7</v>
      </c>
      <c r="D178" s="2" t="s">
        <v>48</v>
      </c>
      <c r="E178">
        <v>4441149315</v>
      </c>
      <c r="F178">
        <v>89326992</v>
      </c>
      <c r="G178">
        <v>12</v>
      </c>
      <c r="H178">
        <v>2</v>
      </c>
      <c r="I178">
        <v>14</v>
      </c>
      <c r="J178">
        <v>5</v>
      </c>
      <c r="K178">
        <v>19</v>
      </c>
      <c r="L178">
        <v>1</v>
      </c>
      <c r="M178">
        <v>4</v>
      </c>
      <c r="N178">
        <v>1</v>
      </c>
      <c r="O178">
        <v>24</v>
      </c>
      <c r="P178">
        <v>121</v>
      </c>
    </row>
    <row r="179" spans="1:16" x14ac:dyDescent="0.25">
      <c r="A179" s="1">
        <v>43893.75</v>
      </c>
      <c r="B179" s="2" t="s">
        <v>12</v>
      </c>
      <c r="C179">
        <v>3</v>
      </c>
      <c r="D179" s="2" t="s">
        <v>49</v>
      </c>
      <c r="E179">
        <v>4546679409</v>
      </c>
      <c r="F179">
        <v>9190347404</v>
      </c>
      <c r="G179">
        <v>698</v>
      </c>
      <c r="H179">
        <v>167</v>
      </c>
      <c r="I179">
        <v>865</v>
      </c>
      <c r="J179">
        <v>461</v>
      </c>
      <c r="K179">
        <v>1326</v>
      </c>
      <c r="L179">
        <v>249</v>
      </c>
      <c r="M179">
        <v>139</v>
      </c>
      <c r="N179">
        <v>55</v>
      </c>
      <c r="O179">
        <v>1520</v>
      </c>
      <c r="P179">
        <v>9577</v>
      </c>
    </row>
    <row r="180" spans="1:16" x14ac:dyDescent="0.25">
      <c r="A180" s="1">
        <v>43893.75</v>
      </c>
      <c r="B180" s="2" t="s">
        <v>12</v>
      </c>
      <c r="C180">
        <v>11</v>
      </c>
      <c r="D180" s="2" t="s">
        <v>50</v>
      </c>
      <c r="E180">
        <v>4361675973</v>
      </c>
      <c r="F180">
        <v>135188753</v>
      </c>
      <c r="G180">
        <v>27</v>
      </c>
      <c r="H180">
        <v>13</v>
      </c>
      <c r="I180">
        <v>40</v>
      </c>
      <c r="J180">
        <v>19</v>
      </c>
      <c r="K180">
        <v>59</v>
      </c>
      <c r="L180">
        <v>25</v>
      </c>
      <c r="M180">
        <v>0</v>
      </c>
      <c r="N180">
        <v>2</v>
      </c>
      <c r="O180">
        <v>61</v>
      </c>
      <c r="P180">
        <v>200</v>
      </c>
    </row>
    <row r="181" spans="1:16" x14ac:dyDescent="0.25">
      <c r="A181" s="1">
        <v>43893.75</v>
      </c>
      <c r="B181" s="2" t="s">
        <v>12</v>
      </c>
      <c r="C181">
        <v>14</v>
      </c>
      <c r="D181" s="2" t="s">
        <v>51</v>
      </c>
      <c r="E181">
        <v>4155774754</v>
      </c>
      <c r="F181">
        <v>1465916051</v>
      </c>
      <c r="G181">
        <v>3</v>
      </c>
      <c r="H181">
        <v>0</v>
      </c>
      <c r="I181">
        <v>3</v>
      </c>
      <c r="J181">
        <v>0</v>
      </c>
      <c r="K181">
        <v>3</v>
      </c>
      <c r="L181">
        <v>3</v>
      </c>
      <c r="M181">
        <v>0</v>
      </c>
      <c r="N181">
        <v>0</v>
      </c>
      <c r="O181">
        <v>3</v>
      </c>
      <c r="P181">
        <v>13</v>
      </c>
    </row>
    <row r="182" spans="1:16" x14ac:dyDescent="0.25">
      <c r="A182" s="1">
        <v>43893.75</v>
      </c>
      <c r="B182" s="2" t="s">
        <v>12</v>
      </c>
      <c r="C182">
        <v>1</v>
      </c>
      <c r="D182" s="2" t="s">
        <v>52</v>
      </c>
      <c r="E182">
        <v>450732745</v>
      </c>
      <c r="F182">
        <v>7680687483</v>
      </c>
      <c r="G182">
        <v>13</v>
      </c>
      <c r="H182">
        <v>3</v>
      </c>
      <c r="I182">
        <v>16</v>
      </c>
      <c r="J182">
        <v>40</v>
      </c>
      <c r="K182">
        <v>56</v>
      </c>
      <c r="L182">
        <v>5</v>
      </c>
      <c r="M182">
        <v>0</v>
      </c>
      <c r="N182">
        <v>0</v>
      </c>
      <c r="O182">
        <v>56</v>
      </c>
      <c r="P182">
        <v>458</v>
      </c>
    </row>
    <row r="183" spans="1:16" x14ac:dyDescent="0.25">
      <c r="A183" s="1">
        <v>43893.75</v>
      </c>
      <c r="B183" s="2" t="s">
        <v>12</v>
      </c>
      <c r="C183">
        <v>16</v>
      </c>
      <c r="D183" s="2" t="s">
        <v>53</v>
      </c>
      <c r="E183">
        <v>4112559576</v>
      </c>
      <c r="F183">
        <v>1686736689</v>
      </c>
      <c r="G183">
        <v>2</v>
      </c>
      <c r="H183">
        <v>0</v>
      </c>
      <c r="I183">
        <v>2</v>
      </c>
      <c r="J183">
        <v>4</v>
      </c>
      <c r="K183">
        <v>6</v>
      </c>
      <c r="L183">
        <v>2</v>
      </c>
      <c r="M183">
        <v>0</v>
      </c>
      <c r="N183">
        <v>0</v>
      </c>
      <c r="O183">
        <v>6</v>
      </c>
      <c r="P183">
        <v>298</v>
      </c>
    </row>
    <row r="184" spans="1:16" x14ac:dyDescent="0.25">
      <c r="A184" s="1">
        <v>43893.75</v>
      </c>
      <c r="B184" s="2" t="s">
        <v>12</v>
      </c>
      <c r="C184">
        <v>20</v>
      </c>
      <c r="D184" s="2" t="s">
        <v>54</v>
      </c>
      <c r="E184">
        <v>3921531192</v>
      </c>
      <c r="F184">
        <v>9110616306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1</v>
      </c>
      <c r="P184">
        <v>29</v>
      </c>
    </row>
    <row r="185" spans="1:16" x14ac:dyDescent="0.25">
      <c r="A185" s="1">
        <v>43893.75</v>
      </c>
      <c r="B185" s="2" t="s">
        <v>12</v>
      </c>
      <c r="C185">
        <v>19</v>
      </c>
      <c r="D185" s="2" t="s">
        <v>55</v>
      </c>
      <c r="E185">
        <v>3811569725</v>
      </c>
      <c r="F185">
        <v>133623567</v>
      </c>
      <c r="G185">
        <v>2</v>
      </c>
      <c r="H185">
        <v>0</v>
      </c>
      <c r="I185">
        <v>2</v>
      </c>
      <c r="J185">
        <v>3</v>
      </c>
      <c r="K185">
        <v>5</v>
      </c>
      <c r="L185">
        <v>0</v>
      </c>
      <c r="M185">
        <v>2</v>
      </c>
      <c r="N185">
        <v>0</v>
      </c>
      <c r="O185">
        <v>7</v>
      </c>
      <c r="P185">
        <v>307</v>
      </c>
    </row>
    <row r="186" spans="1:16" x14ac:dyDescent="0.25">
      <c r="A186" s="1">
        <v>43893.75</v>
      </c>
      <c r="B186" s="2" t="s">
        <v>12</v>
      </c>
      <c r="C186">
        <v>9</v>
      </c>
      <c r="D186" s="2" t="s">
        <v>56</v>
      </c>
      <c r="E186">
        <v>4376923077</v>
      </c>
      <c r="F186">
        <v>1125588885</v>
      </c>
      <c r="G186">
        <v>10</v>
      </c>
      <c r="H186">
        <v>0</v>
      </c>
      <c r="I186">
        <v>10</v>
      </c>
      <c r="J186">
        <v>8</v>
      </c>
      <c r="K186">
        <v>18</v>
      </c>
      <c r="L186">
        <v>6</v>
      </c>
      <c r="M186">
        <v>1</v>
      </c>
      <c r="N186">
        <v>0</v>
      </c>
      <c r="O186">
        <v>19</v>
      </c>
      <c r="P186">
        <v>697</v>
      </c>
    </row>
    <row r="187" spans="1:16" x14ac:dyDescent="0.25">
      <c r="A187" s="1">
        <v>43893.75</v>
      </c>
      <c r="B187" s="2" t="s">
        <v>12</v>
      </c>
      <c r="C187">
        <v>4</v>
      </c>
      <c r="D187" s="2" t="s">
        <v>57</v>
      </c>
      <c r="E187">
        <v>4606893511</v>
      </c>
      <c r="F187">
        <v>1112123097</v>
      </c>
      <c r="G187">
        <v>1</v>
      </c>
      <c r="H187">
        <v>0</v>
      </c>
      <c r="I187">
        <v>1</v>
      </c>
      <c r="J187">
        <v>3</v>
      </c>
      <c r="K187">
        <v>4</v>
      </c>
      <c r="L187">
        <v>4</v>
      </c>
      <c r="M187">
        <v>0</v>
      </c>
      <c r="N187">
        <v>0</v>
      </c>
      <c r="O187">
        <v>4</v>
      </c>
      <c r="P187">
        <v>122</v>
      </c>
    </row>
    <row r="188" spans="1:16" x14ac:dyDescent="0.25">
      <c r="A188" s="1">
        <v>43893.75</v>
      </c>
      <c r="B188" s="2" t="s">
        <v>12</v>
      </c>
      <c r="C188">
        <v>10</v>
      </c>
      <c r="D188" s="2" t="s">
        <v>58</v>
      </c>
      <c r="E188">
        <v>4310675841</v>
      </c>
      <c r="F188">
        <v>1238824698</v>
      </c>
      <c r="G188">
        <v>1</v>
      </c>
      <c r="H188">
        <v>1</v>
      </c>
      <c r="I188">
        <v>2</v>
      </c>
      <c r="J188">
        <v>6</v>
      </c>
      <c r="K188">
        <v>8</v>
      </c>
      <c r="L188">
        <v>6</v>
      </c>
      <c r="M188">
        <v>0</v>
      </c>
      <c r="N188">
        <v>0</v>
      </c>
      <c r="O188">
        <v>8</v>
      </c>
      <c r="P188">
        <v>45</v>
      </c>
    </row>
    <row r="189" spans="1:16" x14ac:dyDescent="0.25">
      <c r="A189" s="1">
        <v>43893.75</v>
      </c>
      <c r="B189" s="2" t="s">
        <v>12</v>
      </c>
      <c r="C189">
        <v>2</v>
      </c>
      <c r="D189" s="2" t="s">
        <v>59</v>
      </c>
      <c r="E189">
        <v>4573750286</v>
      </c>
      <c r="F189">
        <v>7320149366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12</v>
      </c>
    </row>
    <row r="190" spans="1:16" x14ac:dyDescent="0.25">
      <c r="A190" s="1">
        <v>43893.75</v>
      </c>
      <c r="B190" s="2" t="s">
        <v>12</v>
      </c>
      <c r="C190">
        <v>5</v>
      </c>
      <c r="D190" s="2" t="s">
        <v>60</v>
      </c>
      <c r="E190">
        <v>4543490485</v>
      </c>
      <c r="F190">
        <v>1233845213</v>
      </c>
      <c r="G190">
        <v>49</v>
      </c>
      <c r="H190">
        <v>19</v>
      </c>
      <c r="I190">
        <v>68</v>
      </c>
      <c r="J190">
        <v>229</v>
      </c>
      <c r="K190">
        <v>297</v>
      </c>
      <c r="L190">
        <v>26</v>
      </c>
      <c r="M190">
        <v>7</v>
      </c>
      <c r="N190">
        <v>3</v>
      </c>
      <c r="O190">
        <v>307</v>
      </c>
      <c r="P190">
        <v>10176</v>
      </c>
    </row>
    <row r="191" spans="1:16" x14ac:dyDescent="0.25">
      <c r="A191" s="1">
        <v>43894.708333333336</v>
      </c>
      <c r="B191" s="2" t="s">
        <v>12</v>
      </c>
      <c r="C191">
        <v>13</v>
      </c>
      <c r="D191" s="2" t="s">
        <v>40</v>
      </c>
      <c r="E191">
        <v>4235122196</v>
      </c>
      <c r="F191">
        <v>1339843823</v>
      </c>
      <c r="G191">
        <v>7</v>
      </c>
      <c r="H191">
        <v>0</v>
      </c>
      <c r="I191">
        <v>7</v>
      </c>
      <c r="J191">
        <v>0</v>
      </c>
      <c r="K191">
        <v>7</v>
      </c>
      <c r="L191">
        <v>1</v>
      </c>
      <c r="M191">
        <v>0</v>
      </c>
      <c r="N191">
        <v>0</v>
      </c>
      <c r="O191">
        <v>7</v>
      </c>
      <c r="P191">
        <v>85</v>
      </c>
    </row>
    <row r="192" spans="1:16" x14ac:dyDescent="0.25">
      <c r="A192" s="1">
        <v>43894.708333333336</v>
      </c>
      <c r="B192" s="2" t="s">
        <v>12</v>
      </c>
      <c r="C192">
        <v>17</v>
      </c>
      <c r="D192" s="2" t="s">
        <v>41</v>
      </c>
      <c r="E192">
        <v>4063947052</v>
      </c>
      <c r="F192">
        <v>1580514834</v>
      </c>
      <c r="G192">
        <v>0</v>
      </c>
      <c r="H192">
        <v>0</v>
      </c>
      <c r="I192">
        <v>0</v>
      </c>
      <c r="J192">
        <v>1</v>
      </c>
      <c r="K192">
        <v>1</v>
      </c>
      <c r="L192">
        <v>0</v>
      </c>
      <c r="M192">
        <v>0</v>
      </c>
      <c r="N192">
        <v>0</v>
      </c>
      <c r="O192">
        <v>1</v>
      </c>
      <c r="P192">
        <v>48</v>
      </c>
    </row>
    <row r="193" spans="1:16" x14ac:dyDescent="0.25">
      <c r="A193" s="1">
        <v>43894.708333333336</v>
      </c>
      <c r="B193" s="2" t="s">
        <v>12</v>
      </c>
      <c r="C193">
        <v>4</v>
      </c>
      <c r="D193" s="2" t="s">
        <v>42</v>
      </c>
      <c r="E193">
        <v>4649933453</v>
      </c>
      <c r="F193">
        <v>1135662422</v>
      </c>
      <c r="G193">
        <v>1</v>
      </c>
      <c r="H193">
        <v>0</v>
      </c>
      <c r="I193">
        <v>1</v>
      </c>
      <c r="J193">
        <v>0</v>
      </c>
      <c r="K193">
        <v>1</v>
      </c>
      <c r="L193">
        <v>0</v>
      </c>
      <c r="M193">
        <v>0</v>
      </c>
      <c r="N193">
        <v>0</v>
      </c>
      <c r="O193">
        <v>1</v>
      </c>
      <c r="P193">
        <v>20</v>
      </c>
    </row>
    <row r="194" spans="1:16" x14ac:dyDescent="0.25">
      <c r="A194" s="1">
        <v>43894.708333333336</v>
      </c>
      <c r="B194" s="2" t="s">
        <v>12</v>
      </c>
      <c r="C194">
        <v>18</v>
      </c>
      <c r="D194" s="2" t="s">
        <v>43</v>
      </c>
      <c r="E194">
        <v>3890597598</v>
      </c>
      <c r="F194">
        <v>1659440194</v>
      </c>
      <c r="G194">
        <v>0</v>
      </c>
      <c r="H194">
        <v>0</v>
      </c>
      <c r="I194">
        <v>0</v>
      </c>
      <c r="J194">
        <v>1</v>
      </c>
      <c r="K194">
        <v>1</v>
      </c>
      <c r="L194">
        <v>0</v>
      </c>
      <c r="M194">
        <v>0</v>
      </c>
      <c r="N194">
        <v>0</v>
      </c>
      <c r="O194">
        <v>1</v>
      </c>
      <c r="P194">
        <v>46</v>
      </c>
    </row>
    <row r="195" spans="1:16" x14ac:dyDescent="0.25">
      <c r="A195" s="1">
        <v>43894.708333333336</v>
      </c>
      <c r="B195" s="2" t="s">
        <v>12</v>
      </c>
      <c r="C195">
        <v>15</v>
      </c>
      <c r="D195" s="2" t="s">
        <v>44</v>
      </c>
      <c r="E195">
        <v>4083956555</v>
      </c>
      <c r="F195">
        <v>1425084984</v>
      </c>
      <c r="G195">
        <v>11</v>
      </c>
      <c r="H195">
        <v>0</v>
      </c>
      <c r="I195">
        <v>11</v>
      </c>
      <c r="J195">
        <v>20</v>
      </c>
      <c r="K195">
        <v>31</v>
      </c>
      <c r="L195">
        <v>1</v>
      </c>
      <c r="M195">
        <v>0</v>
      </c>
      <c r="N195">
        <v>0</v>
      </c>
      <c r="O195">
        <v>31</v>
      </c>
      <c r="P195">
        <v>429</v>
      </c>
    </row>
    <row r="196" spans="1:16" x14ac:dyDescent="0.25">
      <c r="A196" s="1">
        <v>43894.708333333336</v>
      </c>
      <c r="B196" s="2" t="s">
        <v>12</v>
      </c>
      <c r="C196">
        <v>8</v>
      </c>
      <c r="D196" s="2" t="s">
        <v>45</v>
      </c>
      <c r="E196">
        <v>4449436681</v>
      </c>
      <c r="F196">
        <v>113417208</v>
      </c>
      <c r="G196">
        <v>256</v>
      </c>
      <c r="H196">
        <v>26</v>
      </c>
      <c r="I196">
        <v>282</v>
      </c>
      <c r="J196">
        <v>234</v>
      </c>
      <c r="K196">
        <v>516</v>
      </c>
      <c r="L196">
        <v>118</v>
      </c>
      <c r="M196">
        <v>6</v>
      </c>
      <c r="N196">
        <v>22</v>
      </c>
      <c r="O196">
        <v>544</v>
      </c>
      <c r="P196">
        <v>2500</v>
      </c>
    </row>
    <row r="197" spans="1:16" x14ac:dyDescent="0.25">
      <c r="A197" s="1">
        <v>43894.708333333336</v>
      </c>
      <c r="B197" s="2" t="s">
        <v>12</v>
      </c>
      <c r="C197">
        <v>6</v>
      </c>
      <c r="D197" s="2" t="s">
        <v>46</v>
      </c>
      <c r="E197">
        <v>456494354</v>
      </c>
      <c r="F197">
        <v>1376813649</v>
      </c>
      <c r="G197">
        <v>3</v>
      </c>
      <c r="H197">
        <v>0</v>
      </c>
      <c r="I197">
        <v>3</v>
      </c>
      <c r="J197">
        <v>15</v>
      </c>
      <c r="K197">
        <v>18</v>
      </c>
      <c r="L197">
        <v>5</v>
      </c>
      <c r="M197">
        <v>0</v>
      </c>
      <c r="N197">
        <v>0</v>
      </c>
      <c r="O197">
        <v>18</v>
      </c>
      <c r="P197">
        <v>376</v>
      </c>
    </row>
    <row r="198" spans="1:16" x14ac:dyDescent="0.25">
      <c r="A198" s="1">
        <v>43894.708333333336</v>
      </c>
      <c r="B198" s="2" t="s">
        <v>12</v>
      </c>
      <c r="C198">
        <v>12</v>
      </c>
      <c r="D198" s="2" t="s">
        <v>47</v>
      </c>
      <c r="E198">
        <v>4189277044</v>
      </c>
      <c r="F198">
        <v>1248366722</v>
      </c>
      <c r="G198">
        <v>15</v>
      </c>
      <c r="H198">
        <v>3</v>
      </c>
      <c r="I198">
        <v>18</v>
      </c>
      <c r="J198">
        <v>9</v>
      </c>
      <c r="K198">
        <v>27</v>
      </c>
      <c r="L198">
        <v>16</v>
      </c>
      <c r="M198">
        <v>3</v>
      </c>
      <c r="N198">
        <v>0</v>
      </c>
      <c r="O198">
        <v>30</v>
      </c>
      <c r="P198">
        <v>995</v>
      </c>
    </row>
    <row r="199" spans="1:16" x14ac:dyDescent="0.25">
      <c r="A199" s="1">
        <v>43894.708333333336</v>
      </c>
      <c r="B199" s="2" t="s">
        <v>12</v>
      </c>
      <c r="C199">
        <v>7</v>
      </c>
      <c r="D199" s="2" t="s">
        <v>48</v>
      </c>
      <c r="E199">
        <v>4441149315</v>
      </c>
      <c r="F199">
        <v>89326992</v>
      </c>
      <c r="G199">
        <v>10</v>
      </c>
      <c r="H199">
        <v>3</v>
      </c>
      <c r="I199">
        <v>13</v>
      </c>
      <c r="J199">
        <v>8</v>
      </c>
      <c r="K199">
        <v>21</v>
      </c>
      <c r="L199">
        <v>2</v>
      </c>
      <c r="M199">
        <v>4</v>
      </c>
      <c r="N199">
        <v>1</v>
      </c>
      <c r="O199">
        <v>26</v>
      </c>
      <c r="P199">
        <v>133</v>
      </c>
    </row>
    <row r="200" spans="1:16" x14ac:dyDescent="0.25">
      <c r="A200" s="1">
        <v>43894.708333333336</v>
      </c>
      <c r="B200" s="2" t="s">
        <v>12</v>
      </c>
      <c r="C200">
        <v>3</v>
      </c>
      <c r="D200" s="2" t="s">
        <v>49</v>
      </c>
      <c r="E200">
        <v>4546679409</v>
      </c>
      <c r="F200">
        <v>9190347404</v>
      </c>
      <c r="G200">
        <v>877</v>
      </c>
      <c r="H200">
        <v>209</v>
      </c>
      <c r="I200">
        <v>1086</v>
      </c>
      <c r="J200">
        <v>411</v>
      </c>
      <c r="K200">
        <v>1497</v>
      </c>
      <c r="L200">
        <v>171</v>
      </c>
      <c r="M200">
        <v>250</v>
      </c>
      <c r="N200">
        <v>73</v>
      </c>
      <c r="O200">
        <v>1820</v>
      </c>
      <c r="P200">
        <v>12138</v>
      </c>
    </row>
    <row r="201" spans="1:16" x14ac:dyDescent="0.25">
      <c r="A201" s="1">
        <v>43894.708333333336</v>
      </c>
      <c r="B201" s="2" t="s">
        <v>12</v>
      </c>
      <c r="C201">
        <v>11</v>
      </c>
      <c r="D201" s="2" t="s">
        <v>50</v>
      </c>
      <c r="E201">
        <v>4361675973</v>
      </c>
      <c r="F201">
        <v>135188753</v>
      </c>
      <c r="G201">
        <v>34</v>
      </c>
      <c r="H201">
        <v>15</v>
      </c>
      <c r="I201">
        <v>49</v>
      </c>
      <c r="J201">
        <v>31</v>
      </c>
      <c r="K201">
        <v>80</v>
      </c>
      <c r="L201">
        <v>21</v>
      </c>
      <c r="M201">
        <v>0</v>
      </c>
      <c r="N201">
        <v>4</v>
      </c>
      <c r="O201">
        <v>84</v>
      </c>
      <c r="P201">
        <v>288</v>
      </c>
    </row>
    <row r="202" spans="1:16" x14ac:dyDescent="0.25">
      <c r="A202" s="1">
        <v>43894.708333333336</v>
      </c>
      <c r="B202" s="2" t="s">
        <v>12</v>
      </c>
      <c r="C202">
        <v>14</v>
      </c>
      <c r="D202" s="2" t="s">
        <v>51</v>
      </c>
      <c r="E202">
        <v>4155774754</v>
      </c>
      <c r="F202">
        <v>1465916051</v>
      </c>
      <c r="G202">
        <v>3</v>
      </c>
      <c r="H202">
        <v>0</v>
      </c>
      <c r="I202">
        <v>3</v>
      </c>
      <c r="J202">
        <v>0</v>
      </c>
      <c r="K202">
        <v>3</v>
      </c>
      <c r="L202">
        <v>0</v>
      </c>
      <c r="M202">
        <v>0</v>
      </c>
      <c r="N202">
        <v>0</v>
      </c>
      <c r="O202">
        <v>3</v>
      </c>
      <c r="P202">
        <v>19</v>
      </c>
    </row>
    <row r="203" spans="1:16" x14ac:dyDescent="0.25">
      <c r="A203" s="1">
        <v>43894.708333333336</v>
      </c>
      <c r="B203" s="2" t="s">
        <v>12</v>
      </c>
      <c r="C203">
        <v>1</v>
      </c>
      <c r="D203" s="2" t="s">
        <v>52</v>
      </c>
      <c r="E203">
        <v>450732745</v>
      </c>
      <c r="F203">
        <v>7680687483</v>
      </c>
      <c r="G203">
        <v>26</v>
      </c>
      <c r="H203">
        <v>13</v>
      </c>
      <c r="I203">
        <v>39</v>
      </c>
      <c r="J203">
        <v>43</v>
      </c>
      <c r="K203">
        <v>82</v>
      </c>
      <c r="L203">
        <v>26</v>
      </c>
      <c r="M203">
        <v>0</v>
      </c>
      <c r="N203">
        <v>0</v>
      </c>
      <c r="O203">
        <v>82</v>
      </c>
      <c r="P203">
        <v>543</v>
      </c>
    </row>
    <row r="204" spans="1:16" x14ac:dyDescent="0.25">
      <c r="A204" s="1">
        <v>43894.708333333336</v>
      </c>
      <c r="B204" s="2" t="s">
        <v>12</v>
      </c>
      <c r="C204">
        <v>16</v>
      </c>
      <c r="D204" s="2" t="s">
        <v>53</v>
      </c>
      <c r="E204">
        <v>4112559576</v>
      </c>
      <c r="F204">
        <v>1686736689</v>
      </c>
      <c r="G204">
        <v>4</v>
      </c>
      <c r="H204">
        <v>0</v>
      </c>
      <c r="I204">
        <v>4</v>
      </c>
      <c r="J204">
        <v>3</v>
      </c>
      <c r="K204">
        <v>7</v>
      </c>
      <c r="L204">
        <v>1</v>
      </c>
      <c r="M204">
        <v>1</v>
      </c>
      <c r="N204">
        <v>1</v>
      </c>
      <c r="O204">
        <v>9</v>
      </c>
      <c r="P204">
        <v>322</v>
      </c>
    </row>
    <row r="205" spans="1:16" x14ac:dyDescent="0.25">
      <c r="A205" s="1">
        <v>43894.708333333336</v>
      </c>
      <c r="B205" s="2" t="s">
        <v>12</v>
      </c>
      <c r="C205">
        <v>20</v>
      </c>
      <c r="D205" s="2" t="s">
        <v>54</v>
      </c>
      <c r="E205">
        <v>3921531192</v>
      </c>
      <c r="F205">
        <v>9110616306</v>
      </c>
      <c r="G205">
        <v>1</v>
      </c>
      <c r="H205">
        <v>0</v>
      </c>
      <c r="I205">
        <v>1</v>
      </c>
      <c r="J205">
        <v>1</v>
      </c>
      <c r="K205">
        <v>2</v>
      </c>
      <c r="L205">
        <v>1</v>
      </c>
      <c r="M205">
        <v>0</v>
      </c>
      <c r="N205">
        <v>0</v>
      </c>
      <c r="O205">
        <v>2</v>
      </c>
      <c r="P205">
        <v>42</v>
      </c>
    </row>
    <row r="206" spans="1:16" x14ac:dyDescent="0.25">
      <c r="A206" s="1">
        <v>43894.708333333336</v>
      </c>
      <c r="B206" s="2" t="s">
        <v>12</v>
      </c>
      <c r="C206">
        <v>19</v>
      </c>
      <c r="D206" s="2" t="s">
        <v>55</v>
      </c>
      <c r="E206">
        <v>3811569725</v>
      </c>
      <c r="F206">
        <v>133623567</v>
      </c>
      <c r="G206">
        <v>5</v>
      </c>
      <c r="H206">
        <v>0</v>
      </c>
      <c r="I206">
        <v>5</v>
      </c>
      <c r="J206">
        <v>11</v>
      </c>
      <c r="K206">
        <v>16</v>
      </c>
      <c r="L206">
        <v>11</v>
      </c>
      <c r="M206">
        <v>2</v>
      </c>
      <c r="N206">
        <v>0</v>
      </c>
      <c r="O206">
        <v>18</v>
      </c>
      <c r="P206">
        <v>367</v>
      </c>
    </row>
    <row r="207" spans="1:16" x14ac:dyDescent="0.25">
      <c r="A207" s="1">
        <v>43894.708333333336</v>
      </c>
      <c r="B207" s="2" t="s">
        <v>12</v>
      </c>
      <c r="C207">
        <v>9</v>
      </c>
      <c r="D207" s="2" t="s">
        <v>56</v>
      </c>
      <c r="E207">
        <v>4376923077</v>
      </c>
      <c r="F207">
        <v>1125588885</v>
      </c>
      <c r="G207">
        <v>15</v>
      </c>
      <c r="H207">
        <v>2</v>
      </c>
      <c r="I207">
        <v>17</v>
      </c>
      <c r="J207">
        <v>20</v>
      </c>
      <c r="K207">
        <v>37</v>
      </c>
      <c r="L207">
        <v>19</v>
      </c>
      <c r="M207">
        <v>1</v>
      </c>
      <c r="N207">
        <v>0</v>
      </c>
      <c r="O207">
        <v>38</v>
      </c>
      <c r="P207">
        <v>776</v>
      </c>
    </row>
    <row r="208" spans="1:16" x14ac:dyDescent="0.25">
      <c r="A208" s="1">
        <v>43894.708333333336</v>
      </c>
      <c r="B208" s="2" t="s">
        <v>12</v>
      </c>
      <c r="C208">
        <v>4</v>
      </c>
      <c r="D208" s="2" t="s">
        <v>57</v>
      </c>
      <c r="E208">
        <v>4606893511</v>
      </c>
      <c r="F208">
        <v>1112123097</v>
      </c>
      <c r="G208">
        <v>1</v>
      </c>
      <c r="H208">
        <v>0</v>
      </c>
      <c r="I208">
        <v>1</v>
      </c>
      <c r="J208">
        <v>4</v>
      </c>
      <c r="K208">
        <v>5</v>
      </c>
      <c r="L208">
        <v>1</v>
      </c>
      <c r="M208">
        <v>0</v>
      </c>
      <c r="N208">
        <v>0</v>
      </c>
      <c r="O208">
        <v>5</v>
      </c>
      <c r="P208">
        <v>122</v>
      </c>
    </row>
    <row r="209" spans="1:16" x14ac:dyDescent="0.25">
      <c r="A209" s="1">
        <v>43894.708333333336</v>
      </c>
      <c r="B209" s="2" t="s">
        <v>12</v>
      </c>
      <c r="C209">
        <v>10</v>
      </c>
      <c r="D209" s="2" t="s">
        <v>58</v>
      </c>
      <c r="E209">
        <v>4310675841</v>
      </c>
      <c r="F209">
        <v>1238824698</v>
      </c>
      <c r="G209">
        <v>1</v>
      </c>
      <c r="H209">
        <v>1</v>
      </c>
      <c r="I209">
        <v>2</v>
      </c>
      <c r="J209">
        <v>7</v>
      </c>
      <c r="K209">
        <v>9</v>
      </c>
      <c r="L209">
        <v>1</v>
      </c>
      <c r="M209">
        <v>0</v>
      </c>
      <c r="N209">
        <v>0</v>
      </c>
      <c r="O209">
        <v>9</v>
      </c>
      <c r="P209">
        <v>58</v>
      </c>
    </row>
    <row r="210" spans="1:16" x14ac:dyDescent="0.25">
      <c r="A210" s="1">
        <v>43894.708333333336</v>
      </c>
      <c r="B210" s="2" t="s">
        <v>12</v>
      </c>
      <c r="C210">
        <v>2</v>
      </c>
      <c r="D210" s="2" t="s">
        <v>59</v>
      </c>
      <c r="E210">
        <v>4573750286</v>
      </c>
      <c r="F210">
        <v>7320149366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15</v>
      </c>
    </row>
    <row r="211" spans="1:16" x14ac:dyDescent="0.25">
      <c r="A211" s="1">
        <v>43894.708333333336</v>
      </c>
      <c r="B211" s="2" t="s">
        <v>12</v>
      </c>
      <c r="C211">
        <v>5</v>
      </c>
      <c r="D211" s="2" t="s">
        <v>60</v>
      </c>
      <c r="E211">
        <v>4543490485</v>
      </c>
      <c r="F211">
        <v>1233845213</v>
      </c>
      <c r="G211">
        <v>76</v>
      </c>
      <c r="H211">
        <v>23</v>
      </c>
      <c r="I211">
        <v>99</v>
      </c>
      <c r="J211">
        <v>246</v>
      </c>
      <c r="K211">
        <v>345</v>
      </c>
      <c r="L211">
        <v>48</v>
      </c>
      <c r="M211">
        <v>9</v>
      </c>
      <c r="N211">
        <v>6</v>
      </c>
      <c r="O211">
        <v>360</v>
      </c>
      <c r="P211">
        <v>10515</v>
      </c>
    </row>
    <row r="212" spans="1:16" x14ac:dyDescent="0.25">
      <c r="A212" s="1">
        <v>43895.708333333336</v>
      </c>
      <c r="B212" s="2" t="s">
        <v>12</v>
      </c>
      <c r="C212">
        <v>13</v>
      </c>
      <c r="D212" s="2" t="s">
        <v>40</v>
      </c>
      <c r="E212">
        <v>4235122196</v>
      </c>
      <c r="F212">
        <v>1339843823</v>
      </c>
      <c r="G212">
        <v>8</v>
      </c>
      <c r="H212">
        <v>0</v>
      </c>
      <c r="I212">
        <v>8</v>
      </c>
      <c r="J212">
        <v>0</v>
      </c>
      <c r="K212">
        <v>8</v>
      </c>
      <c r="L212">
        <v>1</v>
      </c>
      <c r="M212">
        <v>0</v>
      </c>
      <c r="N212">
        <v>0</v>
      </c>
      <c r="O212">
        <v>8</v>
      </c>
      <c r="P212">
        <v>96</v>
      </c>
    </row>
    <row r="213" spans="1:16" x14ac:dyDescent="0.25">
      <c r="A213" s="1">
        <v>43895.708333333336</v>
      </c>
      <c r="B213" s="2" t="s">
        <v>12</v>
      </c>
      <c r="C213">
        <v>17</v>
      </c>
      <c r="D213" s="2" t="s">
        <v>41</v>
      </c>
      <c r="E213">
        <v>4063947052</v>
      </c>
      <c r="F213">
        <v>1580514834</v>
      </c>
      <c r="G213">
        <v>0</v>
      </c>
      <c r="H213">
        <v>0</v>
      </c>
      <c r="I213">
        <v>0</v>
      </c>
      <c r="J213">
        <v>1</v>
      </c>
      <c r="K213">
        <v>1</v>
      </c>
      <c r="L213">
        <v>0</v>
      </c>
      <c r="M213">
        <v>0</v>
      </c>
      <c r="N213">
        <v>0</v>
      </c>
      <c r="O213">
        <v>1</v>
      </c>
      <c r="P213">
        <v>54</v>
      </c>
    </row>
    <row r="214" spans="1:16" x14ac:dyDescent="0.25">
      <c r="A214" s="1">
        <v>43895.708333333336</v>
      </c>
      <c r="B214" s="2" t="s">
        <v>12</v>
      </c>
      <c r="C214">
        <v>4</v>
      </c>
      <c r="D214" s="2" t="s">
        <v>42</v>
      </c>
      <c r="E214">
        <v>4649933453</v>
      </c>
      <c r="F214">
        <v>1135662422</v>
      </c>
      <c r="G214">
        <v>1</v>
      </c>
      <c r="H214">
        <v>0</v>
      </c>
      <c r="I214">
        <v>1</v>
      </c>
      <c r="J214">
        <v>0</v>
      </c>
      <c r="K214">
        <v>1</v>
      </c>
      <c r="L214">
        <v>0</v>
      </c>
      <c r="M214">
        <v>0</v>
      </c>
      <c r="N214">
        <v>0</v>
      </c>
      <c r="O214">
        <v>1</v>
      </c>
      <c r="P214">
        <v>20</v>
      </c>
    </row>
    <row r="215" spans="1:16" x14ac:dyDescent="0.25">
      <c r="A215" s="1">
        <v>43895.708333333336</v>
      </c>
      <c r="B215" s="2" t="s">
        <v>12</v>
      </c>
      <c r="C215">
        <v>18</v>
      </c>
      <c r="D215" s="2" t="s">
        <v>43</v>
      </c>
      <c r="E215">
        <v>3890597598</v>
      </c>
      <c r="F215">
        <v>1659440194</v>
      </c>
      <c r="G215">
        <v>1</v>
      </c>
      <c r="H215">
        <v>0</v>
      </c>
      <c r="I215">
        <v>1</v>
      </c>
      <c r="J215">
        <v>1</v>
      </c>
      <c r="K215">
        <v>2</v>
      </c>
      <c r="L215">
        <v>1</v>
      </c>
      <c r="M215">
        <v>0</v>
      </c>
      <c r="N215">
        <v>0</v>
      </c>
      <c r="O215">
        <v>2</v>
      </c>
      <c r="P215">
        <v>53</v>
      </c>
    </row>
    <row r="216" spans="1:16" x14ac:dyDescent="0.25">
      <c r="A216" s="1">
        <v>43895.708333333336</v>
      </c>
      <c r="B216" s="2" t="s">
        <v>12</v>
      </c>
      <c r="C216">
        <v>15</v>
      </c>
      <c r="D216" s="2" t="s">
        <v>44</v>
      </c>
      <c r="E216">
        <v>4083956555</v>
      </c>
      <c r="F216">
        <v>1425084984</v>
      </c>
      <c r="G216">
        <v>12</v>
      </c>
      <c r="H216">
        <v>0</v>
      </c>
      <c r="I216">
        <v>12</v>
      </c>
      <c r="J216">
        <v>33</v>
      </c>
      <c r="K216">
        <v>45</v>
      </c>
      <c r="L216">
        <v>14</v>
      </c>
      <c r="M216">
        <v>0</v>
      </c>
      <c r="N216">
        <v>0</v>
      </c>
      <c r="O216">
        <v>45</v>
      </c>
      <c r="P216">
        <v>471</v>
      </c>
    </row>
    <row r="217" spans="1:16" x14ac:dyDescent="0.25">
      <c r="A217" s="1">
        <v>43895.708333333336</v>
      </c>
      <c r="B217" s="2" t="s">
        <v>12</v>
      </c>
      <c r="C217">
        <v>8</v>
      </c>
      <c r="D217" s="2" t="s">
        <v>45</v>
      </c>
      <c r="E217">
        <v>4449436681</v>
      </c>
      <c r="F217">
        <v>113417208</v>
      </c>
      <c r="G217">
        <v>327</v>
      </c>
      <c r="H217">
        <v>32</v>
      </c>
      <c r="I217">
        <v>359</v>
      </c>
      <c r="J217">
        <v>299</v>
      </c>
      <c r="K217">
        <v>658</v>
      </c>
      <c r="L217">
        <v>142</v>
      </c>
      <c r="M217">
        <v>10</v>
      </c>
      <c r="N217">
        <v>30</v>
      </c>
      <c r="O217">
        <v>698</v>
      </c>
      <c r="P217">
        <v>2884</v>
      </c>
    </row>
    <row r="218" spans="1:16" x14ac:dyDescent="0.25">
      <c r="A218" s="1">
        <v>43895.708333333336</v>
      </c>
      <c r="B218" s="2" t="s">
        <v>12</v>
      </c>
      <c r="C218">
        <v>6</v>
      </c>
      <c r="D218" s="2" t="s">
        <v>46</v>
      </c>
      <c r="E218">
        <v>456494354</v>
      </c>
      <c r="F218">
        <v>1376813649</v>
      </c>
      <c r="G218">
        <v>4</v>
      </c>
      <c r="H218">
        <v>0</v>
      </c>
      <c r="I218">
        <v>4</v>
      </c>
      <c r="J218">
        <v>17</v>
      </c>
      <c r="K218">
        <v>21</v>
      </c>
      <c r="L218">
        <v>3</v>
      </c>
      <c r="M218">
        <v>0</v>
      </c>
      <c r="N218">
        <v>0</v>
      </c>
      <c r="O218">
        <v>21</v>
      </c>
      <c r="P218">
        <v>397</v>
      </c>
    </row>
    <row r="219" spans="1:16" x14ac:dyDescent="0.25">
      <c r="A219" s="1">
        <v>43895.708333333336</v>
      </c>
      <c r="B219" s="2" t="s">
        <v>12</v>
      </c>
      <c r="C219">
        <v>12</v>
      </c>
      <c r="D219" s="2" t="s">
        <v>47</v>
      </c>
      <c r="E219">
        <v>4189277044</v>
      </c>
      <c r="F219">
        <v>1248366722</v>
      </c>
      <c r="G219">
        <v>20</v>
      </c>
      <c r="H219">
        <v>7</v>
      </c>
      <c r="I219">
        <v>27</v>
      </c>
      <c r="J219">
        <v>14</v>
      </c>
      <c r="K219">
        <v>41</v>
      </c>
      <c r="L219">
        <v>14</v>
      </c>
      <c r="M219">
        <v>3</v>
      </c>
      <c r="N219">
        <v>0</v>
      </c>
      <c r="O219">
        <v>44</v>
      </c>
      <c r="P219">
        <v>1175</v>
      </c>
    </row>
    <row r="220" spans="1:16" x14ac:dyDescent="0.25">
      <c r="A220" s="1">
        <v>43895.708333333336</v>
      </c>
      <c r="B220" s="2" t="s">
        <v>12</v>
      </c>
      <c r="C220">
        <v>7</v>
      </c>
      <c r="D220" s="2" t="s">
        <v>48</v>
      </c>
      <c r="E220">
        <v>4441149315</v>
      </c>
      <c r="F220">
        <v>89326992</v>
      </c>
      <c r="G220">
        <v>11</v>
      </c>
      <c r="H220">
        <v>3</v>
      </c>
      <c r="I220">
        <v>14</v>
      </c>
      <c r="J220">
        <v>7</v>
      </c>
      <c r="K220">
        <v>21</v>
      </c>
      <c r="L220">
        <v>0</v>
      </c>
      <c r="M220">
        <v>4</v>
      </c>
      <c r="N220">
        <v>3</v>
      </c>
      <c r="O220">
        <v>28</v>
      </c>
      <c r="P220">
        <v>146</v>
      </c>
    </row>
    <row r="221" spans="1:16" x14ac:dyDescent="0.25">
      <c r="A221" s="1">
        <v>43895.708333333336</v>
      </c>
      <c r="B221" s="2" t="s">
        <v>12</v>
      </c>
      <c r="C221">
        <v>3</v>
      </c>
      <c r="D221" s="2" t="s">
        <v>49</v>
      </c>
      <c r="E221">
        <v>4546679409</v>
      </c>
      <c r="F221">
        <v>9190347404</v>
      </c>
      <c r="G221">
        <v>1169</v>
      </c>
      <c r="H221">
        <v>244</v>
      </c>
      <c r="I221">
        <v>1413</v>
      </c>
      <c r="J221">
        <v>364</v>
      </c>
      <c r="K221">
        <v>1777</v>
      </c>
      <c r="L221">
        <v>280</v>
      </c>
      <c r="M221">
        <v>376</v>
      </c>
      <c r="N221">
        <v>98</v>
      </c>
      <c r="O221">
        <v>2251</v>
      </c>
      <c r="P221">
        <v>12354</v>
      </c>
    </row>
    <row r="222" spans="1:16" x14ac:dyDescent="0.25">
      <c r="A222" s="1">
        <v>43895.708333333336</v>
      </c>
      <c r="B222" s="2" t="s">
        <v>12</v>
      </c>
      <c r="C222">
        <v>11</v>
      </c>
      <c r="D222" s="2" t="s">
        <v>50</v>
      </c>
      <c r="E222">
        <v>4361675973</v>
      </c>
      <c r="F222">
        <v>135188753</v>
      </c>
      <c r="G222">
        <v>57</v>
      </c>
      <c r="H222">
        <v>19</v>
      </c>
      <c r="I222">
        <v>76</v>
      </c>
      <c r="J222">
        <v>44</v>
      </c>
      <c r="K222">
        <v>120</v>
      </c>
      <c r="L222">
        <v>40</v>
      </c>
      <c r="M222">
        <v>0</v>
      </c>
      <c r="N222">
        <v>4</v>
      </c>
      <c r="O222">
        <v>124</v>
      </c>
      <c r="P222">
        <v>413</v>
      </c>
    </row>
    <row r="223" spans="1:16" x14ac:dyDescent="0.25">
      <c r="A223" s="1">
        <v>43895.708333333336</v>
      </c>
      <c r="B223" s="2" t="s">
        <v>12</v>
      </c>
      <c r="C223">
        <v>14</v>
      </c>
      <c r="D223" s="2" t="s">
        <v>51</v>
      </c>
      <c r="E223">
        <v>4155774754</v>
      </c>
      <c r="F223">
        <v>1465916051</v>
      </c>
      <c r="G223">
        <v>4</v>
      </c>
      <c r="H223">
        <v>0</v>
      </c>
      <c r="I223">
        <v>4</v>
      </c>
      <c r="J223">
        <v>3</v>
      </c>
      <c r="K223">
        <v>7</v>
      </c>
      <c r="L223">
        <v>4</v>
      </c>
      <c r="M223">
        <v>0</v>
      </c>
      <c r="N223">
        <v>0</v>
      </c>
      <c r="O223">
        <v>7</v>
      </c>
      <c r="P223">
        <v>24</v>
      </c>
    </row>
    <row r="224" spans="1:16" x14ac:dyDescent="0.25">
      <c r="A224" s="1">
        <v>43895.708333333336</v>
      </c>
      <c r="B224" s="2" t="s">
        <v>12</v>
      </c>
      <c r="C224">
        <v>1</v>
      </c>
      <c r="D224" s="2" t="s">
        <v>52</v>
      </c>
      <c r="E224">
        <v>450732745</v>
      </c>
      <c r="F224">
        <v>7680687483</v>
      </c>
      <c r="G224">
        <v>43</v>
      </c>
      <c r="H224">
        <v>17</v>
      </c>
      <c r="I224">
        <v>60</v>
      </c>
      <c r="J224">
        <v>46</v>
      </c>
      <c r="K224">
        <v>106</v>
      </c>
      <c r="L224">
        <v>24</v>
      </c>
      <c r="M224">
        <v>0</v>
      </c>
      <c r="N224">
        <v>2</v>
      </c>
      <c r="O224">
        <v>108</v>
      </c>
      <c r="P224">
        <v>543</v>
      </c>
    </row>
    <row r="225" spans="1:16" x14ac:dyDescent="0.25">
      <c r="A225" s="1">
        <v>43895.708333333336</v>
      </c>
      <c r="B225" s="2" t="s">
        <v>12</v>
      </c>
      <c r="C225">
        <v>16</v>
      </c>
      <c r="D225" s="2" t="s">
        <v>53</v>
      </c>
      <c r="E225">
        <v>4112559576</v>
      </c>
      <c r="F225">
        <v>1686736689</v>
      </c>
      <c r="G225">
        <v>5</v>
      </c>
      <c r="H225">
        <v>1</v>
      </c>
      <c r="I225">
        <v>6</v>
      </c>
      <c r="J225">
        <v>6</v>
      </c>
      <c r="K225">
        <v>12</v>
      </c>
      <c r="L225">
        <v>5</v>
      </c>
      <c r="M225">
        <v>1</v>
      </c>
      <c r="N225">
        <v>1</v>
      </c>
      <c r="O225">
        <v>14</v>
      </c>
      <c r="P225">
        <v>359</v>
      </c>
    </row>
    <row r="226" spans="1:16" x14ac:dyDescent="0.25">
      <c r="A226" s="1">
        <v>43895.708333333336</v>
      </c>
      <c r="B226" s="2" t="s">
        <v>12</v>
      </c>
      <c r="C226">
        <v>20</v>
      </c>
      <c r="D226" s="2" t="s">
        <v>54</v>
      </c>
      <c r="E226">
        <v>3921531192</v>
      </c>
      <c r="F226">
        <v>9110616306</v>
      </c>
      <c r="G226">
        <v>2</v>
      </c>
      <c r="H226">
        <v>0</v>
      </c>
      <c r="I226">
        <v>2</v>
      </c>
      <c r="J226">
        <v>0</v>
      </c>
      <c r="K226">
        <v>2</v>
      </c>
      <c r="L226">
        <v>0</v>
      </c>
      <c r="M226">
        <v>0</v>
      </c>
      <c r="N226">
        <v>0</v>
      </c>
      <c r="O226">
        <v>2</v>
      </c>
      <c r="P226">
        <v>50</v>
      </c>
    </row>
    <row r="227" spans="1:16" x14ac:dyDescent="0.25">
      <c r="A227" s="1">
        <v>43895.708333333336</v>
      </c>
      <c r="B227" s="2" t="s">
        <v>12</v>
      </c>
      <c r="C227">
        <v>19</v>
      </c>
      <c r="D227" s="2" t="s">
        <v>55</v>
      </c>
      <c r="E227">
        <v>3811569725</v>
      </c>
      <c r="F227">
        <v>133623567</v>
      </c>
      <c r="G227">
        <v>5</v>
      </c>
      <c r="H227">
        <v>0</v>
      </c>
      <c r="I227">
        <v>5</v>
      </c>
      <c r="J227">
        <v>11</v>
      </c>
      <c r="K227">
        <v>16</v>
      </c>
      <c r="L227">
        <v>0</v>
      </c>
      <c r="M227">
        <v>2</v>
      </c>
      <c r="N227">
        <v>0</v>
      </c>
      <c r="O227">
        <v>18</v>
      </c>
      <c r="P227">
        <v>367</v>
      </c>
    </row>
    <row r="228" spans="1:16" x14ac:dyDescent="0.25">
      <c r="A228" s="1">
        <v>43895.708333333336</v>
      </c>
      <c r="B228" s="2" t="s">
        <v>12</v>
      </c>
      <c r="C228">
        <v>9</v>
      </c>
      <c r="D228" s="2" t="s">
        <v>56</v>
      </c>
      <c r="E228">
        <v>4376923077</v>
      </c>
      <c r="F228">
        <v>1125588885</v>
      </c>
      <c r="G228">
        <v>26</v>
      </c>
      <c r="H228">
        <v>3</v>
      </c>
      <c r="I228">
        <v>29</v>
      </c>
      <c r="J228">
        <v>31</v>
      </c>
      <c r="K228">
        <v>60</v>
      </c>
      <c r="L228">
        <v>23</v>
      </c>
      <c r="M228">
        <v>1</v>
      </c>
      <c r="N228">
        <v>0</v>
      </c>
      <c r="O228">
        <v>61</v>
      </c>
      <c r="P228">
        <v>776</v>
      </c>
    </row>
    <row r="229" spans="1:16" x14ac:dyDescent="0.25">
      <c r="A229" s="1">
        <v>43895.708333333336</v>
      </c>
      <c r="B229" s="2" t="s">
        <v>12</v>
      </c>
      <c r="C229">
        <v>4</v>
      </c>
      <c r="D229" s="2" t="s">
        <v>57</v>
      </c>
      <c r="E229">
        <v>4606893511</v>
      </c>
      <c r="F229">
        <v>1112123097</v>
      </c>
      <c r="G229">
        <v>2</v>
      </c>
      <c r="H229">
        <v>0</v>
      </c>
      <c r="I229">
        <v>2</v>
      </c>
      <c r="J229">
        <v>5</v>
      </c>
      <c r="K229">
        <v>7</v>
      </c>
      <c r="L229">
        <v>2</v>
      </c>
      <c r="M229">
        <v>0</v>
      </c>
      <c r="N229">
        <v>0</v>
      </c>
      <c r="O229">
        <v>7</v>
      </c>
      <c r="P229">
        <v>122</v>
      </c>
    </row>
    <row r="230" spans="1:16" x14ac:dyDescent="0.25">
      <c r="A230" s="1">
        <v>43895.708333333336</v>
      </c>
      <c r="B230" s="2" t="s">
        <v>12</v>
      </c>
      <c r="C230">
        <v>10</v>
      </c>
      <c r="D230" s="2" t="s">
        <v>58</v>
      </c>
      <c r="E230">
        <v>4310675841</v>
      </c>
      <c r="F230">
        <v>1238824698</v>
      </c>
      <c r="G230">
        <v>1</v>
      </c>
      <c r="H230">
        <v>1</v>
      </c>
      <c r="I230">
        <v>2</v>
      </c>
      <c r="J230">
        <v>7</v>
      </c>
      <c r="K230">
        <v>9</v>
      </c>
      <c r="L230">
        <v>0</v>
      </c>
      <c r="M230">
        <v>0</v>
      </c>
      <c r="N230">
        <v>0</v>
      </c>
      <c r="O230">
        <v>9</v>
      </c>
      <c r="P230">
        <v>88</v>
      </c>
    </row>
    <row r="231" spans="1:16" x14ac:dyDescent="0.25">
      <c r="A231" s="1">
        <v>43895.708333333336</v>
      </c>
      <c r="B231" s="2" t="s">
        <v>12</v>
      </c>
      <c r="C231">
        <v>2</v>
      </c>
      <c r="D231" s="2" t="s">
        <v>59</v>
      </c>
      <c r="E231">
        <v>4573750286</v>
      </c>
      <c r="F231">
        <v>7320149366</v>
      </c>
      <c r="G231">
        <v>0</v>
      </c>
      <c r="H231">
        <v>0</v>
      </c>
      <c r="I231">
        <v>0</v>
      </c>
      <c r="J231">
        <v>2</v>
      </c>
      <c r="K231">
        <v>2</v>
      </c>
      <c r="L231">
        <v>2</v>
      </c>
      <c r="M231">
        <v>0</v>
      </c>
      <c r="N231">
        <v>0</v>
      </c>
      <c r="O231">
        <v>2</v>
      </c>
      <c r="P231">
        <v>21</v>
      </c>
    </row>
    <row r="232" spans="1:16" x14ac:dyDescent="0.25">
      <c r="A232" s="1">
        <v>43895.708333333336</v>
      </c>
      <c r="B232" s="2" t="s">
        <v>12</v>
      </c>
      <c r="C232">
        <v>5</v>
      </c>
      <c r="D232" s="2" t="s">
        <v>60</v>
      </c>
      <c r="E232">
        <v>4543490485</v>
      </c>
      <c r="F232">
        <v>1233845213</v>
      </c>
      <c r="G232">
        <v>92</v>
      </c>
      <c r="H232">
        <v>24</v>
      </c>
      <c r="I232">
        <v>116</v>
      </c>
      <c r="J232">
        <v>264</v>
      </c>
      <c r="K232">
        <v>380</v>
      </c>
      <c r="L232">
        <v>35</v>
      </c>
      <c r="M232">
        <v>17</v>
      </c>
      <c r="N232">
        <v>10</v>
      </c>
      <c r="O232">
        <v>407</v>
      </c>
      <c r="P232">
        <v>11949</v>
      </c>
    </row>
    <row r="233" spans="1:16" x14ac:dyDescent="0.25">
      <c r="A233" s="1">
        <v>43896.708333333336</v>
      </c>
      <c r="B233" s="2" t="s">
        <v>12</v>
      </c>
      <c r="C233">
        <v>13</v>
      </c>
      <c r="D233" s="2" t="s">
        <v>40</v>
      </c>
      <c r="E233">
        <v>4235122196</v>
      </c>
      <c r="F233">
        <v>1339843823</v>
      </c>
      <c r="G233">
        <v>9</v>
      </c>
      <c r="H233">
        <v>0</v>
      </c>
      <c r="I233">
        <v>9</v>
      </c>
      <c r="J233">
        <v>0</v>
      </c>
      <c r="K233">
        <v>9</v>
      </c>
      <c r="L233">
        <v>1</v>
      </c>
      <c r="M233">
        <v>0</v>
      </c>
      <c r="N233">
        <v>0</v>
      </c>
      <c r="O233">
        <v>9</v>
      </c>
      <c r="P233">
        <v>96</v>
      </c>
    </row>
    <row r="234" spans="1:16" x14ac:dyDescent="0.25">
      <c r="A234" s="1">
        <v>43896.708333333336</v>
      </c>
      <c r="B234" s="2" t="s">
        <v>12</v>
      </c>
      <c r="C234">
        <v>17</v>
      </c>
      <c r="D234" s="2" t="s">
        <v>41</v>
      </c>
      <c r="E234">
        <v>4063947052</v>
      </c>
      <c r="F234">
        <v>1580514834</v>
      </c>
      <c r="G234">
        <v>1</v>
      </c>
      <c r="H234">
        <v>0</v>
      </c>
      <c r="I234">
        <v>1</v>
      </c>
      <c r="J234">
        <v>2</v>
      </c>
      <c r="K234">
        <v>3</v>
      </c>
      <c r="L234">
        <v>2</v>
      </c>
      <c r="M234">
        <v>0</v>
      </c>
      <c r="N234">
        <v>0</v>
      </c>
      <c r="O234">
        <v>3</v>
      </c>
      <c r="P234">
        <v>63</v>
      </c>
    </row>
    <row r="235" spans="1:16" x14ac:dyDescent="0.25">
      <c r="A235" s="1">
        <v>43896.708333333336</v>
      </c>
      <c r="B235" s="2" t="s">
        <v>12</v>
      </c>
      <c r="C235">
        <v>4</v>
      </c>
      <c r="D235" s="2" t="s">
        <v>42</v>
      </c>
      <c r="E235">
        <v>4649933453</v>
      </c>
      <c r="F235">
        <v>1135662422</v>
      </c>
      <c r="G235">
        <v>4</v>
      </c>
      <c r="H235">
        <v>0</v>
      </c>
      <c r="I235">
        <v>4</v>
      </c>
      <c r="J235">
        <v>0</v>
      </c>
      <c r="K235">
        <v>4</v>
      </c>
      <c r="L235">
        <v>3</v>
      </c>
      <c r="M235">
        <v>0</v>
      </c>
      <c r="N235">
        <v>0</v>
      </c>
      <c r="O235">
        <v>4</v>
      </c>
      <c r="P235">
        <v>36</v>
      </c>
    </row>
    <row r="236" spans="1:16" x14ac:dyDescent="0.25">
      <c r="A236" s="1">
        <v>43896.708333333336</v>
      </c>
      <c r="B236" s="2" t="s">
        <v>12</v>
      </c>
      <c r="C236">
        <v>18</v>
      </c>
      <c r="D236" s="2" t="s">
        <v>43</v>
      </c>
      <c r="E236">
        <v>3890597598</v>
      </c>
      <c r="F236">
        <v>1659440194</v>
      </c>
      <c r="G236">
        <v>2</v>
      </c>
      <c r="H236">
        <v>0</v>
      </c>
      <c r="I236">
        <v>2</v>
      </c>
      <c r="J236">
        <v>2</v>
      </c>
      <c r="K236">
        <v>4</v>
      </c>
      <c r="L236">
        <v>2</v>
      </c>
      <c r="M236">
        <v>0</v>
      </c>
      <c r="N236">
        <v>0</v>
      </c>
      <c r="O236">
        <v>4</v>
      </c>
      <c r="P236">
        <v>99</v>
      </c>
    </row>
    <row r="237" spans="1:16" x14ac:dyDescent="0.25">
      <c r="A237" s="1">
        <v>43896.708333333336</v>
      </c>
      <c r="B237" s="2" t="s">
        <v>12</v>
      </c>
      <c r="C237">
        <v>15</v>
      </c>
      <c r="D237" s="2" t="s">
        <v>44</v>
      </c>
      <c r="E237">
        <v>4083956555</v>
      </c>
      <c r="F237">
        <v>1425084984</v>
      </c>
      <c r="G237">
        <v>12</v>
      </c>
      <c r="H237">
        <v>0</v>
      </c>
      <c r="I237">
        <v>12</v>
      </c>
      <c r="J237">
        <v>45</v>
      </c>
      <c r="K237">
        <v>57</v>
      </c>
      <c r="L237">
        <v>12</v>
      </c>
      <c r="M237">
        <v>0</v>
      </c>
      <c r="N237">
        <v>0</v>
      </c>
      <c r="O237">
        <v>57</v>
      </c>
      <c r="P237">
        <v>471</v>
      </c>
    </row>
    <row r="238" spans="1:16" x14ac:dyDescent="0.25">
      <c r="A238" s="1">
        <v>43896.708333333336</v>
      </c>
      <c r="B238" s="2" t="s">
        <v>12</v>
      </c>
      <c r="C238">
        <v>8</v>
      </c>
      <c r="D238" s="2" t="s">
        <v>45</v>
      </c>
      <c r="E238">
        <v>4449436681</v>
      </c>
      <c r="F238">
        <v>113417208</v>
      </c>
      <c r="G238">
        <v>397</v>
      </c>
      <c r="H238">
        <v>53</v>
      </c>
      <c r="I238">
        <v>450</v>
      </c>
      <c r="J238">
        <v>366</v>
      </c>
      <c r="K238">
        <v>816</v>
      </c>
      <c r="L238">
        <v>158</v>
      </c>
      <c r="M238">
        <v>17</v>
      </c>
      <c r="N238">
        <v>37</v>
      </c>
      <c r="O238">
        <v>870</v>
      </c>
      <c r="P238">
        <v>3136</v>
      </c>
    </row>
    <row r="239" spans="1:16" x14ac:dyDescent="0.25">
      <c r="A239" s="1">
        <v>43896.708333333336</v>
      </c>
      <c r="B239" s="2" t="s">
        <v>12</v>
      </c>
      <c r="C239">
        <v>6</v>
      </c>
      <c r="D239" s="2" t="s">
        <v>46</v>
      </c>
      <c r="E239">
        <v>456494354</v>
      </c>
      <c r="F239">
        <v>1376813649</v>
      </c>
      <c r="G239">
        <v>4</v>
      </c>
      <c r="H239">
        <v>0</v>
      </c>
      <c r="I239">
        <v>4</v>
      </c>
      <c r="J239">
        <v>24</v>
      </c>
      <c r="K239">
        <v>28</v>
      </c>
      <c r="L239">
        <v>7</v>
      </c>
      <c r="M239">
        <v>3</v>
      </c>
      <c r="N239">
        <v>0</v>
      </c>
      <c r="O239">
        <v>31</v>
      </c>
      <c r="P239">
        <v>577</v>
      </c>
    </row>
    <row r="240" spans="1:16" x14ac:dyDescent="0.25">
      <c r="A240" s="1">
        <v>43896.708333333336</v>
      </c>
      <c r="B240" s="2" t="s">
        <v>12</v>
      </c>
      <c r="C240">
        <v>12</v>
      </c>
      <c r="D240" s="2" t="s">
        <v>47</v>
      </c>
      <c r="E240">
        <v>4189277044</v>
      </c>
      <c r="F240">
        <v>1248366722</v>
      </c>
      <c r="G240">
        <v>26</v>
      </c>
      <c r="H240">
        <v>8</v>
      </c>
      <c r="I240">
        <v>34</v>
      </c>
      <c r="J240">
        <v>16</v>
      </c>
      <c r="K240">
        <v>50</v>
      </c>
      <c r="L240">
        <v>9</v>
      </c>
      <c r="M240">
        <v>3</v>
      </c>
      <c r="N240">
        <v>1</v>
      </c>
      <c r="O240">
        <v>54</v>
      </c>
      <c r="P240">
        <v>1373</v>
      </c>
    </row>
    <row r="241" spans="1:16" x14ac:dyDescent="0.25">
      <c r="A241" s="1">
        <v>43896.708333333336</v>
      </c>
      <c r="B241" s="2" t="s">
        <v>12</v>
      </c>
      <c r="C241">
        <v>7</v>
      </c>
      <c r="D241" s="2" t="s">
        <v>48</v>
      </c>
      <c r="E241">
        <v>4441149315</v>
      </c>
      <c r="F241">
        <v>89326992</v>
      </c>
      <c r="G241">
        <v>12</v>
      </c>
      <c r="H241">
        <v>5</v>
      </c>
      <c r="I241">
        <v>17</v>
      </c>
      <c r="J241">
        <v>7</v>
      </c>
      <c r="K241">
        <v>24</v>
      </c>
      <c r="L241">
        <v>3</v>
      </c>
      <c r="M241">
        <v>5</v>
      </c>
      <c r="N241">
        <v>3</v>
      </c>
      <c r="O241">
        <v>32</v>
      </c>
      <c r="P241">
        <v>229</v>
      </c>
    </row>
    <row r="242" spans="1:16" x14ac:dyDescent="0.25">
      <c r="A242" s="1">
        <v>43896.708333333336</v>
      </c>
      <c r="B242" s="2" t="s">
        <v>12</v>
      </c>
      <c r="C242">
        <v>3</v>
      </c>
      <c r="D242" s="2" t="s">
        <v>49</v>
      </c>
      <c r="E242">
        <v>4546679409</v>
      </c>
      <c r="F242">
        <v>9190347404</v>
      </c>
      <c r="G242">
        <v>1622</v>
      </c>
      <c r="H242">
        <v>309</v>
      </c>
      <c r="I242">
        <v>1931</v>
      </c>
      <c r="J242">
        <v>77</v>
      </c>
      <c r="K242">
        <v>2008</v>
      </c>
      <c r="L242">
        <v>231</v>
      </c>
      <c r="M242">
        <v>469</v>
      </c>
      <c r="N242">
        <v>135</v>
      </c>
      <c r="O242">
        <v>2612</v>
      </c>
      <c r="P242">
        <v>13556</v>
      </c>
    </row>
    <row r="243" spans="1:16" x14ac:dyDescent="0.25">
      <c r="A243" s="1">
        <v>43896.708333333336</v>
      </c>
      <c r="B243" s="2" t="s">
        <v>12</v>
      </c>
      <c r="C243">
        <v>11</v>
      </c>
      <c r="D243" s="2" t="s">
        <v>50</v>
      </c>
      <c r="E243">
        <v>4361675973</v>
      </c>
      <c r="F243">
        <v>135188753</v>
      </c>
      <c r="G243">
        <v>73</v>
      </c>
      <c r="H243">
        <v>20</v>
      </c>
      <c r="I243">
        <v>93</v>
      </c>
      <c r="J243">
        <v>62</v>
      </c>
      <c r="K243">
        <v>155</v>
      </c>
      <c r="L243">
        <v>35</v>
      </c>
      <c r="M243">
        <v>0</v>
      </c>
      <c r="N243">
        <v>4</v>
      </c>
      <c r="O243">
        <v>159</v>
      </c>
      <c r="P243">
        <v>585</v>
      </c>
    </row>
    <row r="244" spans="1:16" x14ac:dyDescent="0.25">
      <c r="A244" s="1">
        <v>43896.708333333336</v>
      </c>
      <c r="B244" s="2" t="s">
        <v>12</v>
      </c>
      <c r="C244">
        <v>14</v>
      </c>
      <c r="D244" s="2" t="s">
        <v>51</v>
      </c>
      <c r="E244">
        <v>4155774754</v>
      </c>
      <c r="F244">
        <v>1465916051</v>
      </c>
      <c r="G244">
        <v>3</v>
      </c>
      <c r="H244">
        <v>2</v>
      </c>
      <c r="I244">
        <v>5</v>
      </c>
      <c r="J244">
        <v>7</v>
      </c>
      <c r="K244">
        <v>12</v>
      </c>
      <c r="L244">
        <v>5</v>
      </c>
      <c r="M244">
        <v>0</v>
      </c>
      <c r="N244">
        <v>0</v>
      </c>
      <c r="O244">
        <v>12</v>
      </c>
      <c r="P244">
        <v>104</v>
      </c>
    </row>
    <row r="245" spans="1:16" x14ac:dyDescent="0.25">
      <c r="A245" s="1">
        <v>43896.708333333336</v>
      </c>
      <c r="B245" s="2" t="s">
        <v>12</v>
      </c>
      <c r="C245">
        <v>1</v>
      </c>
      <c r="D245" s="2" t="s">
        <v>52</v>
      </c>
      <c r="E245">
        <v>450732745</v>
      </c>
      <c r="F245">
        <v>7680687483</v>
      </c>
      <c r="G245">
        <v>57</v>
      </c>
      <c r="H245">
        <v>30</v>
      </c>
      <c r="I245">
        <v>87</v>
      </c>
      <c r="J245">
        <v>52</v>
      </c>
      <c r="K245">
        <v>139</v>
      </c>
      <c r="L245">
        <v>33</v>
      </c>
      <c r="M245">
        <v>0</v>
      </c>
      <c r="N245">
        <v>4</v>
      </c>
      <c r="O245">
        <v>143</v>
      </c>
      <c r="P245">
        <v>793</v>
      </c>
    </row>
    <row r="246" spans="1:16" x14ac:dyDescent="0.25">
      <c r="A246" s="1">
        <v>43896.708333333336</v>
      </c>
      <c r="B246" s="2" t="s">
        <v>12</v>
      </c>
      <c r="C246">
        <v>16</v>
      </c>
      <c r="D246" s="2" t="s">
        <v>53</v>
      </c>
      <c r="E246">
        <v>4112559576</v>
      </c>
      <c r="F246">
        <v>1686736689</v>
      </c>
      <c r="G246">
        <v>5</v>
      </c>
      <c r="H246">
        <v>1</v>
      </c>
      <c r="I246">
        <v>6</v>
      </c>
      <c r="J246">
        <v>9</v>
      </c>
      <c r="K246">
        <v>15</v>
      </c>
      <c r="L246">
        <v>3</v>
      </c>
      <c r="M246">
        <v>1</v>
      </c>
      <c r="N246">
        <v>1</v>
      </c>
      <c r="O246">
        <v>17</v>
      </c>
      <c r="P246">
        <v>395</v>
      </c>
    </row>
    <row r="247" spans="1:16" x14ac:dyDescent="0.25">
      <c r="A247" s="1">
        <v>43896.708333333336</v>
      </c>
      <c r="B247" s="2" t="s">
        <v>12</v>
      </c>
      <c r="C247">
        <v>20</v>
      </c>
      <c r="D247" s="2" t="s">
        <v>54</v>
      </c>
      <c r="E247">
        <v>3921531192</v>
      </c>
      <c r="F247">
        <v>9110616306</v>
      </c>
      <c r="G247">
        <v>2</v>
      </c>
      <c r="H247">
        <v>0</v>
      </c>
      <c r="I247">
        <v>2</v>
      </c>
      <c r="J247">
        <v>3</v>
      </c>
      <c r="K247">
        <v>5</v>
      </c>
      <c r="L247">
        <v>3</v>
      </c>
      <c r="M247">
        <v>0</v>
      </c>
      <c r="N247">
        <v>0</v>
      </c>
      <c r="O247">
        <v>5</v>
      </c>
      <c r="P247">
        <v>99</v>
      </c>
    </row>
    <row r="248" spans="1:16" x14ac:dyDescent="0.25">
      <c r="A248" s="1">
        <v>43896.708333333336</v>
      </c>
      <c r="B248" s="2" t="s">
        <v>12</v>
      </c>
      <c r="C248">
        <v>19</v>
      </c>
      <c r="D248" s="2" t="s">
        <v>55</v>
      </c>
      <c r="E248">
        <v>3811569725</v>
      </c>
      <c r="F248">
        <v>133623567</v>
      </c>
      <c r="G248">
        <v>7</v>
      </c>
      <c r="H248">
        <v>0</v>
      </c>
      <c r="I248">
        <v>7</v>
      </c>
      <c r="J248">
        <v>15</v>
      </c>
      <c r="K248">
        <v>22</v>
      </c>
      <c r="L248">
        <v>6</v>
      </c>
      <c r="M248">
        <v>2</v>
      </c>
      <c r="N248">
        <v>0</v>
      </c>
      <c r="O248">
        <v>24</v>
      </c>
      <c r="P248">
        <v>367</v>
      </c>
    </row>
    <row r="249" spans="1:16" x14ac:dyDescent="0.25">
      <c r="A249" s="1">
        <v>43896.708333333336</v>
      </c>
      <c r="B249" s="2" t="s">
        <v>12</v>
      </c>
      <c r="C249">
        <v>9</v>
      </c>
      <c r="D249" s="2" t="s">
        <v>56</v>
      </c>
      <c r="E249">
        <v>4376923077</v>
      </c>
      <c r="F249">
        <v>1125588885</v>
      </c>
      <c r="G249">
        <v>35</v>
      </c>
      <c r="H249">
        <v>5</v>
      </c>
      <c r="I249">
        <v>40</v>
      </c>
      <c r="J249">
        <v>38</v>
      </c>
      <c r="K249">
        <v>78</v>
      </c>
      <c r="L249">
        <v>18</v>
      </c>
      <c r="M249">
        <v>1</v>
      </c>
      <c r="N249">
        <v>0</v>
      </c>
      <c r="O249">
        <v>79</v>
      </c>
      <c r="P249">
        <v>1097</v>
      </c>
    </row>
    <row r="250" spans="1:16" x14ac:dyDescent="0.25">
      <c r="A250" s="1">
        <v>43896.708333333336</v>
      </c>
      <c r="B250" s="2" t="s">
        <v>12</v>
      </c>
      <c r="C250">
        <v>4</v>
      </c>
      <c r="D250" s="2" t="s">
        <v>57</v>
      </c>
      <c r="E250">
        <v>4606893511</v>
      </c>
      <c r="F250">
        <v>1112123097</v>
      </c>
      <c r="G250">
        <v>4</v>
      </c>
      <c r="H250">
        <v>0</v>
      </c>
      <c r="I250">
        <v>4</v>
      </c>
      <c r="J250">
        <v>6</v>
      </c>
      <c r="K250">
        <v>10</v>
      </c>
      <c r="L250">
        <v>3</v>
      </c>
      <c r="M250">
        <v>0</v>
      </c>
      <c r="N250">
        <v>0</v>
      </c>
      <c r="O250">
        <v>10</v>
      </c>
      <c r="P250">
        <v>122</v>
      </c>
    </row>
    <row r="251" spans="1:16" x14ac:dyDescent="0.25">
      <c r="A251" s="1">
        <v>43896.708333333336</v>
      </c>
      <c r="B251" s="2" t="s">
        <v>12</v>
      </c>
      <c r="C251">
        <v>10</v>
      </c>
      <c r="D251" s="2" t="s">
        <v>58</v>
      </c>
      <c r="E251">
        <v>4310675841</v>
      </c>
      <c r="F251">
        <v>1238824698</v>
      </c>
      <c r="G251">
        <v>2</v>
      </c>
      <c r="H251">
        <v>2</v>
      </c>
      <c r="I251">
        <v>4</v>
      </c>
      <c r="J251">
        <v>12</v>
      </c>
      <c r="K251">
        <v>16</v>
      </c>
      <c r="L251">
        <v>7</v>
      </c>
      <c r="M251">
        <v>0</v>
      </c>
      <c r="N251">
        <v>0</v>
      </c>
      <c r="O251">
        <v>16</v>
      </c>
      <c r="P251">
        <v>110</v>
      </c>
    </row>
    <row r="252" spans="1:16" x14ac:dyDescent="0.25">
      <c r="A252" s="1">
        <v>43896.708333333336</v>
      </c>
      <c r="B252" s="2" t="s">
        <v>12</v>
      </c>
      <c r="C252">
        <v>2</v>
      </c>
      <c r="D252" s="2" t="s">
        <v>59</v>
      </c>
      <c r="E252">
        <v>4573750286</v>
      </c>
      <c r="F252">
        <v>7320149366</v>
      </c>
      <c r="G252">
        <v>0</v>
      </c>
      <c r="H252">
        <v>0</v>
      </c>
      <c r="I252">
        <v>0</v>
      </c>
      <c r="J252">
        <v>7</v>
      </c>
      <c r="K252">
        <v>7</v>
      </c>
      <c r="L252">
        <v>5</v>
      </c>
      <c r="M252">
        <v>0</v>
      </c>
      <c r="N252">
        <v>0</v>
      </c>
      <c r="O252">
        <v>7</v>
      </c>
      <c r="P252">
        <v>28</v>
      </c>
    </row>
    <row r="253" spans="1:16" x14ac:dyDescent="0.25">
      <c r="A253" s="1">
        <v>43896.708333333336</v>
      </c>
      <c r="B253" s="2" t="s">
        <v>12</v>
      </c>
      <c r="C253">
        <v>5</v>
      </c>
      <c r="D253" s="2" t="s">
        <v>60</v>
      </c>
      <c r="E253">
        <v>4543490485</v>
      </c>
      <c r="F253">
        <v>1233845213</v>
      </c>
      <c r="G253">
        <v>117</v>
      </c>
      <c r="H253">
        <v>27</v>
      </c>
      <c r="I253">
        <v>144</v>
      </c>
      <c r="J253">
        <v>310</v>
      </c>
      <c r="K253">
        <v>454</v>
      </c>
      <c r="L253">
        <v>74</v>
      </c>
      <c r="M253">
        <v>22</v>
      </c>
      <c r="N253">
        <v>12</v>
      </c>
      <c r="O253">
        <v>488</v>
      </c>
      <c r="P253">
        <v>13023</v>
      </c>
    </row>
    <row r="254" spans="1:16" x14ac:dyDescent="0.25">
      <c r="A254" s="1">
        <v>43897.75</v>
      </c>
      <c r="B254" s="2" t="s">
        <v>12</v>
      </c>
      <c r="C254">
        <v>13</v>
      </c>
      <c r="D254" s="2" t="s">
        <v>40</v>
      </c>
      <c r="E254">
        <v>4235122196</v>
      </c>
      <c r="F254">
        <v>1339843823</v>
      </c>
      <c r="G254">
        <v>11</v>
      </c>
      <c r="H254">
        <v>0</v>
      </c>
      <c r="I254">
        <v>11</v>
      </c>
      <c r="J254">
        <v>0</v>
      </c>
      <c r="K254">
        <v>11</v>
      </c>
      <c r="L254">
        <v>2</v>
      </c>
      <c r="M254">
        <v>0</v>
      </c>
      <c r="N254">
        <v>0</v>
      </c>
      <c r="O254">
        <v>11</v>
      </c>
      <c r="P254">
        <v>123</v>
      </c>
    </row>
    <row r="255" spans="1:16" x14ac:dyDescent="0.25">
      <c r="A255" s="1">
        <v>43897.75</v>
      </c>
      <c r="B255" s="2" t="s">
        <v>12</v>
      </c>
      <c r="C255">
        <v>17</v>
      </c>
      <c r="D255" s="2" t="s">
        <v>41</v>
      </c>
      <c r="E255">
        <v>4063947052</v>
      </c>
      <c r="F255">
        <v>1580514834</v>
      </c>
      <c r="G255">
        <v>1</v>
      </c>
      <c r="H255">
        <v>0</v>
      </c>
      <c r="I255">
        <v>1</v>
      </c>
      <c r="J255">
        <v>2</v>
      </c>
      <c r="K255">
        <v>3</v>
      </c>
      <c r="L255">
        <v>0</v>
      </c>
      <c r="M255">
        <v>0</v>
      </c>
      <c r="N255">
        <v>0</v>
      </c>
      <c r="O255">
        <v>3</v>
      </c>
      <c r="P255">
        <v>75</v>
      </c>
    </row>
    <row r="256" spans="1:16" x14ac:dyDescent="0.25">
      <c r="A256" s="1">
        <v>43897.75</v>
      </c>
      <c r="B256" s="2" t="s">
        <v>12</v>
      </c>
      <c r="C256">
        <v>4</v>
      </c>
      <c r="D256" s="2" t="s">
        <v>42</v>
      </c>
      <c r="E256">
        <v>4649933453</v>
      </c>
      <c r="F256">
        <v>1135662422</v>
      </c>
      <c r="G256">
        <v>8</v>
      </c>
      <c r="H256">
        <v>0</v>
      </c>
      <c r="I256">
        <v>8</v>
      </c>
      <c r="J256">
        <v>1</v>
      </c>
      <c r="K256">
        <v>9</v>
      </c>
      <c r="L256">
        <v>5</v>
      </c>
      <c r="M256">
        <v>0</v>
      </c>
      <c r="N256">
        <v>0</v>
      </c>
      <c r="O256">
        <v>9</v>
      </c>
      <c r="P256">
        <v>36</v>
      </c>
    </row>
    <row r="257" spans="1:16" x14ac:dyDescent="0.25">
      <c r="A257" s="1">
        <v>43897.75</v>
      </c>
      <c r="B257" s="2" t="s">
        <v>12</v>
      </c>
      <c r="C257">
        <v>18</v>
      </c>
      <c r="D257" s="2" t="s">
        <v>43</v>
      </c>
      <c r="E257">
        <v>3810922769</v>
      </c>
      <c r="F257">
        <v>156434527</v>
      </c>
      <c r="G257">
        <v>2</v>
      </c>
      <c r="H257">
        <v>0</v>
      </c>
      <c r="I257">
        <v>2</v>
      </c>
      <c r="J257">
        <v>2</v>
      </c>
      <c r="K257">
        <v>4</v>
      </c>
      <c r="L257">
        <v>0</v>
      </c>
      <c r="M257">
        <v>0</v>
      </c>
      <c r="N257">
        <v>0</v>
      </c>
      <c r="O257">
        <v>4</v>
      </c>
      <c r="P257">
        <v>113</v>
      </c>
    </row>
    <row r="258" spans="1:16" x14ac:dyDescent="0.25">
      <c r="A258" s="1">
        <v>43897.75</v>
      </c>
      <c r="B258" s="2" t="s">
        <v>12</v>
      </c>
      <c r="C258">
        <v>15</v>
      </c>
      <c r="D258" s="2" t="s">
        <v>44</v>
      </c>
      <c r="E258">
        <v>4083956555</v>
      </c>
      <c r="F258">
        <v>1425084984</v>
      </c>
      <c r="G258">
        <v>16</v>
      </c>
      <c r="H258">
        <v>0</v>
      </c>
      <c r="I258">
        <v>16</v>
      </c>
      <c r="J258">
        <v>45</v>
      </c>
      <c r="K258">
        <v>61</v>
      </c>
      <c r="L258">
        <v>4</v>
      </c>
      <c r="M258">
        <v>0</v>
      </c>
      <c r="N258">
        <v>0</v>
      </c>
      <c r="O258">
        <v>61</v>
      </c>
      <c r="P258">
        <v>612</v>
      </c>
    </row>
    <row r="259" spans="1:16" x14ac:dyDescent="0.25">
      <c r="A259" s="1">
        <v>43897.75</v>
      </c>
      <c r="B259" s="2" t="s">
        <v>12</v>
      </c>
      <c r="C259">
        <v>8</v>
      </c>
      <c r="D259" s="2" t="s">
        <v>45</v>
      </c>
      <c r="E259">
        <v>4449436681</v>
      </c>
      <c r="F259">
        <v>113417208</v>
      </c>
      <c r="G259">
        <v>464</v>
      </c>
      <c r="H259">
        <v>64</v>
      </c>
      <c r="I259">
        <v>528</v>
      </c>
      <c r="J259">
        <v>409</v>
      </c>
      <c r="K259">
        <v>937</v>
      </c>
      <c r="L259">
        <v>121</v>
      </c>
      <c r="M259">
        <v>25</v>
      </c>
      <c r="N259">
        <v>48</v>
      </c>
      <c r="O259">
        <v>1010</v>
      </c>
      <c r="P259">
        <v>3604</v>
      </c>
    </row>
    <row r="260" spans="1:16" x14ac:dyDescent="0.25">
      <c r="A260" s="1">
        <v>43897.75</v>
      </c>
      <c r="B260" s="2" t="s">
        <v>12</v>
      </c>
      <c r="C260">
        <v>6</v>
      </c>
      <c r="D260" s="2" t="s">
        <v>46</v>
      </c>
      <c r="E260">
        <v>456494354</v>
      </c>
      <c r="F260">
        <v>1376813649</v>
      </c>
      <c r="G260">
        <v>7</v>
      </c>
      <c r="H260">
        <v>1</v>
      </c>
      <c r="I260">
        <v>8</v>
      </c>
      <c r="J260">
        <v>31</v>
      </c>
      <c r="K260">
        <v>39</v>
      </c>
      <c r="L260">
        <v>11</v>
      </c>
      <c r="M260">
        <v>3</v>
      </c>
      <c r="N260">
        <v>0</v>
      </c>
      <c r="O260">
        <v>42</v>
      </c>
      <c r="P260">
        <v>577</v>
      </c>
    </row>
    <row r="261" spans="1:16" x14ac:dyDescent="0.25">
      <c r="A261" s="1">
        <v>43897.75</v>
      </c>
      <c r="B261" s="2" t="s">
        <v>12</v>
      </c>
      <c r="C261">
        <v>12</v>
      </c>
      <c r="D261" s="2" t="s">
        <v>47</v>
      </c>
      <c r="E261">
        <v>4189277044</v>
      </c>
      <c r="F261">
        <v>1248366722</v>
      </c>
      <c r="G261">
        <v>43</v>
      </c>
      <c r="H261">
        <v>8</v>
      </c>
      <c r="I261">
        <v>51</v>
      </c>
      <c r="J261">
        <v>21</v>
      </c>
      <c r="K261">
        <v>72</v>
      </c>
      <c r="L261">
        <v>22</v>
      </c>
      <c r="M261">
        <v>3</v>
      </c>
      <c r="N261">
        <v>1</v>
      </c>
      <c r="O261">
        <v>76</v>
      </c>
      <c r="P261">
        <v>1582</v>
      </c>
    </row>
    <row r="262" spans="1:16" x14ac:dyDescent="0.25">
      <c r="A262" s="1">
        <v>43897.75</v>
      </c>
      <c r="B262" s="2" t="s">
        <v>12</v>
      </c>
      <c r="C262">
        <v>7</v>
      </c>
      <c r="D262" s="2" t="s">
        <v>48</v>
      </c>
      <c r="E262">
        <v>4441149315</v>
      </c>
      <c r="F262">
        <v>89326992</v>
      </c>
      <c r="G262">
        <v>26</v>
      </c>
      <c r="H262">
        <v>6</v>
      </c>
      <c r="I262">
        <v>32</v>
      </c>
      <c r="J262">
        <v>10</v>
      </c>
      <c r="K262">
        <v>42</v>
      </c>
      <c r="L262">
        <v>18</v>
      </c>
      <c r="M262">
        <v>5</v>
      </c>
      <c r="N262">
        <v>4</v>
      </c>
      <c r="O262">
        <v>51</v>
      </c>
      <c r="P262">
        <v>331</v>
      </c>
    </row>
    <row r="263" spans="1:16" x14ac:dyDescent="0.25">
      <c r="A263" s="1">
        <v>43897.75</v>
      </c>
      <c r="B263" s="2" t="s">
        <v>12</v>
      </c>
      <c r="C263">
        <v>3</v>
      </c>
      <c r="D263" s="2" t="s">
        <v>49</v>
      </c>
      <c r="E263">
        <v>4546679409</v>
      </c>
      <c r="F263">
        <v>9190347404</v>
      </c>
      <c r="G263">
        <v>1661</v>
      </c>
      <c r="H263">
        <v>359</v>
      </c>
      <c r="I263">
        <v>2020</v>
      </c>
      <c r="J263">
        <v>722</v>
      </c>
      <c r="K263">
        <v>2742</v>
      </c>
      <c r="L263">
        <v>734</v>
      </c>
      <c r="M263">
        <v>524</v>
      </c>
      <c r="N263">
        <v>154</v>
      </c>
      <c r="O263">
        <v>3420</v>
      </c>
      <c r="P263">
        <v>15778</v>
      </c>
    </row>
    <row r="264" spans="1:16" x14ac:dyDescent="0.25">
      <c r="A264" s="1">
        <v>43897.75</v>
      </c>
      <c r="B264" s="2" t="s">
        <v>12</v>
      </c>
      <c r="C264">
        <v>11</v>
      </c>
      <c r="D264" s="2" t="s">
        <v>50</v>
      </c>
      <c r="E264">
        <v>4361675973</v>
      </c>
      <c r="F264">
        <v>135188753</v>
      </c>
      <c r="G264">
        <v>94</v>
      </c>
      <c r="H264">
        <v>36</v>
      </c>
      <c r="I264">
        <v>130</v>
      </c>
      <c r="J264">
        <v>71</v>
      </c>
      <c r="K264">
        <v>201</v>
      </c>
      <c r="L264">
        <v>46</v>
      </c>
      <c r="M264">
        <v>0</v>
      </c>
      <c r="N264">
        <v>6</v>
      </c>
      <c r="O264">
        <v>207</v>
      </c>
      <c r="P264">
        <v>816</v>
      </c>
    </row>
    <row r="265" spans="1:16" x14ac:dyDescent="0.25">
      <c r="A265" s="1">
        <v>43897.75</v>
      </c>
      <c r="B265" s="2" t="s">
        <v>12</v>
      </c>
      <c r="C265">
        <v>14</v>
      </c>
      <c r="D265" s="2" t="s">
        <v>51</v>
      </c>
      <c r="E265">
        <v>4155774754</v>
      </c>
      <c r="F265">
        <v>1465916051</v>
      </c>
      <c r="G265">
        <v>3</v>
      </c>
      <c r="H265">
        <v>2</v>
      </c>
      <c r="I265">
        <v>5</v>
      </c>
      <c r="J265">
        <v>9</v>
      </c>
      <c r="K265">
        <v>14</v>
      </c>
      <c r="L265">
        <v>2</v>
      </c>
      <c r="M265">
        <v>0</v>
      </c>
      <c r="N265">
        <v>0</v>
      </c>
      <c r="O265">
        <v>14</v>
      </c>
      <c r="P265">
        <v>112</v>
      </c>
    </row>
    <row r="266" spans="1:16" x14ac:dyDescent="0.25">
      <c r="A266" s="1">
        <v>43897.75</v>
      </c>
      <c r="B266" s="2" t="s">
        <v>12</v>
      </c>
      <c r="C266">
        <v>1</v>
      </c>
      <c r="D266" s="2" t="s">
        <v>52</v>
      </c>
      <c r="E266">
        <v>450732745</v>
      </c>
      <c r="F266">
        <v>7680687483</v>
      </c>
      <c r="G266">
        <v>110</v>
      </c>
      <c r="H266">
        <v>38</v>
      </c>
      <c r="I266">
        <v>148</v>
      </c>
      <c r="J266">
        <v>54</v>
      </c>
      <c r="K266">
        <v>202</v>
      </c>
      <c r="L266">
        <v>63</v>
      </c>
      <c r="M266">
        <v>0</v>
      </c>
      <c r="N266">
        <v>5</v>
      </c>
      <c r="O266">
        <v>207</v>
      </c>
      <c r="P266">
        <v>1046</v>
      </c>
    </row>
    <row r="267" spans="1:16" x14ac:dyDescent="0.25">
      <c r="A267" s="1">
        <v>43897.75</v>
      </c>
      <c r="B267" s="2" t="s">
        <v>12</v>
      </c>
      <c r="C267">
        <v>16</v>
      </c>
      <c r="D267" s="2" t="s">
        <v>53</v>
      </c>
      <c r="E267">
        <v>4112559576</v>
      </c>
      <c r="F267">
        <v>1686736689</v>
      </c>
      <c r="G267">
        <v>9</v>
      </c>
      <c r="H267">
        <v>2</v>
      </c>
      <c r="I267">
        <v>11</v>
      </c>
      <c r="J267">
        <v>12</v>
      </c>
      <c r="K267">
        <v>23</v>
      </c>
      <c r="L267">
        <v>8</v>
      </c>
      <c r="M267">
        <v>1</v>
      </c>
      <c r="N267">
        <v>2</v>
      </c>
      <c r="O267">
        <v>26</v>
      </c>
      <c r="P267">
        <v>395</v>
      </c>
    </row>
    <row r="268" spans="1:16" x14ac:dyDescent="0.25">
      <c r="A268" s="1">
        <v>43897.75</v>
      </c>
      <c r="B268" s="2" t="s">
        <v>12</v>
      </c>
      <c r="C268">
        <v>20</v>
      </c>
      <c r="D268" s="2" t="s">
        <v>54</v>
      </c>
      <c r="E268">
        <v>3921531192</v>
      </c>
      <c r="F268">
        <v>9110616306</v>
      </c>
      <c r="G268">
        <v>2</v>
      </c>
      <c r="H268">
        <v>0</v>
      </c>
      <c r="I268">
        <v>2</v>
      </c>
      <c r="J268">
        <v>3</v>
      </c>
      <c r="K268">
        <v>5</v>
      </c>
      <c r="L268">
        <v>0</v>
      </c>
      <c r="M268">
        <v>0</v>
      </c>
      <c r="N268">
        <v>0</v>
      </c>
      <c r="O268">
        <v>5</v>
      </c>
      <c r="P268">
        <v>99</v>
      </c>
    </row>
    <row r="269" spans="1:16" x14ac:dyDescent="0.25">
      <c r="A269" s="1">
        <v>43897.75</v>
      </c>
      <c r="B269" s="2" t="s">
        <v>12</v>
      </c>
      <c r="C269">
        <v>19</v>
      </c>
      <c r="D269" s="2" t="s">
        <v>55</v>
      </c>
      <c r="E269">
        <v>3811569725</v>
      </c>
      <c r="F269">
        <v>133623567</v>
      </c>
      <c r="G269">
        <v>8</v>
      </c>
      <c r="H269">
        <v>0</v>
      </c>
      <c r="I269">
        <v>8</v>
      </c>
      <c r="J269">
        <v>25</v>
      </c>
      <c r="K269">
        <v>33</v>
      </c>
      <c r="L269">
        <v>11</v>
      </c>
      <c r="M269">
        <v>2</v>
      </c>
      <c r="N269">
        <v>0</v>
      </c>
      <c r="O269">
        <v>35</v>
      </c>
      <c r="P269">
        <v>643</v>
      </c>
    </row>
    <row r="270" spans="1:16" x14ac:dyDescent="0.25">
      <c r="A270" s="1">
        <v>43897.75</v>
      </c>
      <c r="B270" s="2" t="s">
        <v>12</v>
      </c>
      <c r="C270">
        <v>9</v>
      </c>
      <c r="D270" s="2" t="s">
        <v>56</v>
      </c>
      <c r="E270">
        <v>4376923077</v>
      </c>
      <c r="F270">
        <v>1125588885</v>
      </c>
      <c r="G270">
        <v>54</v>
      </c>
      <c r="H270">
        <v>7</v>
      </c>
      <c r="I270">
        <v>61</v>
      </c>
      <c r="J270">
        <v>51</v>
      </c>
      <c r="K270">
        <v>112</v>
      </c>
      <c r="L270">
        <v>34</v>
      </c>
      <c r="M270">
        <v>1</v>
      </c>
      <c r="N270">
        <v>0</v>
      </c>
      <c r="O270">
        <v>113</v>
      </c>
      <c r="P270">
        <v>1331</v>
      </c>
    </row>
    <row r="271" spans="1:16" x14ac:dyDescent="0.25">
      <c r="A271" s="1">
        <v>43897.75</v>
      </c>
      <c r="B271" s="2" t="s">
        <v>12</v>
      </c>
      <c r="C271">
        <v>4</v>
      </c>
      <c r="D271" s="2" t="s">
        <v>57</v>
      </c>
      <c r="E271">
        <v>4606893511</v>
      </c>
      <c r="F271">
        <v>1112123097</v>
      </c>
      <c r="G271">
        <v>6</v>
      </c>
      <c r="H271">
        <v>1</v>
      </c>
      <c r="I271">
        <v>7</v>
      </c>
      <c r="J271">
        <v>7</v>
      </c>
      <c r="K271">
        <v>14</v>
      </c>
      <c r="L271">
        <v>4</v>
      </c>
      <c r="M271">
        <v>0</v>
      </c>
      <c r="N271">
        <v>0</v>
      </c>
      <c r="O271">
        <v>14</v>
      </c>
      <c r="P271">
        <v>194</v>
      </c>
    </row>
    <row r="272" spans="1:16" x14ac:dyDescent="0.25">
      <c r="A272" s="1">
        <v>43897.75</v>
      </c>
      <c r="B272" s="2" t="s">
        <v>12</v>
      </c>
      <c r="C272">
        <v>10</v>
      </c>
      <c r="D272" s="2" t="s">
        <v>58</v>
      </c>
      <c r="E272">
        <v>4310675841</v>
      </c>
      <c r="F272">
        <v>1238824698</v>
      </c>
      <c r="G272">
        <v>2</v>
      </c>
      <c r="H272">
        <v>2</v>
      </c>
      <c r="I272">
        <v>4</v>
      </c>
      <c r="J272">
        <v>20</v>
      </c>
      <c r="K272">
        <v>24</v>
      </c>
      <c r="L272">
        <v>8</v>
      </c>
      <c r="M272">
        <v>0</v>
      </c>
      <c r="N272">
        <v>0</v>
      </c>
      <c r="O272">
        <v>24</v>
      </c>
      <c r="P272">
        <v>134</v>
      </c>
    </row>
    <row r="273" spans="1:16" x14ac:dyDescent="0.25">
      <c r="A273" s="1">
        <v>43897.75</v>
      </c>
      <c r="B273" s="2" t="s">
        <v>12</v>
      </c>
      <c r="C273">
        <v>2</v>
      </c>
      <c r="D273" s="2" t="s">
        <v>59</v>
      </c>
      <c r="E273">
        <v>4573750286</v>
      </c>
      <c r="F273">
        <v>7320149366</v>
      </c>
      <c r="G273">
        <v>1</v>
      </c>
      <c r="H273">
        <v>0</v>
      </c>
      <c r="I273">
        <v>1</v>
      </c>
      <c r="J273">
        <v>7</v>
      </c>
      <c r="K273">
        <v>8</v>
      </c>
      <c r="L273">
        <v>1</v>
      </c>
      <c r="M273">
        <v>0</v>
      </c>
      <c r="N273">
        <v>0</v>
      </c>
      <c r="O273">
        <v>8</v>
      </c>
      <c r="P273">
        <v>32</v>
      </c>
    </row>
    <row r="274" spans="1:16" x14ac:dyDescent="0.25">
      <c r="A274" s="1">
        <v>43897.75</v>
      </c>
      <c r="B274" s="2" t="s">
        <v>12</v>
      </c>
      <c r="C274">
        <v>5</v>
      </c>
      <c r="D274" s="2" t="s">
        <v>60</v>
      </c>
      <c r="E274">
        <v>4543490485</v>
      </c>
      <c r="F274">
        <v>1233845213</v>
      </c>
      <c r="G274">
        <v>123</v>
      </c>
      <c r="H274">
        <v>41</v>
      </c>
      <c r="I274">
        <v>164</v>
      </c>
      <c r="J274">
        <v>341</v>
      </c>
      <c r="K274">
        <v>505</v>
      </c>
      <c r="L274">
        <v>51</v>
      </c>
      <c r="M274">
        <v>25</v>
      </c>
      <c r="N274">
        <v>13</v>
      </c>
      <c r="O274">
        <v>543</v>
      </c>
      <c r="P274">
        <v>14429</v>
      </c>
    </row>
    <row r="275" spans="1:16" x14ac:dyDescent="0.25">
      <c r="A275" s="1">
        <v>43898.75</v>
      </c>
      <c r="B275" s="2" t="s">
        <v>12</v>
      </c>
      <c r="C275">
        <v>13</v>
      </c>
      <c r="D275" s="2" t="s">
        <v>40</v>
      </c>
      <c r="E275">
        <v>4235122196</v>
      </c>
      <c r="F275">
        <v>1339843823</v>
      </c>
      <c r="G275">
        <v>14</v>
      </c>
      <c r="H275">
        <v>0</v>
      </c>
      <c r="I275">
        <v>14</v>
      </c>
      <c r="J275">
        <v>3</v>
      </c>
      <c r="K275">
        <v>17</v>
      </c>
      <c r="L275">
        <v>6</v>
      </c>
      <c r="M275">
        <v>0</v>
      </c>
      <c r="N275">
        <v>0</v>
      </c>
      <c r="O275">
        <v>17</v>
      </c>
      <c r="P275">
        <v>163</v>
      </c>
    </row>
    <row r="276" spans="1:16" x14ac:dyDescent="0.25">
      <c r="A276" s="1">
        <v>43898.75</v>
      </c>
      <c r="B276" s="2" t="s">
        <v>12</v>
      </c>
      <c r="C276">
        <v>17</v>
      </c>
      <c r="D276" s="2" t="s">
        <v>41</v>
      </c>
      <c r="E276">
        <v>4063947052</v>
      </c>
      <c r="F276">
        <v>1580514834</v>
      </c>
      <c r="G276">
        <v>2</v>
      </c>
      <c r="H276">
        <v>0</v>
      </c>
      <c r="I276">
        <v>2</v>
      </c>
      <c r="J276">
        <v>2</v>
      </c>
      <c r="K276">
        <v>4</v>
      </c>
      <c r="L276">
        <v>1</v>
      </c>
      <c r="M276">
        <v>0</v>
      </c>
      <c r="N276">
        <v>0</v>
      </c>
      <c r="O276">
        <v>4</v>
      </c>
      <c r="P276">
        <v>123</v>
      </c>
    </row>
    <row r="277" spans="1:16" x14ac:dyDescent="0.25">
      <c r="A277" s="1">
        <v>43898.75</v>
      </c>
      <c r="B277" s="2" t="s">
        <v>12</v>
      </c>
      <c r="C277">
        <v>4</v>
      </c>
      <c r="D277" s="2" t="s">
        <v>42</v>
      </c>
      <c r="E277">
        <v>4649933453</v>
      </c>
      <c r="F277">
        <v>1135662422</v>
      </c>
      <c r="G277">
        <v>8</v>
      </c>
      <c r="H277">
        <v>0</v>
      </c>
      <c r="I277">
        <v>8</v>
      </c>
      <c r="J277">
        <v>1</v>
      </c>
      <c r="K277">
        <v>9</v>
      </c>
      <c r="L277">
        <v>0</v>
      </c>
      <c r="M277">
        <v>0</v>
      </c>
      <c r="N277">
        <v>0</v>
      </c>
      <c r="O277">
        <v>9</v>
      </c>
      <c r="P277">
        <v>36</v>
      </c>
    </row>
    <row r="278" spans="1:16" x14ac:dyDescent="0.25">
      <c r="A278" s="1">
        <v>43898.75</v>
      </c>
      <c r="B278" s="2" t="s">
        <v>12</v>
      </c>
      <c r="C278">
        <v>18</v>
      </c>
      <c r="D278" s="2" t="s">
        <v>43</v>
      </c>
      <c r="E278">
        <v>3810922769</v>
      </c>
      <c r="F278">
        <v>156434527</v>
      </c>
      <c r="G278">
        <v>5</v>
      </c>
      <c r="H278">
        <v>0</v>
      </c>
      <c r="I278">
        <v>5</v>
      </c>
      <c r="J278">
        <v>4</v>
      </c>
      <c r="K278">
        <v>9</v>
      </c>
      <c r="L278">
        <v>5</v>
      </c>
      <c r="M278">
        <v>0</v>
      </c>
      <c r="N278">
        <v>0</v>
      </c>
      <c r="O278">
        <v>9</v>
      </c>
      <c r="P278">
        <v>113</v>
      </c>
    </row>
    <row r="279" spans="1:16" x14ac:dyDescent="0.25">
      <c r="A279" s="1">
        <v>43898.75</v>
      </c>
      <c r="B279" s="2" t="s">
        <v>12</v>
      </c>
      <c r="C279">
        <v>15</v>
      </c>
      <c r="D279" s="2" t="s">
        <v>44</v>
      </c>
      <c r="E279">
        <v>4083956555</v>
      </c>
      <c r="F279">
        <v>1425084984</v>
      </c>
      <c r="G279">
        <v>30</v>
      </c>
      <c r="H279">
        <v>7</v>
      </c>
      <c r="I279">
        <v>37</v>
      </c>
      <c r="J279">
        <v>63</v>
      </c>
      <c r="K279">
        <v>100</v>
      </c>
      <c r="L279">
        <v>39</v>
      </c>
      <c r="M279">
        <v>1</v>
      </c>
      <c r="N279">
        <v>0</v>
      </c>
      <c r="O279">
        <v>101</v>
      </c>
      <c r="P279">
        <v>980</v>
      </c>
    </row>
    <row r="280" spans="1:16" x14ac:dyDescent="0.25">
      <c r="A280" s="1">
        <v>43898.75</v>
      </c>
      <c r="B280" s="2" t="s">
        <v>12</v>
      </c>
      <c r="C280">
        <v>8</v>
      </c>
      <c r="D280" s="2" t="s">
        <v>45</v>
      </c>
      <c r="E280">
        <v>4449436681</v>
      </c>
      <c r="F280">
        <v>113417208</v>
      </c>
      <c r="G280">
        <v>542</v>
      </c>
      <c r="H280">
        <v>75</v>
      </c>
      <c r="I280">
        <v>617</v>
      </c>
      <c r="J280">
        <v>480</v>
      </c>
      <c r="K280">
        <v>1097</v>
      </c>
      <c r="L280">
        <v>160</v>
      </c>
      <c r="M280">
        <v>27</v>
      </c>
      <c r="N280">
        <v>56</v>
      </c>
      <c r="O280">
        <v>1180</v>
      </c>
      <c r="P280">
        <v>4344</v>
      </c>
    </row>
    <row r="281" spans="1:16" x14ac:dyDescent="0.25">
      <c r="A281" s="1">
        <v>43898.75</v>
      </c>
      <c r="B281" s="2" t="s">
        <v>12</v>
      </c>
      <c r="C281">
        <v>6</v>
      </c>
      <c r="D281" s="2" t="s">
        <v>46</v>
      </c>
      <c r="E281">
        <v>456494354</v>
      </c>
      <c r="F281">
        <v>1376813649</v>
      </c>
      <c r="G281">
        <v>7</v>
      </c>
      <c r="H281">
        <v>1</v>
      </c>
      <c r="I281">
        <v>8</v>
      </c>
      <c r="J281">
        <v>45</v>
      </c>
      <c r="K281">
        <v>53</v>
      </c>
      <c r="L281">
        <v>14</v>
      </c>
      <c r="M281">
        <v>3</v>
      </c>
      <c r="N281">
        <v>1</v>
      </c>
      <c r="O281">
        <v>57</v>
      </c>
      <c r="P281">
        <v>997</v>
      </c>
    </row>
    <row r="282" spans="1:16" x14ac:dyDescent="0.25">
      <c r="A282" s="1">
        <v>43898.75</v>
      </c>
      <c r="B282" s="2" t="s">
        <v>12</v>
      </c>
      <c r="C282">
        <v>12</v>
      </c>
      <c r="D282" s="2" t="s">
        <v>47</v>
      </c>
      <c r="E282">
        <v>4189277044</v>
      </c>
      <c r="F282">
        <v>1248366722</v>
      </c>
      <c r="G282">
        <v>47</v>
      </c>
      <c r="H282">
        <v>8</v>
      </c>
      <c r="I282">
        <v>55</v>
      </c>
      <c r="J282">
        <v>26</v>
      </c>
      <c r="K282">
        <v>81</v>
      </c>
      <c r="L282">
        <v>9</v>
      </c>
      <c r="M282">
        <v>3</v>
      </c>
      <c r="N282">
        <v>3</v>
      </c>
      <c r="O282">
        <v>87</v>
      </c>
      <c r="P282">
        <v>1929</v>
      </c>
    </row>
    <row r="283" spans="1:16" x14ac:dyDescent="0.25">
      <c r="A283" s="1">
        <v>43898.75</v>
      </c>
      <c r="B283" s="2" t="s">
        <v>12</v>
      </c>
      <c r="C283">
        <v>7</v>
      </c>
      <c r="D283" s="2" t="s">
        <v>48</v>
      </c>
      <c r="E283">
        <v>4441149315</v>
      </c>
      <c r="F283">
        <v>89326992</v>
      </c>
      <c r="G283">
        <v>39</v>
      </c>
      <c r="H283">
        <v>11</v>
      </c>
      <c r="I283">
        <v>50</v>
      </c>
      <c r="J283">
        <v>17</v>
      </c>
      <c r="K283">
        <v>67</v>
      </c>
      <c r="L283">
        <v>25</v>
      </c>
      <c r="M283">
        <v>5</v>
      </c>
      <c r="N283">
        <v>6</v>
      </c>
      <c r="O283">
        <v>78</v>
      </c>
      <c r="P283">
        <v>401</v>
      </c>
    </row>
    <row r="284" spans="1:16" x14ac:dyDescent="0.25">
      <c r="A284" s="1">
        <v>43898.75</v>
      </c>
      <c r="B284" s="2" t="s">
        <v>12</v>
      </c>
      <c r="C284">
        <v>3</v>
      </c>
      <c r="D284" s="2" t="s">
        <v>49</v>
      </c>
      <c r="E284">
        <v>4546679409</v>
      </c>
      <c r="F284">
        <v>9190347404</v>
      </c>
      <c r="G284">
        <v>2217</v>
      </c>
      <c r="H284">
        <v>399</v>
      </c>
      <c r="I284">
        <v>2616</v>
      </c>
      <c r="J284">
        <v>756</v>
      </c>
      <c r="K284">
        <v>3372</v>
      </c>
      <c r="L284">
        <v>630</v>
      </c>
      <c r="M284">
        <v>550</v>
      </c>
      <c r="N284">
        <v>267</v>
      </c>
      <c r="O284">
        <v>4189</v>
      </c>
      <c r="P284">
        <v>18534</v>
      </c>
    </row>
    <row r="285" spans="1:16" x14ac:dyDescent="0.25">
      <c r="A285" s="1">
        <v>43898.75</v>
      </c>
      <c r="B285" s="2" t="s">
        <v>12</v>
      </c>
      <c r="C285">
        <v>11</v>
      </c>
      <c r="D285" s="2" t="s">
        <v>50</v>
      </c>
      <c r="E285">
        <v>4361675973</v>
      </c>
      <c r="F285">
        <v>135188753</v>
      </c>
      <c r="G285">
        <v>110</v>
      </c>
      <c r="H285">
        <v>41</v>
      </c>
      <c r="I285">
        <v>151</v>
      </c>
      <c r="J285">
        <v>114</v>
      </c>
      <c r="K285">
        <v>265</v>
      </c>
      <c r="L285">
        <v>64</v>
      </c>
      <c r="M285">
        <v>0</v>
      </c>
      <c r="N285">
        <v>7</v>
      </c>
      <c r="O285">
        <v>272</v>
      </c>
      <c r="P285">
        <v>1025</v>
      </c>
    </row>
    <row r="286" spans="1:16" x14ac:dyDescent="0.25">
      <c r="A286" s="1">
        <v>43898.75</v>
      </c>
      <c r="B286" s="2" t="s">
        <v>12</v>
      </c>
      <c r="C286">
        <v>14</v>
      </c>
      <c r="D286" s="2" t="s">
        <v>51</v>
      </c>
      <c r="E286">
        <v>4155774754</v>
      </c>
      <c r="F286">
        <v>1465916051</v>
      </c>
      <c r="G286">
        <v>4</v>
      </c>
      <c r="H286">
        <v>2</v>
      </c>
      <c r="I286">
        <v>6</v>
      </c>
      <c r="J286">
        <v>8</v>
      </c>
      <c r="K286">
        <v>14</v>
      </c>
      <c r="L286">
        <v>0</v>
      </c>
      <c r="M286">
        <v>0</v>
      </c>
      <c r="N286">
        <v>0</v>
      </c>
      <c r="O286">
        <v>14</v>
      </c>
      <c r="P286">
        <v>116</v>
      </c>
    </row>
    <row r="287" spans="1:16" x14ac:dyDescent="0.25">
      <c r="A287" s="1">
        <v>43898.75</v>
      </c>
      <c r="B287" s="2" t="s">
        <v>12</v>
      </c>
      <c r="C287">
        <v>1</v>
      </c>
      <c r="D287" s="2" t="s">
        <v>52</v>
      </c>
      <c r="E287">
        <v>450732745</v>
      </c>
      <c r="F287">
        <v>7680687483</v>
      </c>
      <c r="G287">
        <v>245</v>
      </c>
      <c r="H287">
        <v>45</v>
      </c>
      <c r="I287">
        <v>290</v>
      </c>
      <c r="J287">
        <v>65</v>
      </c>
      <c r="K287">
        <v>355</v>
      </c>
      <c r="L287">
        <v>153</v>
      </c>
      <c r="M287">
        <v>0</v>
      </c>
      <c r="N287">
        <v>5</v>
      </c>
      <c r="O287">
        <v>360</v>
      </c>
      <c r="P287">
        <v>1636</v>
      </c>
    </row>
    <row r="288" spans="1:16" x14ac:dyDescent="0.25">
      <c r="A288" s="1">
        <v>43898.75</v>
      </c>
      <c r="B288" s="2" t="s">
        <v>12</v>
      </c>
      <c r="C288">
        <v>16</v>
      </c>
      <c r="D288" s="2" t="s">
        <v>53</v>
      </c>
      <c r="E288">
        <v>4112559576</v>
      </c>
      <c r="F288">
        <v>1686736689</v>
      </c>
      <c r="G288">
        <v>17</v>
      </c>
      <c r="H288">
        <v>3</v>
      </c>
      <c r="I288">
        <v>20</v>
      </c>
      <c r="J288">
        <v>16</v>
      </c>
      <c r="K288">
        <v>36</v>
      </c>
      <c r="L288">
        <v>13</v>
      </c>
      <c r="M288">
        <v>1</v>
      </c>
      <c r="N288">
        <v>3</v>
      </c>
      <c r="O288">
        <v>40</v>
      </c>
      <c r="P288">
        <v>627</v>
      </c>
    </row>
    <row r="289" spans="1:16" x14ac:dyDescent="0.25">
      <c r="A289" s="1">
        <v>43898.75</v>
      </c>
      <c r="B289" s="2" t="s">
        <v>12</v>
      </c>
      <c r="C289">
        <v>20</v>
      </c>
      <c r="D289" s="2" t="s">
        <v>54</v>
      </c>
      <c r="E289">
        <v>3921531192</v>
      </c>
      <c r="F289">
        <v>9110616306</v>
      </c>
      <c r="G289">
        <v>5</v>
      </c>
      <c r="H289">
        <v>0</v>
      </c>
      <c r="I289">
        <v>5</v>
      </c>
      <c r="J289">
        <v>6</v>
      </c>
      <c r="K289">
        <v>11</v>
      </c>
      <c r="L289">
        <v>6</v>
      </c>
      <c r="M289">
        <v>0</v>
      </c>
      <c r="N289">
        <v>0</v>
      </c>
      <c r="O289">
        <v>11</v>
      </c>
      <c r="P289">
        <v>149</v>
      </c>
    </row>
    <row r="290" spans="1:16" x14ac:dyDescent="0.25">
      <c r="A290" s="1">
        <v>43898.75</v>
      </c>
      <c r="B290" s="2" t="s">
        <v>12</v>
      </c>
      <c r="C290">
        <v>19</v>
      </c>
      <c r="D290" s="2" t="s">
        <v>55</v>
      </c>
      <c r="E290">
        <v>3811569725</v>
      </c>
      <c r="F290">
        <v>133623567</v>
      </c>
      <c r="G290">
        <v>18</v>
      </c>
      <c r="H290">
        <v>0</v>
      </c>
      <c r="I290">
        <v>18</v>
      </c>
      <c r="J290">
        <v>33</v>
      </c>
      <c r="K290">
        <v>51</v>
      </c>
      <c r="L290">
        <v>18</v>
      </c>
      <c r="M290">
        <v>2</v>
      </c>
      <c r="N290">
        <v>0</v>
      </c>
      <c r="O290">
        <v>53</v>
      </c>
      <c r="P290">
        <v>791</v>
      </c>
    </row>
    <row r="291" spans="1:16" x14ac:dyDescent="0.25">
      <c r="A291" s="1">
        <v>43898.75</v>
      </c>
      <c r="B291" s="2" t="s">
        <v>12</v>
      </c>
      <c r="C291">
        <v>9</v>
      </c>
      <c r="D291" s="2" t="s">
        <v>56</v>
      </c>
      <c r="E291">
        <v>4376923077</v>
      </c>
      <c r="F291">
        <v>1125588885</v>
      </c>
      <c r="G291">
        <v>91</v>
      </c>
      <c r="H291">
        <v>7</v>
      </c>
      <c r="I291">
        <v>98</v>
      </c>
      <c r="J291">
        <v>67</v>
      </c>
      <c r="K291">
        <v>165</v>
      </c>
      <c r="L291">
        <v>53</v>
      </c>
      <c r="M291">
        <v>1</v>
      </c>
      <c r="N291">
        <v>0</v>
      </c>
      <c r="O291">
        <v>166</v>
      </c>
      <c r="P291">
        <v>1618</v>
      </c>
    </row>
    <row r="292" spans="1:16" x14ac:dyDescent="0.25">
      <c r="A292" s="1">
        <v>43898.75</v>
      </c>
      <c r="B292" s="2" t="s">
        <v>12</v>
      </c>
      <c r="C292">
        <v>4</v>
      </c>
      <c r="D292" s="2" t="s">
        <v>57</v>
      </c>
      <c r="E292">
        <v>4606893511</v>
      </c>
      <c r="F292">
        <v>1112123097</v>
      </c>
      <c r="G292">
        <v>7</v>
      </c>
      <c r="H292">
        <v>2</v>
      </c>
      <c r="I292">
        <v>9</v>
      </c>
      <c r="J292">
        <v>14</v>
      </c>
      <c r="K292">
        <v>23</v>
      </c>
      <c r="L292">
        <v>9</v>
      </c>
      <c r="M292">
        <v>0</v>
      </c>
      <c r="N292">
        <v>0</v>
      </c>
      <c r="O292">
        <v>23</v>
      </c>
      <c r="P292">
        <v>228</v>
      </c>
    </row>
    <row r="293" spans="1:16" x14ac:dyDescent="0.25">
      <c r="A293" s="1">
        <v>43898.75</v>
      </c>
      <c r="B293" s="2" t="s">
        <v>12</v>
      </c>
      <c r="C293">
        <v>10</v>
      </c>
      <c r="D293" s="2" t="s">
        <v>58</v>
      </c>
      <c r="E293">
        <v>4310675841</v>
      </c>
      <c r="F293">
        <v>1238824698</v>
      </c>
      <c r="G293">
        <v>2</v>
      </c>
      <c r="H293">
        <v>2</v>
      </c>
      <c r="I293">
        <v>4</v>
      </c>
      <c r="J293">
        <v>22</v>
      </c>
      <c r="K293">
        <v>26</v>
      </c>
      <c r="L293">
        <v>2</v>
      </c>
      <c r="M293">
        <v>0</v>
      </c>
      <c r="N293">
        <v>0</v>
      </c>
      <c r="O293">
        <v>26</v>
      </c>
      <c r="P293">
        <v>168</v>
      </c>
    </row>
    <row r="294" spans="1:16" x14ac:dyDescent="0.25">
      <c r="A294" s="1">
        <v>43898.75</v>
      </c>
      <c r="B294" s="2" t="s">
        <v>12</v>
      </c>
      <c r="C294">
        <v>2</v>
      </c>
      <c r="D294" s="2" t="s">
        <v>59</v>
      </c>
      <c r="E294">
        <v>4573750286</v>
      </c>
      <c r="F294">
        <v>7320149366</v>
      </c>
      <c r="G294">
        <v>1</v>
      </c>
      <c r="H294">
        <v>0</v>
      </c>
      <c r="I294">
        <v>1</v>
      </c>
      <c r="J294">
        <v>8</v>
      </c>
      <c r="K294">
        <v>9</v>
      </c>
      <c r="L294">
        <v>1</v>
      </c>
      <c r="M294">
        <v>0</v>
      </c>
      <c r="N294">
        <v>0</v>
      </c>
      <c r="O294">
        <v>9</v>
      </c>
      <c r="P294">
        <v>41</v>
      </c>
    </row>
    <row r="295" spans="1:16" x14ac:dyDescent="0.25">
      <c r="A295" s="1">
        <v>43898.75</v>
      </c>
      <c r="B295" s="2" t="s">
        <v>12</v>
      </c>
      <c r="C295">
        <v>5</v>
      </c>
      <c r="D295" s="2" t="s">
        <v>60</v>
      </c>
      <c r="E295">
        <v>4543490485</v>
      </c>
      <c r="F295">
        <v>1233845213</v>
      </c>
      <c r="G295">
        <v>146</v>
      </c>
      <c r="H295">
        <v>47</v>
      </c>
      <c r="I295">
        <v>193</v>
      </c>
      <c r="J295">
        <v>430</v>
      </c>
      <c r="K295">
        <v>623</v>
      </c>
      <c r="L295">
        <v>118</v>
      </c>
      <c r="M295">
        <v>29</v>
      </c>
      <c r="N295">
        <v>18</v>
      </c>
      <c r="O295">
        <v>670</v>
      </c>
      <c r="P295">
        <v>15918</v>
      </c>
    </row>
    <row r="296" spans="1:16" x14ac:dyDescent="0.25">
      <c r="A296" s="1">
        <v>43899.75</v>
      </c>
      <c r="B296" s="2" t="s">
        <v>12</v>
      </c>
      <c r="C296">
        <v>13</v>
      </c>
      <c r="D296" s="2" t="s">
        <v>40</v>
      </c>
      <c r="E296">
        <v>4235122196</v>
      </c>
      <c r="F296">
        <v>1339843823</v>
      </c>
      <c r="G296">
        <v>25</v>
      </c>
      <c r="H296">
        <v>0</v>
      </c>
      <c r="I296">
        <v>25</v>
      </c>
      <c r="J296">
        <v>5</v>
      </c>
      <c r="K296">
        <v>30</v>
      </c>
      <c r="L296">
        <v>13</v>
      </c>
      <c r="M296">
        <v>0</v>
      </c>
      <c r="N296">
        <v>0</v>
      </c>
      <c r="O296">
        <v>30</v>
      </c>
      <c r="P296">
        <v>237</v>
      </c>
    </row>
    <row r="297" spans="1:16" x14ac:dyDescent="0.25">
      <c r="A297" s="1">
        <v>43899.75</v>
      </c>
      <c r="B297" s="2" t="s">
        <v>12</v>
      </c>
      <c r="C297">
        <v>17</v>
      </c>
      <c r="D297" s="2" t="s">
        <v>41</v>
      </c>
      <c r="E297">
        <v>4063947052</v>
      </c>
      <c r="F297">
        <v>1580514834</v>
      </c>
      <c r="G297">
        <v>2</v>
      </c>
      <c r="H297">
        <v>0</v>
      </c>
      <c r="I297">
        <v>2</v>
      </c>
      <c r="J297">
        <v>3</v>
      </c>
      <c r="K297">
        <v>5</v>
      </c>
      <c r="L297">
        <v>1</v>
      </c>
      <c r="M297">
        <v>0</v>
      </c>
      <c r="N297">
        <v>0</v>
      </c>
      <c r="O297">
        <v>5</v>
      </c>
      <c r="P297">
        <v>135</v>
      </c>
    </row>
    <row r="298" spans="1:16" x14ac:dyDescent="0.25">
      <c r="A298" s="1">
        <v>43899.75</v>
      </c>
      <c r="B298" s="2" t="s">
        <v>12</v>
      </c>
      <c r="C298">
        <v>4</v>
      </c>
      <c r="D298" s="2" t="s">
        <v>42</v>
      </c>
      <c r="E298">
        <v>4649933453</v>
      </c>
      <c r="F298">
        <v>1135662422</v>
      </c>
      <c r="G298">
        <v>8</v>
      </c>
      <c r="H298">
        <v>0</v>
      </c>
      <c r="I298">
        <v>8</v>
      </c>
      <c r="J298">
        <v>1</v>
      </c>
      <c r="K298">
        <v>9</v>
      </c>
      <c r="L298">
        <v>0</v>
      </c>
      <c r="M298">
        <v>0</v>
      </c>
      <c r="N298">
        <v>0</v>
      </c>
      <c r="O298">
        <v>9</v>
      </c>
      <c r="P298">
        <v>36</v>
      </c>
    </row>
    <row r="299" spans="1:16" x14ac:dyDescent="0.25">
      <c r="A299" s="1">
        <v>43899.75</v>
      </c>
      <c r="B299" s="2" t="s">
        <v>12</v>
      </c>
      <c r="C299">
        <v>18</v>
      </c>
      <c r="D299" s="2" t="s">
        <v>43</v>
      </c>
      <c r="E299">
        <v>3810922769</v>
      </c>
      <c r="F299">
        <v>156434527</v>
      </c>
      <c r="G299">
        <v>8</v>
      </c>
      <c r="H299">
        <v>0</v>
      </c>
      <c r="I299">
        <v>8</v>
      </c>
      <c r="J299">
        <v>1</v>
      </c>
      <c r="K299">
        <v>9</v>
      </c>
      <c r="L299">
        <v>0</v>
      </c>
      <c r="M299">
        <v>2</v>
      </c>
      <c r="N299">
        <v>0</v>
      </c>
      <c r="O299">
        <v>11</v>
      </c>
      <c r="P299">
        <v>173</v>
      </c>
    </row>
    <row r="300" spans="1:16" x14ac:dyDescent="0.25">
      <c r="A300" s="1">
        <v>43899.75</v>
      </c>
      <c r="B300" s="2" t="s">
        <v>12</v>
      </c>
      <c r="C300">
        <v>15</v>
      </c>
      <c r="D300" s="2" t="s">
        <v>44</v>
      </c>
      <c r="E300">
        <v>4083956555</v>
      </c>
      <c r="F300">
        <v>1425084984</v>
      </c>
      <c r="G300">
        <v>42</v>
      </c>
      <c r="H300">
        <v>8</v>
      </c>
      <c r="I300">
        <v>50</v>
      </c>
      <c r="J300">
        <v>69</v>
      </c>
      <c r="K300">
        <v>119</v>
      </c>
      <c r="L300">
        <v>19</v>
      </c>
      <c r="M300">
        <v>1</v>
      </c>
      <c r="N300">
        <v>0</v>
      </c>
      <c r="O300">
        <v>120</v>
      </c>
      <c r="P300">
        <v>980</v>
      </c>
    </row>
    <row r="301" spans="1:16" x14ac:dyDescent="0.25">
      <c r="A301" s="1">
        <v>43899.75</v>
      </c>
      <c r="B301" s="2" t="s">
        <v>12</v>
      </c>
      <c r="C301">
        <v>8</v>
      </c>
      <c r="D301" s="2" t="s">
        <v>45</v>
      </c>
      <c r="E301">
        <v>4449436681</v>
      </c>
      <c r="F301">
        <v>113417208</v>
      </c>
      <c r="G301">
        <v>576</v>
      </c>
      <c r="H301">
        <v>90</v>
      </c>
      <c r="I301">
        <v>666</v>
      </c>
      <c r="J301">
        <v>620</v>
      </c>
      <c r="K301">
        <v>1286</v>
      </c>
      <c r="L301">
        <v>189</v>
      </c>
      <c r="M301">
        <v>30</v>
      </c>
      <c r="N301">
        <v>70</v>
      </c>
      <c r="O301">
        <v>1386</v>
      </c>
      <c r="P301">
        <v>4906</v>
      </c>
    </row>
    <row r="302" spans="1:16" x14ac:dyDescent="0.25">
      <c r="A302" s="1">
        <v>43899.75</v>
      </c>
      <c r="B302" s="2" t="s">
        <v>12</v>
      </c>
      <c r="C302">
        <v>6</v>
      </c>
      <c r="D302" s="2" t="s">
        <v>46</v>
      </c>
      <c r="E302">
        <v>456494354</v>
      </c>
      <c r="F302">
        <v>1376813649</v>
      </c>
      <c r="G302">
        <v>18</v>
      </c>
      <c r="H302">
        <v>1</v>
      </c>
      <c r="I302">
        <v>19</v>
      </c>
      <c r="J302">
        <v>70</v>
      </c>
      <c r="K302">
        <v>89</v>
      </c>
      <c r="L302">
        <v>36</v>
      </c>
      <c r="M302">
        <v>3</v>
      </c>
      <c r="N302">
        <v>1</v>
      </c>
      <c r="O302">
        <v>93</v>
      </c>
      <c r="P302">
        <v>1344</v>
      </c>
    </row>
    <row r="303" spans="1:16" x14ac:dyDescent="0.25">
      <c r="A303" s="1">
        <v>43899.75</v>
      </c>
      <c r="B303" s="2" t="s">
        <v>12</v>
      </c>
      <c r="C303">
        <v>12</v>
      </c>
      <c r="D303" s="2" t="s">
        <v>47</v>
      </c>
      <c r="E303">
        <v>4189277044</v>
      </c>
      <c r="F303">
        <v>1248366722</v>
      </c>
      <c r="G303">
        <v>55</v>
      </c>
      <c r="H303">
        <v>8</v>
      </c>
      <c r="I303">
        <v>63</v>
      </c>
      <c r="J303">
        <v>31</v>
      </c>
      <c r="K303">
        <v>94</v>
      </c>
      <c r="L303">
        <v>13</v>
      </c>
      <c r="M303">
        <v>3</v>
      </c>
      <c r="N303">
        <v>5</v>
      </c>
      <c r="O303">
        <v>102</v>
      </c>
      <c r="P303">
        <v>1929</v>
      </c>
    </row>
    <row r="304" spans="1:16" x14ac:dyDescent="0.25">
      <c r="A304" s="1">
        <v>43899.75</v>
      </c>
      <c r="B304" s="2" t="s">
        <v>12</v>
      </c>
      <c r="C304">
        <v>7</v>
      </c>
      <c r="D304" s="2" t="s">
        <v>48</v>
      </c>
      <c r="E304">
        <v>4441149315</v>
      </c>
      <c r="F304">
        <v>89326992</v>
      </c>
      <c r="G304">
        <v>60</v>
      </c>
      <c r="H304">
        <v>17</v>
      </c>
      <c r="I304">
        <v>77</v>
      </c>
      <c r="J304">
        <v>20</v>
      </c>
      <c r="K304">
        <v>97</v>
      </c>
      <c r="L304">
        <v>30</v>
      </c>
      <c r="M304">
        <v>5</v>
      </c>
      <c r="N304">
        <v>7</v>
      </c>
      <c r="O304">
        <v>109</v>
      </c>
      <c r="P304">
        <v>611</v>
      </c>
    </row>
    <row r="305" spans="1:16" x14ac:dyDescent="0.25">
      <c r="A305" s="1">
        <v>43899.75</v>
      </c>
      <c r="B305" s="2" t="s">
        <v>12</v>
      </c>
      <c r="C305">
        <v>3</v>
      </c>
      <c r="D305" s="2" t="s">
        <v>49</v>
      </c>
      <c r="E305">
        <v>4546679409</v>
      </c>
      <c r="F305">
        <v>9190347404</v>
      </c>
      <c r="G305">
        <v>2802</v>
      </c>
      <c r="H305">
        <v>440</v>
      </c>
      <c r="I305">
        <v>3242</v>
      </c>
      <c r="J305">
        <v>1248</v>
      </c>
      <c r="K305">
        <v>4490</v>
      </c>
      <c r="L305">
        <v>1118</v>
      </c>
      <c r="M305">
        <v>646</v>
      </c>
      <c r="N305">
        <v>333</v>
      </c>
      <c r="O305">
        <v>5469</v>
      </c>
      <c r="P305">
        <v>20135</v>
      </c>
    </row>
    <row r="306" spans="1:16" x14ac:dyDescent="0.25">
      <c r="A306" s="1">
        <v>43899.75</v>
      </c>
      <c r="B306" s="2" t="s">
        <v>12</v>
      </c>
      <c r="C306">
        <v>11</v>
      </c>
      <c r="D306" s="2" t="s">
        <v>50</v>
      </c>
      <c r="E306">
        <v>4361675973</v>
      </c>
      <c r="F306">
        <v>135188753</v>
      </c>
      <c r="G306">
        <v>136</v>
      </c>
      <c r="H306">
        <v>47</v>
      </c>
      <c r="I306">
        <v>183</v>
      </c>
      <c r="J306">
        <v>130</v>
      </c>
      <c r="K306">
        <v>313</v>
      </c>
      <c r="L306">
        <v>48</v>
      </c>
      <c r="M306">
        <v>0</v>
      </c>
      <c r="N306">
        <v>10</v>
      </c>
      <c r="O306">
        <v>323</v>
      </c>
      <c r="P306">
        <v>1250</v>
      </c>
    </row>
    <row r="307" spans="1:16" x14ac:dyDescent="0.25">
      <c r="A307" s="1">
        <v>43899.75</v>
      </c>
      <c r="B307" s="2" t="s">
        <v>12</v>
      </c>
      <c r="C307">
        <v>14</v>
      </c>
      <c r="D307" s="2" t="s">
        <v>51</v>
      </c>
      <c r="E307">
        <v>4155774754</v>
      </c>
      <c r="F307">
        <v>1465916051</v>
      </c>
      <c r="G307">
        <v>4</v>
      </c>
      <c r="H307">
        <v>2</v>
      </c>
      <c r="I307">
        <v>6</v>
      </c>
      <c r="J307">
        <v>8</v>
      </c>
      <c r="K307">
        <v>14</v>
      </c>
      <c r="L307">
        <v>0</v>
      </c>
      <c r="M307">
        <v>0</v>
      </c>
      <c r="N307">
        <v>0</v>
      </c>
      <c r="O307">
        <v>14</v>
      </c>
      <c r="P307">
        <v>212</v>
      </c>
    </row>
    <row r="308" spans="1:16" x14ac:dyDescent="0.25">
      <c r="A308" s="1">
        <v>43899.75</v>
      </c>
      <c r="B308" s="2" t="s">
        <v>12</v>
      </c>
      <c r="C308">
        <v>1</v>
      </c>
      <c r="D308" s="2" t="s">
        <v>52</v>
      </c>
      <c r="E308">
        <v>450732745</v>
      </c>
      <c r="F308">
        <v>7680687483</v>
      </c>
      <c r="G308">
        <v>222</v>
      </c>
      <c r="H308">
        <v>50</v>
      </c>
      <c r="I308">
        <v>272</v>
      </c>
      <c r="J308">
        <v>65</v>
      </c>
      <c r="K308">
        <v>337</v>
      </c>
      <c r="L308">
        <v>-18</v>
      </c>
      <c r="M308">
        <v>0</v>
      </c>
      <c r="N308">
        <v>13</v>
      </c>
      <c r="O308">
        <v>350</v>
      </c>
      <c r="P308">
        <v>1681</v>
      </c>
    </row>
    <row r="309" spans="1:16" x14ac:dyDescent="0.25">
      <c r="A309" s="1">
        <v>43899.75</v>
      </c>
      <c r="B309" s="2" t="s">
        <v>12</v>
      </c>
      <c r="C309">
        <v>16</v>
      </c>
      <c r="D309" s="2" t="s">
        <v>53</v>
      </c>
      <c r="E309">
        <v>4112559576</v>
      </c>
      <c r="F309">
        <v>1686736689</v>
      </c>
      <c r="G309">
        <v>20</v>
      </c>
      <c r="H309">
        <v>6</v>
      </c>
      <c r="I309">
        <v>26</v>
      </c>
      <c r="J309">
        <v>20</v>
      </c>
      <c r="K309">
        <v>46</v>
      </c>
      <c r="L309">
        <v>10</v>
      </c>
      <c r="M309">
        <v>1</v>
      </c>
      <c r="N309">
        <v>3</v>
      </c>
      <c r="O309">
        <v>50</v>
      </c>
      <c r="P309">
        <v>685</v>
      </c>
    </row>
    <row r="310" spans="1:16" x14ac:dyDescent="0.25">
      <c r="A310" s="1">
        <v>43899.75</v>
      </c>
      <c r="B310" s="2" t="s">
        <v>12</v>
      </c>
      <c r="C310">
        <v>20</v>
      </c>
      <c r="D310" s="2" t="s">
        <v>54</v>
      </c>
      <c r="E310">
        <v>3921531192</v>
      </c>
      <c r="F310">
        <v>9110616306</v>
      </c>
      <c r="G310">
        <v>8</v>
      </c>
      <c r="H310">
        <v>0</v>
      </c>
      <c r="I310">
        <v>8</v>
      </c>
      <c r="J310">
        <v>11</v>
      </c>
      <c r="K310">
        <v>19</v>
      </c>
      <c r="L310">
        <v>8</v>
      </c>
      <c r="M310">
        <v>0</v>
      </c>
      <c r="N310">
        <v>0</v>
      </c>
      <c r="O310">
        <v>19</v>
      </c>
      <c r="P310">
        <v>185</v>
      </c>
    </row>
    <row r="311" spans="1:16" x14ac:dyDescent="0.25">
      <c r="A311" s="1">
        <v>43899.75</v>
      </c>
      <c r="B311" s="2" t="s">
        <v>12</v>
      </c>
      <c r="C311">
        <v>19</v>
      </c>
      <c r="D311" s="2" t="s">
        <v>55</v>
      </c>
      <c r="E311">
        <v>3811569725</v>
      </c>
      <c r="F311">
        <v>133623567</v>
      </c>
      <c r="G311">
        <v>19</v>
      </c>
      <c r="H311">
        <v>0</v>
      </c>
      <c r="I311">
        <v>19</v>
      </c>
      <c r="J311">
        <v>33</v>
      </c>
      <c r="K311">
        <v>52</v>
      </c>
      <c r="L311">
        <v>1</v>
      </c>
      <c r="M311">
        <v>2</v>
      </c>
      <c r="N311">
        <v>0</v>
      </c>
      <c r="O311">
        <v>54</v>
      </c>
      <c r="P311">
        <v>836</v>
      </c>
    </row>
    <row r="312" spans="1:16" x14ac:dyDescent="0.25">
      <c r="A312" s="1">
        <v>43899.75</v>
      </c>
      <c r="B312" s="2" t="s">
        <v>12</v>
      </c>
      <c r="C312">
        <v>9</v>
      </c>
      <c r="D312" s="2" t="s">
        <v>56</v>
      </c>
      <c r="E312">
        <v>4376923077</v>
      </c>
      <c r="F312">
        <v>1125588885</v>
      </c>
      <c r="G312">
        <v>107</v>
      </c>
      <c r="H312">
        <v>9</v>
      </c>
      <c r="I312">
        <v>116</v>
      </c>
      <c r="J312">
        <v>90</v>
      </c>
      <c r="K312">
        <v>206</v>
      </c>
      <c r="L312">
        <v>41</v>
      </c>
      <c r="M312">
        <v>1</v>
      </c>
      <c r="N312">
        <v>1</v>
      </c>
      <c r="O312">
        <v>208</v>
      </c>
      <c r="P312">
        <v>2018</v>
      </c>
    </row>
    <row r="313" spans="1:16" x14ac:dyDescent="0.25">
      <c r="A313" s="1">
        <v>43899.75</v>
      </c>
      <c r="B313" s="2" t="s">
        <v>12</v>
      </c>
      <c r="C313">
        <v>4</v>
      </c>
      <c r="D313" s="2" t="s">
        <v>57</v>
      </c>
      <c r="E313">
        <v>4606893511</v>
      </c>
      <c r="F313">
        <v>1112123097</v>
      </c>
      <c r="G313">
        <v>10</v>
      </c>
      <c r="H313">
        <v>2</v>
      </c>
      <c r="I313">
        <v>12</v>
      </c>
      <c r="J313">
        <v>21</v>
      </c>
      <c r="K313">
        <v>33</v>
      </c>
      <c r="L313">
        <v>10</v>
      </c>
      <c r="M313">
        <v>0</v>
      </c>
      <c r="N313">
        <v>0</v>
      </c>
      <c r="O313">
        <v>33</v>
      </c>
      <c r="P313">
        <v>267</v>
      </c>
    </row>
    <row r="314" spans="1:16" x14ac:dyDescent="0.25">
      <c r="A314" s="1">
        <v>43899.75</v>
      </c>
      <c r="B314" s="2" t="s">
        <v>12</v>
      </c>
      <c r="C314">
        <v>10</v>
      </c>
      <c r="D314" s="2" t="s">
        <v>58</v>
      </c>
      <c r="E314">
        <v>4310675841</v>
      </c>
      <c r="F314">
        <v>1238824698</v>
      </c>
      <c r="G314">
        <v>4</v>
      </c>
      <c r="H314">
        <v>2</v>
      </c>
      <c r="I314">
        <v>6</v>
      </c>
      <c r="J314">
        <v>22</v>
      </c>
      <c r="K314">
        <v>28</v>
      </c>
      <c r="L314">
        <v>2</v>
      </c>
      <c r="M314">
        <v>0</v>
      </c>
      <c r="N314">
        <v>0</v>
      </c>
      <c r="O314">
        <v>28</v>
      </c>
      <c r="P314">
        <v>183</v>
      </c>
    </row>
    <row r="315" spans="1:16" x14ac:dyDescent="0.25">
      <c r="A315" s="1">
        <v>43899.75</v>
      </c>
      <c r="B315" s="2" t="s">
        <v>12</v>
      </c>
      <c r="C315">
        <v>2</v>
      </c>
      <c r="D315" s="2" t="s">
        <v>59</v>
      </c>
      <c r="E315">
        <v>4573750286</v>
      </c>
      <c r="F315">
        <v>7320149366</v>
      </c>
      <c r="G315">
        <v>4</v>
      </c>
      <c r="H315">
        <v>0</v>
      </c>
      <c r="I315">
        <v>4</v>
      </c>
      <c r="J315">
        <v>11</v>
      </c>
      <c r="K315">
        <v>15</v>
      </c>
      <c r="L315">
        <v>6</v>
      </c>
      <c r="M315">
        <v>0</v>
      </c>
      <c r="N315">
        <v>0</v>
      </c>
      <c r="O315">
        <v>15</v>
      </c>
      <c r="P315">
        <v>67</v>
      </c>
    </row>
    <row r="316" spans="1:16" x14ac:dyDescent="0.25">
      <c r="A316" s="1">
        <v>43899.75</v>
      </c>
      <c r="B316" s="2" t="s">
        <v>12</v>
      </c>
      <c r="C316">
        <v>5</v>
      </c>
      <c r="D316" s="2" t="s">
        <v>60</v>
      </c>
      <c r="E316">
        <v>4543490485</v>
      </c>
      <c r="F316">
        <v>1233845213</v>
      </c>
      <c r="G316">
        <v>186</v>
      </c>
      <c r="H316">
        <v>51</v>
      </c>
      <c r="I316">
        <v>237</v>
      </c>
      <c r="J316">
        <v>457</v>
      </c>
      <c r="K316">
        <v>694</v>
      </c>
      <c r="L316">
        <v>71</v>
      </c>
      <c r="M316">
        <v>30</v>
      </c>
      <c r="N316">
        <v>20</v>
      </c>
      <c r="O316">
        <v>744</v>
      </c>
      <c r="P316">
        <v>15956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9B689-4B85-4885-AD7A-5721550C2697}">
  <dimension ref="B2:N27"/>
  <sheetViews>
    <sheetView topLeftCell="G1" workbookViewId="0">
      <selection activeCell="M9" sqref="M9"/>
    </sheetView>
  </sheetViews>
  <sheetFormatPr defaultRowHeight="15" x14ac:dyDescent="0.25"/>
  <cols>
    <col min="2" max="2" width="18.28515625" bestFit="1" customWidth="1"/>
    <col min="3" max="3" width="20" bestFit="1" customWidth="1"/>
    <col min="4" max="4" width="9.7109375" bestFit="1" customWidth="1"/>
    <col min="5" max="5" width="14" customWidth="1"/>
    <col min="6" max="6" width="21.5703125" bestFit="1" customWidth="1"/>
    <col min="7" max="7" width="28.5703125" bestFit="1" customWidth="1"/>
    <col min="8" max="8" width="25.7109375" bestFit="1" customWidth="1"/>
    <col min="9" max="9" width="15.85546875" bestFit="1" customWidth="1"/>
    <col min="10" max="10" width="18.28515625" bestFit="1" customWidth="1"/>
    <col min="11" max="11" width="35.5703125" bestFit="1" customWidth="1"/>
    <col min="12" max="12" width="37.28515625" bestFit="1" customWidth="1"/>
    <col min="13" max="13" width="19" bestFit="1" customWidth="1"/>
    <col min="14" max="14" width="21.5703125" bestFit="1" customWidth="1"/>
    <col min="15" max="16" width="14.140625" bestFit="1" customWidth="1"/>
    <col min="17" max="28" width="15.85546875" bestFit="1" customWidth="1"/>
    <col min="29" max="29" width="18.28515625" bestFit="1" customWidth="1"/>
  </cols>
  <sheetData>
    <row r="2" spans="2:14" x14ac:dyDescent="0.25">
      <c r="B2" s="3" t="s">
        <v>14</v>
      </c>
      <c r="C2" t="s">
        <v>15</v>
      </c>
      <c r="D2" t="s">
        <v>16</v>
      </c>
      <c r="F2" t="s">
        <v>20</v>
      </c>
      <c r="H2" t="s">
        <v>28</v>
      </c>
      <c r="J2" t="s">
        <v>29</v>
      </c>
      <c r="L2" t="s">
        <v>19</v>
      </c>
    </row>
    <row r="3" spans="2:14" x14ac:dyDescent="0.25">
      <c r="B3" s="4">
        <v>43885.75</v>
      </c>
      <c r="C3" s="2">
        <v>229</v>
      </c>
      <c r="D3" s="2">
        <v>7</v>
      </c>
      <c r="F3" s="2">
        <v>9172</v>
      </c>
      <c r="H3" s="2">
        <v>724</v>
      </c>
      <c r="J3" s="2">
        <v>463</v>
      </c>
      <c r="L3" s="2">
        <v>7985</v>
      </c>
    </row>
    <row r="4" spans="2:14" x14ac:dyDescent="0.25">
      <c r="B4" s="4">
        <v>43886.75</v>
      </c>
      <c r="C4" s="2">
        <v>322</v>
      </c>
      <c r="D4" s="2">
        <v>10</v>
      </c>
    </row>
    <row r="5" spans="2:14" x14ac:dyDescent="0.25">
      <c r="B5" s="4">
        <v>43887.75</v>
      </c>
      <c r="C5" s="2">
        <v>400</v>
      </c>
      <c r="D5" s="2">
        <v>12</v>
      </c>
    </row>
    <row r="6" spans="2:14" x14ac:dyDescent="0.25">
      <c r="B6" s="4">
        <v>43888.75</v>
      </c>
      <c r="C6" s="2">
        <v>650</v>
      </c>
      <c r="D6" s="2">
        <v>17</v>
      </c>
      <c r="F6" s="3" t="s">
        <v>14</v>
      </c>
      <c r="G6" t="s">
        <v>18</v>
      </c>
      <c r="H6" t="s">
        <v>32</v>
      </c>
      <c r="J6" s="3" t="s">
        <v>14</v>
      </c>
      <c r="K6" t="s">
        <v>17</v>
      </c>
      <c r="M6" s="3" t="s">
        <v>14</v>
      </c>
      <c r="N6" t="s">
        <v>20</v>
      </c>
    </row>
    <row r="7" spans="2:14" x14ac:dyDescent="0.25">
      <c r="B7" s="4">
        <v>43889.75</v>
      </c>
      <c r="C7" s="2">
        <v>888</v>
      </c>
      <c r="D7" s="2">
        <v>21</v>
      </c>
      <c r="F7" s="4">
        <v>43885.75</v>
      </c>
      <c r="G7" s="2">
        <v>127</v>
      </c>
      <c r="H7" s="2">
        <v>26</v>
      </c>
      <c r="J7" s="5">
        <v>2</v>
      </c>
      <c r="K7" s="2"/>
      <c r="M7" s="5" t="s">
        <v>40</v>
      </c>
      <c r="N7" s="2">
        <v>30</v>
      </c>
    </row>
    <row r="8" spans="2:14" x14ac:dyDescent="0.25">
      <c r="B8" s="4">
        <v>43890.75</v>
      </c>
      <c r="C8" s="2">
        <v>1128</v>
      </c>
      <c r="D8" s="2">
        <v>29</v>
      </c>
      <c r="F8" s="4">
        <v>43886.75</v>
      </c>
      <c r="G8" s="2">
        <v>150</v>
      </c>
      <c r="H8" s="2">
        <v>35</v>
      </c>
      <c r="J8" s="6">
        <v>24</v>
      </c>
      <c r="K8" s="2">
        <v>221</v>
      </c>
      <c r="M8" s="5" t="s">
        <v>41</v>
      </c>
      <c r="N8" s="2">
        <v>5</v>
      </c>
    </row>
    <row r="9" spans="2:14" x14ac:dyDescent="0.25">
      <c r="B9" s="4">
        <v>43891.75</v>
      </c>
      <c r="C9" s="2">
        <v>1694</v>
      </c>
      <c r="D9" s="2">
        <v>34</v>
      </c>
      <c r="F9" s="4">
        <v>43887.75</v>
      </c>
      <c r="G9" s="2">
        <v>164</v>
      </c>
      <c r="H9" s="2">
        <v>36</v>
      </c>
      <c r="J9" s="6">
        <v>25</v>
      </c>
      <c r="K9" s="2">
        <v>90</v>
      </c>
      <c r="M9" s="5" t="s">
        <v>42</v>
      </c>
      <c r="N9" s="2">
        <v>9</v>
      </c>
    </row>
    <row r="10" spans="2:14" x14ac:dyDescent="0.25">
      <c r="B10" s="4">
        <v>43892.75</v>
      </c>
      <c r="C10" s="2">
        <v>2036</v>
      </c>
      <c r="D10" s="2">
        <v>52</v>
      </c>
      <c r="F10" s="4">
        <v>43888.75</v>
      </c>
      <c r="G10" s="2">
        <v>304</v>
      </c>
      <c r="H10" s="2">
        <v>56</v>
      </c>
      <c r="J10" s="6">
        <v>26</v>
      </c>
      <c r="K10" s="2">
        <v>74</v>
      </c>
      <c r="M10" s="5" t="s">
        <v>43</v>
      </c>
      <c r="N10" s="2">
        <v>11</v>
      </c>
    </row>
    <row r="11" spans="2:14" x14ac:dyDescent="0.25">
      <c r="B11" s="4">
        <v>43893.75</v>
      </c>
      <c r="C11" s="2">
        <v>2502</v>
      </c>
      <c r="D11" s="2">
        <v>79</v>
      </c>
      <c r="F11" s="4">
        <v>43889.75</v>
      </c>
      <c r="G11" s="2">
        <v>409</v>
      </c>
      <c r="H11" s="2">
        <v>64</v>
      </c>
      <c r="J11" s="6">
        <v>27</v>
      </c>
      <c r="K11" s="2">
        <v>203</v>
      </c>
      <c r="M11" s="5" t="s">
        <v>44</v>
      </c>
      <c r="N11" s="2">
        <v>120</v>
      </c>
    </row>
    <row r="12" spans="2:14" x14ac:dyDescent="0.25">
      <c r="B12" s="4">
        <v>43894.75</v>
      </c>
      <c r="C12" s="2">
        <v>3089</v>
      </c>
      <c r="D12" s="2">
        <v>107</v>
      </c>
      <c r="F12" s="4">
        <v>43890.75</v>
      </c>
      <c r="G12" s="2">
        <v>506</v>
      </c>
      <c r="H12" s="2">
        <v>105</v>
      </c>
      <c r="J12" s="6">
        <v>28</v>
      </c>
      <c r="K12" s="2">
        <v>233</v>
      </c>
      <c r="M12" s="5" t="s">
        <v>45</v>
      </c>
      <c r="N12" s="2">
        <v>1386</v>
      </c>
    </row>
    <row r="13" spans="2:14" x14ac:dyDescent="0.25">
      <c r="B13" s="4">
        <v>43895.75</v>
      </c>
      <c r="C13" s="2">
        <v>3858</v>
      </c>
      <c r="D13" s="2">
        <v>148</v>
      </c>
      <c r="F13" s="4">
        <v>43891.75</v>
      </c>
      <c r="G13" s="2">
        <v>779</v>
      </c>
      <c r="H13" s="2">
        <v>140</v>
      </c>
      <c r="J13" s="6">
        <v>29</v>
      </c>
      <c r="K13" s="2">
        <v>228</v>
      </c>
      <c r="M13" s="5" t="s">
        <v>46</v>
      </c>
      <c r="N13" s="2">
        <v>93</v>
      </c>
    </row>
    <row r="14" spans="2:14" x14ac:dyDescent="0.25">
      <c r="B14" s="4">
        <v>43896.75</v>
      </c>
      <c r="C14" s="2">
        <v>4636</v>
      </c>
      <c r="D14" s="2">
        <v>197</v>
      </c>
      <c r="F14" s="4">
        <v>43892.75</v>
      </c>
      <c r="G14" s="2">
        <v>908</v>
      </c>
      <c r="H14" s="2">
        <v>166</v>
      </c>
      <c r="J14" s="5">
        <v>3</v>
      </c>
      <c r="K14" s="2"/>
      <c r="M14" s="5" t="s">
        <v>47</v>
      </c>
      <c r="N14" s="2">
        <v>102</v>
      </c>
    </row>
    <row r="15" spans="2:14" x14ac:dyDescent="0.25">
      <c r="B15" s="4">
        <v>43897.75</v>
      </c>
      <c r="C15" s="2">
        <v>5883</v>
      </c>
      <c r="D15" s="2">
        <v>233</v>
      </c>
      <c r="F15" s="4">
        <v>43893.75</v>
      </c>
      <c r="G15" s="2">
        <v>1263</v>
      </c>
      <c r="H15" s="2">
        <v>229</v>
      </c>
      <c r="J15" s="6">
        <v>1</v>
      </c>
      <c r="K15" s="2">
        <v>528</v>
      </c>
      <c r="M15" s="5" t="s">
        <v>48</v>
      </c>
      <c r="N15" s="2">
        <v>109</v>
      </c>
    </row>
    <row r="16" spans="2:14" x14ac:dyDescent="0.25">
      <c r="B16" s="4">
        <v>43898.75</v>
      </c>
      <c r="C16" s="2">
        <v>7375</v>
      </c>
      <c r="D16" s="2">
        <v>366</v>
      </c>
      <c r="F16" s="4">
        <v>43894.75</v>
      </c>
      <c r="G16" s="2">
        <v>1641</v>
      </c>
      <c r="H16" s="2">
        <v>295</v>
      </c>
      <c r="J16" s="6">
        <v>2</v>
      </c>
      <c r="K16" s="2">
        <v>258</v>
      </c>
      <c r="M16" s="5" t="s">
        <v>49</v>
      </c>
      <c r="N16" s="2">
        <v>5469</v>
      </c>
    </row>
    <row r="17" spans="2:14" x14ac:dyDescent="0.25">
      <c r="B17" s="4">
        <v>43899.75</v>
      </c>
      <c r="C17" s="2">
        <v>9172</v>
      </c>
      <c r="D17" s="2">
        <v>463</v>
      </c>
      <c r="F17" s="4">
        <v>43895.75</v>
      </c>
      <c r="G17" s="2">
        <v>2141</v>
      </c>
      <c r="H17" s="2">
        <v>351</v>
      </c>
      <c r="J17" s="6">
        <v>3</v>
      </c>
      <c r="K17" s="2">
        <v>428</v>
      </c>
      <c r="M17" s="5" t="s">
        <v>50</v>
      </c>
      <c r="N17" s="2">
        <v>323</v>
      </c>
    </row>
    <row r="18" spans="2:14" x14ac:dyDescent="0.25">
      <c r="B18" s="5" t="s">
        <v>13</v>
      </c>
      <c r="C18" s="2">
        <v>43862</v>
      </c>
      <c r="D18" s="2">
        <v>1775</v>
      </c>
      <c r="F18" s="4">
        <v>43896.75</v>
      </c>
      <c r="G18" s="2">
        <v>2856</v>
      </c>
      <c r="H18" s="2">
        <v>462</v>
      </c>
      <c r="J18" s="6">
        <v>4</v>
      </c>
      <c r="K18" s="2">
        <v>443</v>
      </c>
      <c r="M18" s="5" t="s">
        <v>51</v>
      </c>
      <c r="N18" s="2">
        <v>14</v>
      </c>
    </row>
    <row r="19" spans="2:14" x14ac:dyDescent="0.25">
      <c r="F19" s="4">
        <v>43897.75</v>
      </c>
      <c r="G19" s="2">
        <v>3218</v>
      </c>
      <c r="H19" s="2">
        <v>567</v>
      </c>
      <c r="J19" s="6">
        <v>5</v>
      </c>
      <c r="K19" s="2">
        <v>590</v>
      </c>
      <c r="M19" s="5" t="s">
        <v>52</v>
      </c>
      <c r="N19" s="2">
        <v>360</v>
      </c>
    </row>
    <row r="20" spans="2:14" x14ac:dyDescent="0.25">
      <c r="F20" s="4">
        <v>43898.75</v>
      </c>
      <c r="G20" s="2">
        <v>4207</v>
      </c>
      <c r="H20" s="2">
        <v>650</v>
      </c>
      <c r="J20" s="6">
        <v>6</v>
      </c>
      <c r="K20" s="2">
        <v>620</v>
      </c>
      <c r="M20" s="5" t="s">
        <v>53</v>
      </c>
      <c r="N20" s="2">
        <v>50</v>
      </c>
    </row>
    <row r="21" spans="2:14" x14ac:dyDescent="0.25">
      <c r="F21" s="4">
        <v>43899.75</v>
      </c>
      <c r="G21" s="2">
        <v>5049</v>
      </c>
      <c r="H21" s="2">
        <v>733</v>
      </c>
      <c r="J21" s="6">
        <v>7</v>
      </c>
      <c r="K21" s="2">
        <v>1145</v>
      </c>
      <c r="M21" s="5" t="s">
        <v>54</v>
      </c>
      <c r="N21" s="2">
        <v>19</v>
      </c>
    </row>
    <row r="22" spans="2:14" x14ac:dyDescent="0.25">
      <c r="F22" s="5" t="s">
        <v>13</v>
      </c>
      <c r="G22" s="2">
        <v>23722</v>
      </c>
      <c r="H22" s="2">
        <v>3915</v>
      </c>
      <c r="J22" s="6">
        <v>8</v>
      </c>
      <c r="K22" s="2">
        <v>1326</v>
      </c>
      <c r="M22" s="5" t="s">
        <v>55</v>
      </c>
      <c r="N22" s="2">
        <v>54</v>
      </c>
    </row>
    <row r="23" spans="2:14" x14ac:dyDescent="0.25">
      <c r="J23" s="6">
        <v>9</v>
      </c>
      <c r="K23" s="2">
        <v>1598</v>
      </c>
      <c r="M23" s="5" t="s">
        <v>56</v>
      </c>
      <c r="N23" s="2">
        <v>208</v>
      </c>
    </row>
    <row r="24" spans="2:14" x14ac:dyDescent="0.25">
      <c r="J24" s="5" t="s">
        <v>13</v>
      </c>
      <c r="K24" s="2">
        <v>7985</v>
      </c>
      <c r="M24" s="5" t="s">
        <v>57</v>
      </c>
      <c r="N24" s="2">
        <v>33</v>
      </c>
    </row>
    <row r="25" spans="2:14" x14ac:dyDescent="0.25">
      <c r="M25" s="5" t="s">
        <v>58</v>
      </c>
      <c r="N25" s="2">
        <v>28</v>
      </c>
    </row>
    <row r="26" spans="2:14" x14ac:dyDescent="0.25">
      <c r="M26" s="5" t="s">
        <v>59</v>
      </c>
      <c r="N26" s="2">
        <v>15</v>
      </c>
    </row>
    <row r="27" spans="2:14" x14ac:dyDescent="0.25">
      <c r="M27" s="5" t="s">
        <v>60</v>
      </c>
      <c r="N27" s="2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6737ECF1-C7A5-4F9B-8C82-E062A49D81C8}">
  <ds:schemaRefs/>
</ds:datastoreItem>
</file>

<file path=customXml/itemProps2.xml><?xml version="1.0" encoding="utf-8"?>
<ds:datastoreItem xmlns:ds="http://schemas.openxmlformats.org/officeDocument/2006/customXml" ds:itemID="{5580E0B9-07FB-473B-8044-889B3F0AF118}">
  <ds:schemaRefs/>
</ds:datastoreItem>
</file>

<file path=customXml/itemProps3.xml><?xml version="1.0" encoding="utf-8"?>
<ds:datastoreItem xmlns:ds="http://schemas.openxmlformats.org/officeDocument/2006/customXml" ds:itemID="{E5C95EF1-6A9B-4F94-95A8-C2ABC67BBE31}">
  <ds:schemaRefs/>
</ds:datastoreItem>
</file>

<file path=customXml/itemProps4.xml><?xml version="1.0" encoding="utf-8"?>
<ds:datastoreItem xmlns:ds="http://schemas.openxmlformats.org/officeDocument/2006/customXml" ds:itemID="{E9BF912D-9327-46BB-B088-787B43EED6B1}">
  <ds:schemaRefs/>
</ds:datastoreItem>
</file>

<file path=customXml/itemProps5.xml><?xml version="1.0" encoding="utf-8"?>
<ds:datastoreItem xmlns:ds="http://schemas.openxmlformats.org/officeDocument/2006/customXml" ds:itemID="{B30C89A1-81D1-43A7-B8F0-C07BB08E0B81}">
  <ds:schemaRefs/>
</ds:datastoreItem>
</file>

<file path=customXml/itemProps6.xml><?xml version="1.0" encoding="utf-8"?>
<ds:datastoreItem xmlns:ds="http://schemas.openxmlformats.org/officeDocument/2006/customXml" ds:itemID="{63093101-B6D9-497C-AF55-3DD29BF42DE7}">
  <ds:schemaRefs/>
</ds:datastoreItem>
</file>

<file path=customXml/itemProps7.xml><?xml version="1.0" encoding="utf-8"?>
<ds:datastoreItem xmlns:ds="http://schemas.openxmlformats.org/officeDocument/2006/customXml" ds:itemID="{76FFF514-B963-4505-A35B-BDD361EE8EBA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ED3DBD0A-402E-4D26-8994-A7CBF78567DE}">
  <ds:schemaRefs/>
</ds:datastoreItem>
</file>

<file path=customXml/itemProps9.xml><?xml version="1.0" encoding="utf-8"?>
<ds:datastoreItem xmlns:ds="http://schemas.openxmlformats.org/officeDocument/2006/customXml" ds:itemID="{9C2AD689-9F96-4448-8426-F9B9DC73B9BF}">
  <ds:schemaRefs/>
</ds:datastoreItem>
</file>

<file path=customXml/itemProps10.xml><?xml version="1.0" encoding="utf-8"?>
<ds:datastoreItem xmlns:ds="http://schemas.openxmlformats.org/officeDocument/2006/customXml" ds:itemID="{F05D0DEA-FC82-409B-A00D-122BE9E78FE9}">
  <ds:schemaRefs/>
</ds:datastoreItem>
</file>

<file path=customXml/itemProps11.xml><?xml version="1.0" encoding="utf-8"?>
<ds:datastoreItem xmlns:ds="http://schemas.openxmlformats.org/officeDocument/2006/customXml" ds:itemID="{8DCA0ABC-7C84-4465-A567-20E1B66471DF}">
  <ds:schemaRefs/>
</ds:datastoreItem>
</file>

<file path=customXml/itemProps12.xml><?xml version="1.0" encoding="utf-8"?>
<ds:datastoreItem xmlns:ds="http://schemas.openxmlformats.org/officeDocument/2006/customXml" ds:itemID="{57F8DF1E-3FA0-403B-903E-01AA401A80C4}">
  <ds:schemaRefs/>
</ds:datastoreItem>
</file>

<file path=customXml/itemProps13.xml><?xml version="1.0" encoding="utf-8"?>
<ds:datastoreItem xmlns:ds="http://schemas.openxmlformats.org/officeDocument/2006/customXml" ds:itemID="{02A30966-4DB2-4666-82C3-67836E43102C}">
  <ds:schemaRefs/>
</ds:datastoreItem>
</file>

<file path=customXml/itemProps14.xml><?xml version="1.0" encoding="utf-8"?>
<ds:datastoreItem xmlns:ds="http://schemas.openxmlformats.org/officeDocument/2006/customXml" ds:itemID="{9537F70A-F248-471D-AA5D-B3B49E3245AD}">
  <ds:schemaRefs/>
</ds:datastoreItem>
</file>

<file path=customXml/itemProps15.xml><?xml version="1.0" encoding="utf-8"?>
<ds:datastoreItem xmlns:ds="http://schemas.openxmlformats.org/officeDocument/2006/customXml" ds:itemID="{D7850B0B-F81B-41DD-A22D-3E61884F6167}">
  <ds:schemaRefs/>
</ds:datastoreItem>
</file>

<file path=customXml/itemProps16.xml><?xml version="1.0" encoding="utf-8"?>
<ds:datastoreItem xmlns:ds="http://schemas.openxmlformats.org/officeDocument/2006/customXml" ds:itemID="{517496D9-F512-4AA0-8087-ABF290694E57}">
  <ds:schemaRefs/>
</ds:datastoreItem>
</file>

<file path=customXml/itemProps17.xml><?xml version="1.0" encoding="utf-8"?>
<ds:datastoreItem xmlns:ds="http://schemas.openxmlformats.org/officeDocument/2006/customXml" ds:itemID="{4C175C5F-BCD2-4CFA-BAF9-FE233944F9D6}">
  <ds:schemaRefs/>
</ds:datastoreItem>
</file>

<file path=customXml/itemProps18.xml><?xml version="1.0" encoding="utf-8"?>
<ds:datastoreItem xmlns:ds="http://schemas.openxmlformats.org/officeDocument/2006/customXml" ds:itemID="{5CE9B8CA-F0BB-41AE-ABE7-B6F5DCD8BA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Istruzioni</vt:lpstr>
      <vt:lpstr>Dashboard</vt:lpstr>
      <vt:lpstr>Nazionale</vt:lpstr>
      <vt:lpstr>Regioni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Maramotti</dc:creator>
  <cp:lastModifiedBy>Alessandro Maramotti</cp:lastModifiedBy>
  <dcterms:created xsi:type="dcterms:W3CDTF">2020-03-09T17:05:53Z</dcterms:created>
  <dcterms:modified xsi:type="dcterms:W3CDTF">2020-03-10T09:27:58Z</dcterms:modified>
</cp:coreProperties>
</file>