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sspa-my.sharepoint.com/personal/a_maramotti_teamsystem_com/Documents/Temp/BI/"/>
    </mc:Choice>
  </mc:AlternateContent>
  <xr:revisionPtr revIDLastSave="236" documentId="13_ncr:1_{01AEE07C-F2A6-4695-98DE-7AD330094A1A}" xr6:coauthVersionLast="45" xr6:coauthVersionMax="45" xr10:uidLastSave="{6C8FD47E-2303-450C-BBCC-8082866D1C60}"/>
  <bookViews>
    <workbookView xWindow="-120" yWindow="-120" windowWidth="29040" windowHeight="15840" activeTab="1" xr2:uid="{BC078018-B75B-4C4E-AF90-4074B60EF2C2}"/>
  </bookViews>
  <sheets>
    <sheet name="Istruzioni" sheetId="5" r:id="rId1"/>
    <sheet name="Dashboard" sheetId="2" r:id="rId2"/>
    <sheet name="Nazionale" sheetId="4" r:id="rId3"/>
    <sheet name="Regioni" sheetId="6" r:id="rId4"/>
    <sheet name="Pivot" sheetId="1" r:id="rId5"/>
  </sheets>
  <definedNames>
    <definedName name="_xlchart.v5.0" hidden="1">Pivot!$N$6</definedName>
    <definedName name="_xlchart.v5.1" hidden="1">Pivot!$N$7:$N$28</definedName>
    <definedName name="_xlchart.v5.2" hidden="1">Pivot!$O$6</definedName>
    <definedName name="_xlchart.v5.3" hidden="1">Pivot!$O$7:$O$28</definedName>
    <definedName name="_xlcn.WorksheetConnection_Cartel1dpc_covid19_ita_andamento_nazionale1" hidden="1">dpc_covid19_ita_andamento_nazionale[]</definedName>
    <definedName name="_xlcn.WorksheetConnection_COVID19Analisys.xlsxdpc_covid19_ita_regioni1" hidden="1">dpc_covid19_ita_regioni[]</definedName>
    <definedName name="DatiEsterni_1" localSheetId="2" hidden="1">Nazionale!$A$1:$L$17</definedName>
    <definedName name="DatiEsterni_1" localSheetId="3" hidden="1">Regioni!$A$1:$P$337</definedName>
    <definedName name="SequenzaTemporale_data">#N/A</definedName>
  </definedNames>
  <calcPr calcId="191029"/>
  <pivotCaches>
    <pivotCache cacheId="94" r:id="rId6"/>
    <pivotCache cacheId="97" r:id="rId7"/>
    <pivotCache cacheId="100" r:id="rId8"/>
    <pivotCache cacheId="103" r:id="rId9"/>
    <pivotCache cacheId="106" r:id="rId10"/>
    <pivotCache cacheId="109" r:id="rId11"/>
    <pivotCache cacheId="112" r:id="rId12"/>
    <pivotCache cacheId="118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3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pc_covid19_ita_regioni" name="dpc_covid19_ita_regioni" connection="WorksheetConnection_COVID19-Analisys.xlsx!dpc_covid19_ita_regioni"/>
          <x15:modelTable id="dpc_covid19_ita_andamento_nazionale" name="dpc_covid19_ita_andamento_nazionale" connection="WorksheetConnection_Cartel1!dpc_covid19_ita_andamento_naziona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2" l="1"/>
  <c r="O3" i="2"/>
  <c r="K3" i="2"/>
  <c r="G3" i="2"/>
  <c r="K8" i="2" l="1"/>
  <c r="O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1D7247-C6ED-4AF0-B185-40FFC54C0B73}" keepAlive="1" name="Query - dpc-covid19-ita-andamento-nazionale" description="Connessione alla query 'dpc-covid19-ita-andamento-nazionale' nella cartella di lavoro." type="5" refreshedVersion="6" background="1" saveData="1">
    <dbPr connection="Provider=Microsoft.Mashup.OleDb.1;Data Source=$Workbook$;Location=dpc-covid19-ita-andamento-nazionale;Extended Properties=&quot;&quot;" command="SELECT * FROM [dpc-covid19-ita-andamento-nazionale]"/>
  </connection>
  <connection id="2" xr16:uid="{332E8F4B-8270-4F1C-9FF1-85ABEAB35818}" keepAlive="1" name="Query - dpc-covid19-ita-regioni" description="Connessione alla query 'dpc-covid19-ita-regioni' nella cartella di lavoro." type="5" refreshedVersion="6" background="1" saveData="1">
    <dbPr connection="Provider=Microsoft.Mashup.OleDb.1;Data Source=$Workbook$;Location=dpc-covid19-ita-regioni;Extended Properties=&quot;&quot;" command="SELECT * FROM [dpc-covid19-ita-regioni]"/>
  </connection>
  <connection id="3" xr16:uid="{55E9CC8B-6357-4E4C-9F0A-2DE94F66A684}" keepAlive="1" name="ThisWorkbookDataModel" description="Modello di dati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477ABD3-9AB6-4809-A1FA-5BAB1DF2A143}" name="WorksheetConnection_Cartel1!dpc_covid19_ita_andamento_nazionale" type="102" refreshedVersion="6" minRefreshableVersion="5">
    <extLst>
      <ext xmlns:x15="http://schemas.microsoft.com/office/spreadsheetml/2010/11/main" uri="{DE250136-89BD-433C-8126-D09CA5730AF9}">
        <x15:connection id="dpc_covid19_ita_andamento_nazionale">
          <x15:rangePr sourceName="_xlcn.WorksheetConnection_Cartel1dpc_covid19_ita_andamento_nazionale1"/>
        </x15:connection>
      </ext>
    </extLst>
  </connection>
  <connection id="5" xr16:uid="{E5E03414-A675-496F-8A12-D7987E4B9D59}" name="WorksheetConnection_COVID19-Analisys.xlsx!dpc_covid19_ita_regioni" type="102" refreshedVersion="6" minRefreshableVersion="5">
    <extLst>
      <ext xmlns:x15="http://schemas.microsoft.com/office/spreadsheetml/2010/11/main" uri="{DE250136-89BD-433C-8126-D09CA5730AF9}">
        <x15:connection id="dpc_covid19_ita_regioni">
          <x15:rangePr sourceName="_xlcn.WorksheetConnection_COVID19Analisys.xlsxdpc_covid19_ita_regioni1"/>
        </x15:connection>
      </ext>
    </extLst>
  </connection>
</connections>
</file>

<file path=xl/sharedStrings.xml><?xml version="1.0" encoding="utf-8"?>
<sst xmlns="http://schemas.openxmlformats.org/spreadsheetml/2006/main" count="770" uniqueCount="65">
  <si>
    <t>data</t>
  </si>
  <si>
    <t>stato</t>
  </si>
  <si>
    <t>ricoverati_con_sintomi</t>
  </si>
  <si>
    <t>terapia_intensiva</t>
  </si>
  <si>
    <t>totale_ospedalizzati</t>
  </si>
  <si>
    <t>isolamento_domiciliare</t>
  </si>
  <si>
    <t>totale_attualmente_positivi</t>
  </si>
  <si>
    <t>nuovi_attualmente_positivi</t>
  </si>
  <si>
    <t>dimessi_guariti</t>
  </si>
  <si>
    <t>deceduti</t>
  </si>
  <si>
    <t>totale_casi</t>
  </si>
  <si>
    <t>tamponi</t>
  </si>
  <si>
    <t>ITA</t>
  </si>
  <si>
    <t>Totale complessivo</t>
  </si>
  <si>
    <t>Etichette di riga</t>
  </si>
  <si>
    <t>CASI TOTALI RILEVATI</t>
  </si>
  <si>
    <t>DECEDUTI</t>
  </si>
  <si>
    <t>Somma di nuovi_attualmente_positivi</t>
  </si>
  <si>
    <t>Somma di totale_ospedalizzati</t>
  </si>
  <si>
    <t>Massimo di totale_attualmente_positivi</t>
  </si>
  <si>
    <t>Massimo di totale_casi</t>
  </si>
  <si>
    <t>aggiunta tabella in modello dati</t>
  </si>
  <si>
    <t>creazione pivot</t>
  </si>
  <si>
    <t>creazione grafico pivot e spostamento grafico in foglio dashboard</t>
  </si>
  <si>
    <t>STEP</t>
  </si>
  <si>
    <t>creazione filtro temporale</t>
  </si>
  <si>
    <t>TOTALE POSITIVI</t>
  </si>
  <si>
    <t>Massimo di dimessi_guariti</t>
  </si>
  <si>
    <t>Massimo di deceduti</t>
  </si>
  <si>
    <t>GUARITI</t>
  </si>
  <si>
    <t>ATTUALMENTE POSITIVI</t>
  </si>
  <si>
    <t>Somma di terapia_intensiva</t>
  </si>
  <si>
    <t>aggiunta campi calcolati (giorno, mese, anno) al modello dati + (opzionale) aggiunta dimensione mese con descrizione al modello dati</t>
  </si>
  <si>
    <t>https://github.com/pcm-dpc/COVID-19</t>
  </si>
  <si>
    <t>codice_regione</t>
  </si>
  <si>
    <t>denominazione_regione</t>
  </si>
  <si>
    <t>lat</t>
  </si>
  <si>
    <t>long</t>
  </si>
  <si>
    <t>Abruzzo</t>
  </si>
  <si>
    <t>Basilicata</t>
  </si>
  <si>
    <t>Bolzano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</si>
  <si>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</si>
  <si>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</si>
  <si>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</si>
  <si>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</si>
  <si>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</si>
  <si>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</si>
  <si>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</si>
  <si>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</si>
  <si>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</si>
  <si>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</si>
  <si>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</si>
  <si>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</si>
  <si>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</si>
  <si>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</si>
  <si>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Trento</t>
  </si>
  <si>
    <t>Umbria</t>
  </si>
  <si>
    <t>Valle d'Aosta</t>
  </si>
  <si>
    <t>Veneto</t>
  </si>
  <si>
    <t>Fonte: https://github.com/pcm-dpc/COVID-19</t>
  </si>
  <si>
    <t>Presidenza del Consiglio dei Ministri
Dipartimento della Protezione Civile</t>
  </si>
  <si>
    <t>Trentino</t>
  </si>
  <si>
    <t>crezione pivot per ogni grafico rappresentato</t>
  </si>
  <si>
    <t>creazione colonna calcolata "denominazione_regione_adjust" per normalizzazione nomi da utilizzare nella mappa</t>
  </si>
  <si>
    <t>leggere da sorgente esterna (nazionale + regioni)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</si>
</sst>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Abadi"/>
      <family val="2"/>
    </font>
    <font>
      <b/>
      <i/>
      <sz val="36"/>
      <color theme="1"/>
      <name val="Calibri"/>
      <family val="2"/>
      <scheme val="minor"/>
    </font>
    <font>
      <b/>
      <i/>
      <sz val="11"/>
      <color theme="1"/>
      <name val="Abadi"/>
      <family val="2"/>
    </font>
    <font>
      <sz val="12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2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0" fontId="3" fillId="0" borderId="0" xfId="1" applyNumberFormat="1" applyFont="1" applyAlignment="1">
      <alignment horizontal="center"/>
    </xf>
  </cellXfs>
  <cellStyles count="3">
    <cellStyle name="Collegamento ipertestuale" xfId="2" builtinId="8"/>
    <cellStyle name="Normale" xfId="0" builtinId="0"/>
    <cellStyle name="Percentuale" xfId="1" builtinId="5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5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[COVID19-Analisys.xlsx]Pivot!Tabella pivot1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0" i="0" u="none" strike="noStrike" kern="1200" cap="none" spc="0" normalizeH="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 sz="1600" b="0" i="0" u="none" strike="noStrike" kern="1200" cap="none" spc="0" normalizeH="0" baseline="0">
                <a:solidFill>
                  <a:sysClr val="windowText" lastClr="000000"/>
                </a:solidFill>
                <a:latin typeface="Abadi" panose="020B0604020104020204" pitchFamily="34" charset="0"/>
                <a:ea typeface="+mn-ea"/>
                <a:cs typeface="+mn-cs"/>
              </a:rPr>
              <a:t>CASI TOTALI RILEVATI VS DECEDUTI VS GUARITI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cap="none" spc="0" normalizeH="0" baseline="0">
              <a:solidFill>
                <a:sysClr val="windowText" lastClr="000000"/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</c:f>
              <c:strCache>
                <c:ptCount val="1"/>
                <c:pt idx="0">
                  <c:v>CASI TOTALI RILEVATI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Pivot!$B$3:$B$19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18:00</c:v>
                </c:pt>
                <c:pt idx="6">
                  <c:v>01/03/2020 18:00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18:00</c:v>
                </c:pt>
                <c:pt idx="10">
                  <c:v>05/03/2020 18:00</c:v>
                </c:pt>
                <c:pt idx="11">
                  <c:v>06/03/2020 18:00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Pivot!$C$3:$C$19</c:f>
              <c:numCache>
                <c:formatCode>General</c:formatCode>
                <c:ptCount val="16"/>
                <c:pt idx="0">
                  <c:v>229</c:v>
                </c:pt>
                <c:pt idx="1">
                  <c:v>322</c:v>
                </c:pt>
                <c:pt idx="2">
                  <c:v>400</c:v>
                </c:pt>
                <c:pt idx="3">
                  <c:v>650</c:v>
                </c:pt>
                <c:pt idx="4">
                  <c:v>888</c:v>
                </c:pt>
                <c:pt idx="5">
                  <c:v>1128</c:v>
                </c:pt>
                <c:pt idx="6">
                  <c:v>1694</c:v>
                </c:pt>
                <c:pt idx="7">
                  <c:v>2036</c:v>
                </c:pt>
                <c:pt idx="8">
                  <c:v>2502</c:v>
                </c:pt>
                <c:pt idx="9">
                  <c:v>3089</c:v>
                </c:pt>
                <c:pt idx="10">
                  <c:v>3858</c:v>
                </c:pt>
                <c:pt idx="11">
                  <c:v>4636</c:v>
                </c:pt>
                <c:pt idx="12">
                  <c:v>5883</c:v>
                </c:pt>
                <c:pt idx="13">
                  <c:v>7375</c:v>
                </c:pt>
                <c:pt idx="14">
                  <c:v>9172</c:v>
                </c:pt>
                <c:pt idx="15">
                  <c:v>10149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11-47E8-B8AC-B408398A9D7A}"/>
            </c:ext>
          </c:extLst>
        </c:ser>
        <c:ser>
          <c:idx val="1"/>
          <c:order val="1"/>
          <c:tx>
            <c:strRef>
              <c:f>Pivot!$D$2</c:f>
              <c:strCache>
                <c:ptCount val="1"/>
                <c:pt idx="0">
                  <c:v>DECEDUTI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Pivot!$B$3:$B$19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18:00</c:v>
                </c:pt>
                <c:pt idx="6">
                  <c:v>01/03/2020 18:00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18:00</c:v>
                </c:pt>
                <c:pt idx="10">
                  <c:v>05/03/2020 18:00</c:v>
                </c:pt>
                <c:pt idx="11">
                  <c:v>06/03/2020 18:00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Pivot!$D$3:$D$19</c:f>
              <c:numCache>
                <c:formatCode>General</c:formatCode>
                <c:ptCount val="16"/>
                <c:pt idx="0">
                  <c:v>7</c:v>
                </c:pt>
                <c:pt idx="1">
                  <c:v>10</c:v>
                </c:pt>
                <c:pt idx="2">
                  <c:v>12</c:v>
                </c:pt>
                <c:pt idx="3">
                  <c:v>17</c:v>
                </c:pt>
                <c:pt idx="4">
                  <c:v>21</c:v>
                </c:pt>
                <c:pt idx="5">
                  <c:v>29</c:v>
                </c:pt>
                <c:pt idx="6">
                  <c:v>34</c:v>
                </c:pt>
                <c:pt idx="7">
                  <c:v>52</c:v>
                </c:pt>
                <c:pt idx="8">
                  <c:v>79</c:v>
                </c:pt>
                <c:pt idx="9">
                  <c:v>107</c:v>
                </c:pt>
                <c:pt idx="10">
                  <c:v>148</c:v>
                </c:pt>
                <c:pt idx="11">
                  <c:v>197</c:v>
                </c:pt>
                <c:pt idx="12">
                  <c:v>233</c:v>
                </c:pt>
                <c:pt idx="13">
                  <c:v>366</c:v>
                </c:pt>
                <c:pt idx="14">
                  <c:v>463</c:v>
                </c:pt>
                <c:pt idx="15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11-47E8-B8AC-B408398A9D7A}"/>
            </c:ext>
          </c:extLst>
        </c:ser>
        <c:ser>
          <c:idx val="2"/>
          <c:order val="2"/>
          <c:tx>
            <c:strRef>
              <c:f>Pivot!$E$2</c:f>
              <c:strCache>
                <c:ptCount val="1"/>
                <c:pt idx="0">
                  <c:v>GUARITI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Pivot!$B$3:$B$19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18:00</c:v>
                </c:pt>
                <c:pt idx="6">
                  <c:v>01/03/2020 18:00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18:00</c:v>
                </c:pt>
                <c:pt idx="10">
                  <c:v>05/03/2020 18:00</c:v>
                </c:pt>
                <c:pt idx="11">
                  <c:v>06/03/2020 18:00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Pivot!$E$3:$E$19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45</c:v>
                </c:pt>
                <c:pt idx="4">
                  <c:v>46</c:v>
                </c:pt>
                <c:pt idx="5">
                  <c:v>50</c:v>
                </c:pt>
                <c:pt idx="6">
                  <c:v>83</c:v>
                </c:pt>
                <c:pt idx="7">
                  <c:v>149</c:v>
                </c:pt>
                <c:pt idx="8">
                  <c:v>160</c:v>
                </c:pt>
                <c:pt idx="9">
                  <c:v>276</c:v>
                </c:pt>
                <c:pt idx="10">
                  <c:v>414</c:v>
                </c:pt>
                <c:pt idx="11">
                  <c:v>523</c:v>
                </c:pt>
                <c:pt idx="12">
                  <c:v>589</c:v>
                </c:pt>
                <c:pt idx="13">
                  <c:v>622</c:v>
                </c:pt>
                <c:pt idx="14">
                  <c:v>724</c:v>
                </c:pt>
                <c:pt idx="15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9-4AFF-B222-00774609F9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48294272"/>
        <c:axId val="1544288736"/>
      </c:lineChart>
      <c:catAx>
        <c:axId val="15482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4288736"/>
        <c:crosses val="autoZero"/>
        <c:auto val="1"/>
        <c:lblAlgn val="ctr"/>
        <c:lblOffset val="50"/>
        <c:noMultiLvlLbl val="0"/>
      </c:catAx>
      <c:valAx>
        <c:axId val="1544288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829427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[COVID19-Analisys.xlsx]Pivot!Tabella pivot7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dk1"/>
                </a:solidFill>
                <a:latin typeface="Abadi" panose="020B0604020104020204" pitchFamily="34" charset="0"/>
                <a:ea typeface="+mn-ea"/>
                <a:cs typeface="+mn-cs"/>
              </a:defRPr>
            </a:pPr>
            <a:r>
              <a:rPr lang="en-US" sz="1600">
                <a:latin typeface="Abadi" panose="020B0604020104020204" pitchFamily="34" charset="0"/>
              </a:rPr>
              <a:t>TERAPIA INTENSIVA VS OSPEDALIZZATI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dk1"/>
              </a:solidFill>
              <a:latin typeface="Abadi" panose="020B0604020104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Pivot!$H$6</c:f>
              <c:strCache>
                <c:ptCount val="1"/>
                <c:pt idx="0">
                  <c:v>Somma di totale_ospedalizzati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Pivot!$G$7:$G$23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18:00</c:v>
                </c:pt>
                <c:pt idx="6">
                  <c:v>01/03/2020 18:00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18:00</c:v>
                </c:pt>
                <c:pt idx="10">
                  <c:v>05/03/2020 18:00</c:v>
                </c:pt>
                <c:pt idx="11">
                  <c:v>06/03/2020 18:00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Pivot!$H$7:$H$23</c:f>
              <c:numCache>
                <c:formatCode>General</c:formatCode>
                <c:ptCount val="16"/>
                <c:pt idx="0">
                  <c:v>127</c:v>
                </c:pt>
                <c:pt idx="1">
                  <c:v>150</c:v>
                </c:pt>
                <c:pt idx="2">
                  <c:v>164</c:v>
                </c:pt>
                <c:pt idx="3">
                  <c:v>304</c:v>
                </c:pt>
                <c:pt idx="4">
                  <c:v>409</c:v>
                </c:pt>
                <c:pt idx="5">
                  <c:v>506</c:v>
                </c:pt>
                <c:pt idx="6">
                  <c:v>779</c:v>
                </c:pt>
                <c:pt idx="7">
                  <c:v>908</c:v>
                </c:pt>
                <c:pt idx="8">
                  <c:v>1263</c:v>
                </c:pt>
                <c:pt idx="9">
                  <c:v>1641</c:v>
                </c:pt>
                <c:pt idx="10">
                  <c:v>2141</c:v>
                </c:pt>
                <c:pt idx="11">
                  <c:v>2856</c:v>
                </c:pt>
                <c:pt idx="12">
                  <c:v>3218</c:v>
                </c:pt>
                <c:pt idx="13">
                  <c:v>4207</c:v>
                </c:pt>
                <c:pt idx="14">
                  <c:v>5049</c:v>
                </c:pt>
                <c:pt idx="15">
                  <c:v>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DA0-AE05-2DEDBF877B90}"/>
            </c:ext>
          </c:extLst>
        </c:ser>
        <c:ser>
          <c:idx val="1"/>
          <c:order val="1"/>
          <c:tx>
            <c:strRef>
              <c:f>Pivot!$I$6</c:f>
              <c:strCache>
                <c:ptCount val="1"/>
                <c:pt idx="0">
                  <c:v>Somma di terapia_intensiva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Pivot!$G$7:$G$23</c:f>
              <c:strCache>
                <c:ptCount val="16"/>
                <c:pt idx="0">
                  <c:v>24/02/2020 18:00</c:v>
                </c:pt>
                <c:pt idx="1">
                  <c:v>25/02/2020 18:00</c:v>
                </c:pt>
                <c:pt idx="2">
                  <c:v>26/02/2020 18:00</c:v>
                </c:pt>
                <c:pt idx="3">
                  <c:v>27/02/2020 18:00</c:v>
                </c:pt>
                <c:pt idx="4">
                  <c:v>28/02/2020 18:00</c:v>
                </c:pt>
                <c:pt idx="5">
                  <c:v>29/02/2020 18:00</c:v>
                </c:pt>
                <c:pt idx="6">
                  <c:v>01/03/2020 18:00</c:v>
                </c:pt>
                <c:pt idx="7">
                  <c:v>02/03/2020 18:00</c:v>
                </c:pt>
                <c:pt idx="8">
                  <c:v>03/03/2020 18:00</c:v>
                </c:pt>
                <c:pt idx="9">
                  <c:v>04/03/2020 18:00</c:v>
                </c:pt>
                <c:pt idx="10">
                  <c:v>05/03/2020 18:00</c:v>
                </c:pt>
                <c:pt idx="11">
                  <c:v>06/03/2020 18:00</c:v>
                </c:pt>
                <c:pt idx="12">
                  <c:v>07/03/2020 18:00</c:v>
                </c:pt>
                <c:pt idx="13">
                  <c:v>08/03/2020 18:00</c:v>
                </c:pt>
                <c:pt idx="14">
                  <c:v>09/03/2020 18:00</c:v>
                </c:pt>
                <c:pt idx="15">
                  <c:v>10/03/2020 18:00</c:v>
                </c:pt>
              </c:strCache>
            </c:strRef>
          </c:cat>
          <c:val>
            <c:numRef>
              <c:f>Pivot!$I$7:$I$23</c:f>
              <c:numCache>
                <c:formatCode>General</c:formatCode>
                <c:ptCount val="16"/>
                <c:pt idx="0">
                  <c:v>26</c:v>
                </c:pt>
                <c:pt idx="1">
                  <c:v>35</c:v>
                </c:pt>
                <c:pt idx="2">
                  <c:v>36</c:v>
                </c:pt>
                <c:pt idx="3">
                  <c:v>56</c:v>
                </c:pt>
                <c:pt idx="4">
                  <c:v>64</c:v>
                </c:pt>
                <c:pt idx="5">
                  <c:v>105</c:v>
                </c:pt>
                <c:pt idx="6">
                  <c:v>140</c:v>
                </c:pt>
                <c:pt idx="7">
                  <c:v>166</c:v>
                </c:pt>
                <c:pt idx="8">
                  <c:v>229</c:v>
                </c:pt>
                <c:pt idx="9">
                  <c:v>295</c:v>
                </c:pt>
                <c:pt idx="10">
                  <c:v>351</c:v>
                </c:pt>
                <c:pt idx="11">
                  <c:v>462</c:v>
                </c:pt>
                <c:pt idx="12">
                  <c:v>567</c:v>
                </c:pt>
                <c:pt idx="13">
                  <c:v>650</c:v>
                </c:pt>
                <c:pt idx="14">
                  <c:v>733</c:v>
                </c:pt>
                <c:pt idx="15">
                  <c:v>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5C-4DA0-AE05-2DEDBF877B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880394912"/>
        <c:axId val="1538466992"/>
      </c:barChart>
      <c:catAx>
        <c:axId val="1880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466992"/>
        <c:crosses val="autoZero"/>
        <c:auto val="1"/>
        <c:lblAlgn val="ctr"/>
        <c:lblOffset val="100"/>
        <c:noMultiLvlLbl val="0"/>
      </c:catAx>
      <c:valAx>
        <c:axId val="15384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803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[COVID19-Analisys.xlsx]Pivot!Tabella pivot8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Abadi" panose="020B0604020104020204" pitchFamily="34" charset="0"/>
              </a:rPr>
              <a:t>INCREMENTO GIORNALIERO</a:t>
            </a:r>
          </a:p>
        </c:rich>
      </c:tx>
      <c:layout>
        <c:manualLayout>
          <c:xMode val="edge"/>
          <c:yMode val="edge"/>
          <c:x val="0.12257469313341821"/>
          <c:y val="5.3408204613017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Pivot!$L$6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Pivot!$K$7:$K$25</c:f>
              <c:multiLvlStrCache>
                <c:ptCount val="16"/>
                <c:lvl>
                  <c:pt idx="0">
                    <c:v>24</c:v>
                  </c:pt>
                  <c:pt idx="1">
                    <c:v>25</c:v>
                  </c:pt>
                  <c:pt idx="2">
                    <c:v>26</c:v>
                  </c:pt>
                  <c:pt idx="3">
                    <c:v>27</c:v>
                  </c:pt>
                  <c:pt idx="4">
                    <c:v>28</c:v>
                  </c:pt>
                  <c:pt idx="5">
                    <c:v>29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5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</c:lvl>
                <c:lvl>
                  <c:pt idx="0">
                    <c:v>2</c:v>
                  </c:pt>
                  <c:pt idx="6">
                    <c:v>3</c:v>
                  </c:pt>
                </c:lvl>
              </c:multiLvlStrCache>
            </c:multiLvlStrRef>
          </c:cat>
          <c:val>
            <c:numRef>
              <c:f>Pivot!$L$7:$L$25</c:f>
              <c:numCache>
                <c:formatCode>General</c:formatCode>
                <c:ptCount val="16"/>
                <c:pt idx="0">
                  <c:v>221</c:v>
                </c:pt>
                <c:pt idx="1">
                  <c:v>90</c:v>
                </c:pt>
                <c:pt idx="2">
                  <c:v>74</c:v>
                </c:pt>
                <c:pt idx="3">
                  <c:v>203</c:v>
                </c:pt>
                <c:pt idx="4">
                  <c:v>233</c:v>
                </c:pt>
                <c:pt idx="5">
                  <c:v>228</c:v>
                </c:pt>
                <c:pt idx="6">
                  <c:v>528</c:v>
                </c:pt>
                <c:pt idx="7">
                  <c:v>258</c:v>
                </c:pt>
                <c:pt idx="8">
                  <c:v>428</c:v>
                </c:pt>
                <c:pt idx="9">
                  <c:v>443</c:v>
                </c:pt>
                <c:pt idx="10">
                  <c:v>590</c:v>
                </c:pt>
                <c:pt idx="11">
                  <c:v>620</c:v>
                </c:pt>
                <c:pt idx="12">
                  <c:v>1145</c:v>
                </c:pt>
                <c:pt idx="13">
                  <c:v>1326</c:v>
                </c:pt>
                <c:pt idx="14">
                  <c:v>1598</c:v>
                </c:pt>
                <c:pt idx="15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3-404E-B3D4-8969789B5A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766984640"/>
        <c:axId val="757458336"/>
      </c:barChart>
      <c:catAx>
        <c:axId val="7669846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57458336"/>
        <c:crosses val="autoZero"/>
        <c:auto val="1"/>
        <c:lblAlgn val="ctr"/>
        <c:lblOffset val="100"/>
        <c:noMultiLvlLbl val="0"/>
      </c:catAx>
      <c:valAx>
        <c:axId val="75745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69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MAPPA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MAPPA</a:t>
          </a:r>
        </a:p>
      </cx:txPr>
    </cx:title>
    <cx:plotArea>
      <cx:plotAreaRegion>
        <cx:series layoutId="regionMap" uniqueId="{83E430A0-A58B-41A9-8412-0E01E393884A}">
          <cx:tx>
            <cx:txData>
              <cx:f>_xlchart.v5.2</cx:f>
              <cx:v>Massimo di totale_casi</cx:v>
            </cx:txData>
          </cx:tx>
          <cx:dataLabels>
            <cx:visibility seriesName="0" categoryName="0" value="1"/>
          </cx:dataLabels>
          <cx:dataId val="0"/>
          <cx:layoutPr>
            <cx:geography cultureLanguage="it-IT" cultureRegion="IT" attribution="Con tecnologia Bing">
              <cx:geoCache provider="{E9337A44-BEBE-4D9F-B70C-5C5E7DAFC167}">
                <cx:binary>1HzZctw4tu2vOPxyXy5VGAmgo/tENJlzpmZ5UL0wZFkGwQkkwfnrz2a6XG2lVXbdOD4R13ZEWiIT
yQ0s7GGtjfQ/H4d/PGZPD/WrIc8K94/H4V+v46Yp//Hbb+4xfsof3FluHmvr7Kfm7NHmv9lPn8zj
028f64feFPo3gjD77TF+qJun4fV//RM+TT/Zg318aIwtrtunerx5cm3WuO/ce/HWq4ePuSkWxjW1
eWzwv14fHiZjX796KhrTjHdj+fSv18/e8vrVb6cf9M1DX2VgV9N+hLEMnymJOCe+oJQqydjrV5kt
9B+3MTkTvg9XBVOMI/jpy6MvHnIY/kNrjrY8fPxYPzkHczn+++ewZ4Yfr569fvVo26KZ10vD0v3r
9bZ5yMzD61fG2fDzndDOhm/vjjP97flS/9c/Ty7A3E+ufIXG6UL96NY3YPz7Q91O08+Eg5wRIjiX
mHIlfUrkczjomeQccaKYUIAbE8/h+Bv2vAzInwNPIIHrvxgk4UNePhTzjvlpLoLOpI+IwIxTyQUj
5Dkm7EwywhkSDCnfF+oEk79j0Mug/GfkCSrzjV8MllVt2sy8evtUPE3m4dV6/u1nYuSfYU4ZVhCm
fCIV8p9jRM8QZwCgxERJSST+sj0+h7HP1nl/37qXAfuLjzlBb1WfvT1b/2L4BQ/OZAby2c8EDZ0x
pZTPwWsEYT5Sz0Hzz5DEc7hTEjNwvhPQ/p5JLyP19dgTeODWL4ZN+JA9fKh/pjtRdYYgkjFBpfAV
rDw9RYYy4TNwNEhHin8T8X5sz8uw/GcmJ6DAjV8MlIPNPzzUH38mKoyf+QQxiGPUF77g4nlxoKBU
k0phJhClPvx74i9/y6KXcflq6Akw851fDJllDpHs4dWNzR908TPDGTvjhCukGKFziiH8udPgM0QV
hSJBEIXgxxN4/r5ZL2N0Ov4EqGV+BjP+xaA6GN3+1MDG2BnQGPgjfKIoUJrngU3ObAeyEfXngk9S
qPQ+V5F/sJ0fm/MyNn/O4wQUuP6LIXL+UAMf/rIsP4F/0jPKJIHsD+RTkdOYhukZpkLOcMx/fXqS
an5szsuAfBl3gsd8+VcDxGbG/UxA8BmwfIolZ4QBw/RPijIIcorjmZtiAriQkyh2/kNz/gKQP8ad
AmJ/tbx/Z93jw09NKxRCFtRgx5SO/G+zCkgF4CGI+xxA45B0vg5Zf8OclwH5c+AJIvP1X8xFrsxT
bovmZzoJh/oYQV3sY/AApOjzSkycKUIRVMcAHCGSY2CjX4Pydwx6GZX/jDyBZb7xq8HS6p+rASCQ
MkHEpBxIC/PZrFV+LWX6c/WsmBQKcyi/ZongGSg/NOcvIPlj3CkgcPkXA+Suntej+Jlypn/2NV15
oSQmkmBJfKiLjxz/OSRfDPL+nTX21b8/Gv1dH34Znxc/5ASsu/rs3/D31xKfb4FePv1cBoPOECgx
4CSCgCpzkmpAEyCgrRGKEZNcQr32HK2/Y8/LEP1n5Aku841fDRXzONPLL0vzP6+QqYCKCwIbY4xg
Kn3xjfyMGTgQgfyvsFBzvfZ1WLv9sT1/AcqXgaeYmF8t/799yLKnVx//z7+t+6nyJT8TkOU5x7D8
UAucuIs4A/EMK4EwcEoFCucJdfnbVr0Mz8nwE5Denn385eLZm/znipiMnM3aMnDKF7k+tDYZyGWK
IgBPgdh54jg/NudlYL6MO0FkvvyLhbK5HdL8zGoA9MuZ64OkjP25BAPu+HWBhufmJuYYHIZBQ/qU
6//YnJcB+TLuBBC4/P85Hn/RCf8c3T8nlmdv+X9t/VPQKxWChhjzMcjFpz0zcjaTG0mFjzk0Nk+y
/Ze+/F9b8zIaX8Y9s/x/u83/10cA/jwbsYDW1vJ4qOKrUwDfv3ucIJzzOBn6R/p9EaDPq7X9+K/X
GMOC/nlUY/6IZ2n7yzKdDHh6cA2MlWfzWQzoZEqQMpmUoGL2T/Md4Dh4jmo+hYQEvVAMHKiwdRPD
SQ9xBpGOIEGgf8D5Udhxtp1vUQ6hEBiR8hFU4nDygP15huXKZqO2xZ8L8cfvr4o2v7KmaNxszetX
5ee3zRODhAdPBw+GTgWCowpi7kOUjw83cE5mfvf/tTyvpkZJEkyWqiDl9yOxUZDqfgiQnvygK/JD
LegdQytRCBuWucuCzPfXomXvJOpD0va3NZvWU6+fXJXE4Vcr+TcMJAiURqCHEipdMjNFWKSvDUx6
DX5h6BhIvyuDhJFkIwpZbhKEsx38QEJLPMkCb5TLLnK72CaPrsjaW1Pl49aatFqJKNaLPBrZLmdT
FGr4kK0t3afvWzrL0V8vJRiIBEgIIO1QAdjNTvi1pRmaEeTVFExqKO+tFvdTPA7n1nduHddtu010
fT2W3rSwjfTfTRHiezfmVch6ma2ktmSDY2SWU8u2AEtxzbNsw/opW9q2HH+vdb8h5X3kBnItfO5u
Glre6ZLyPW5ll4RJ7sy6UeOHipogztpo66qY+OsohjNL1HPtpXTvQUP074YqaVYCpeeCjXIftb63
qqjO40Ve1yERHl+aggwL1GV25wbxyWtke8WzLq+DQvo28NjU33pJWwZVNq2aSNXXTZu0y++v57z9
T9cTSmnIQuA5INGcIj95pMRNX49BWXqXfZvIIE3LcaGsN6xSKZLARGqbVNG2GQt8MDW/G+Mi2SQY
Z2GU+OO1kO37H9j0LcaYUmjZSZ8hOrvOc4yrtMadKcYpoBUbrvraGw7FNL0th6m56BvknRfDQmeT
f9Ol5aepSkVYZ934e27RO9tiFHzfnPmE0ckSMYhNSkCbBDRexEBQ/HrL1YVxbZcnLhgaVC5FE8fn
uZ/0qx5XeYAae98MbLqiTY66wPS+F5Qsb9ZmKNh2iKrynsgO72ma4F2e8q3l6F72vXrPEuuCrrWP
Ucn8fTMgHEqdZ4t8SkiASRpv247ZJc5HEfSly/YFTc3q+3Ob29Ync4ODVRIYLpzSgQAkTpa6qGqS
VgNqA1eVb5msyaLEYxt0sf5gJxQOdOg2Rd6Ob2T0wHov3fdEkFVBGxHmlteL75sDBOAba+DYEDBq
KIogHJ2EITVGvrUOw/NVXkRB3OElAR+9GlOUXzGcXKlBs+33n3kanAkmAlKAAPEePEAB0M/hHbsp
SSDY2EDY4o3HUwgmtNJh0TFwxWZsJ0CRNdvYmCjooqK7badarXJCzcpk73mm80MGrOe6Yvg9wXG0
jfGUBDn0FH4QpclsyVdpZLaUgEMQkIbgtAGU6M8tLUZsCjjSY4OR03c6NTioBkzPMe7uXYFNHKDS
c+uqL+kbZtPFoFV04/dNtEva9t5DyRQWjvX7diLvZJTC+3mWTstUgke5nO7asrMXKK9vZNcOEOLd
rm5UejmUw1s1IHfBc50GY4Ptu5FVww+8zJ9P6j2fHfgWBzLPOKTJOWk/n53piRlS2pRBVqdq6xGx
7htaX8ERUm/fmKgPqlHcRTkpbp1n9UF6kV6gonxCY06u53tDaeytLoi3t8LGC02Nt+zjMlm6uqmu
UDQu2orGt6n1n9qRJAfRTWIR42ha5XW380wnr1tey6Xy7PtI2WLj+cnvfdS7u06K9ZQO+yhDwxuF
cLFKDvUg3TIXo9qwtjCBTyYdRgrxXSVEcZtH9CIaM7FxEbErSnrImzxNNzGq7o+ZK/X1sMjTcy+P
4Nis1jA9luJt1xb0LufnWGn6Jutd2CEan9u8RcExxtWRGIJiyqfA4T7dlK7vdtLvITOVtg0Uictt
NdT81o3yTnqFWmXI14GqFH2HULXsUmGCsrLNDUTN6TKJyu0ANe+mtIlaQCSwF2WL7IUg44GlGUS8
rkOraXRiqZOh3iR8IIHrY32ui7YJx7pXAYKHbwmjUdCYyxYy99brpT4vyY3CDT1vEQREU6blytZZ
sihpxLbQRYuXrc+Si64z9VIaZFfdvPmG+YVPfahk6u4aIrpginx0GHXuuxVmXrlrao9smMfGcGqi
fl+O5L3n02hP8tjbq8JHq4pFWUB4rS6PL9U0qKUXQUEzVEW8SNSwGMoCPUFRtiv4R53q3y1p7HWu
kNznflQHVVr1TRAREXaVLN6Sur10rUZbSSACEE7oeRxFCJytWaQNe7Idre5bqZOwmBp9sAgKKGS9
vS6zCfCGn+zowrRo7XWT3Lte5XeO9O3yc4DhOI9DZUR9XYyi2nDreNBzsjCywu+1jIfAL+rpumEN
A8grE6ZlQXaNUXQrOtKvRDNWoTdmH+uC1deyDFVZZOt+3uiZZfml8upNFNEtmarunjGoWqhqvEAj
V+2TtisPlRk/lJb6H/OiWmapd350BJA79Y3Tm9jadO9QNq0H2MINLuUCHQshJoy49LTgK+L1fGM7
/CbRPF+QQReh9WW+5AlaxTq6mgDCNIBw1e9SG/F92kNVIRsLfqnKoKmQWfuFJAeBWLMqWJFuSS3r
jZLRFEKxClFtruGOQytBxbUnI7rBOva3VSL8veeXb43qkkNbcn9lq8hfWzS913E97Wqv6dZDBtvX
IKN3U8XbJVWaw9vEfYlGvvehSNV9esjnlzGm6WqoE/+go2LtGsZvj89Gje8fctJVsIcbs/Yy1wfG
+nXQ0nFaRenwhCUr71Op/XCiogmdLOo3kFOaEHHnL4+jClzzfUKtv+tV82SI7BeR9uzS9IldWOuh
QNom2hwrBkpIEbhJsNtuyoMc99OacT89n8QwhjWZyhXzrQlxbiCiYEfCro53DW3zu7Sj+e1gLjXT
KqBpx/fHGei2vVWuXdWF7M9zrzOB8ZG4alOTBBOP4rdFZNIgsXhYUtI+JpOIA9fVbp1CWjkvq2nf
Frw+TKQowpalKtQ6k9uIjW5Z4lQGXnxNRWnWtsg/aMvZO1WO95U2W+bq8ap1SXqYvLJbdHEdxE7F
y8pO/U7G04WKUHYx2QKtkqhJFsag5EY3UHu2ym6c108bmg/RXjWq3USPOhv8bWlKcTn5+S4qK7TP
Eu/3pOv6cMCiWHR9MlymozCrHtFFNAxyJXQfHxyKaNAPvADWhfv7408uj/u3fOzeY7PNkJjOq0YW
F2yMo/BzepSF8zeNdngZi8Ks/Cnv7oRWZUhp+qZEprsB77sXfBxXFWn4mhqsV4kg1QrO3doN4rEf
lLaL9vX8IrAdF7VBZRhxP191cOQ/IAISEx0+GM6GtS49dhsP0ZJ1TG3BbfjeVJjvaUmLoDkm+FTv
min3dkCNivVY8GrpZW0alsmgzqmJs8ANhVnjplyTtOy3yKSfqnwqdzoZmwAbbC6Qjdwi1c1N6nVv
4VQQ2eqkJzud5hBf5KBvWMV10Le0fhuJ9EPkIJQ39RRaXharjhblNm77IojKOr7FnliiYdi51HZ3
/uD8Fd/VE+d7lUd4FTM6/m68y6HtLyLbXtUuBycnLl7DufEh6Og07C2J1+zIeWIPu8ORcSlft4HR
KEyN6K9cxpY4we6CINMvdJfKTdfIjarb9D7NvYvehwSc0OISAWdYlx694Kirr2PIqAsxCrtqs1Ed
GN+PCEfLclLlQkWdXKmy5/uoH/LQx3RYqFyNq2QHDtFeGV6MVxMUTiuJ7CaRhVr7WJpFxYt4VxqX
rRoZ7bRo6E0JPGmRadwtx8T261ZmYduUm1gMIU+79HB86SkfwqKJWGDjLF5PJB82VJXxAdMyDUVi
95MckvMMZWnAU6OWOa/7812RxO5Qzi8ciTSUYhhWuJfuhmslVrbZmGSVe3W8cFFH3+RJKTc5jS6T
pIHKTlV4nbJ8CLtW6TdpHk6q1xdJMQawDdVln7juEgwUK9eU0y2OzWXtdZvO6gBboj70UDyFcl4i
N/h06YspPcSVSg91agJN42lf6Ty94S1bGobiW957RTBVym5t4rdh3nvNqpT5ec/LFvSOqb+TVVQG
eZ1lqwSX3sKMtD6g2E+2KSLbgY/wWyXrQ635Y1zU+UWDvWCiLbt1vdWLsh/r68nTb6pCuLBUOb4p
G9Ev0xynm9wv0kVUtMytRlHjIKsGqPJ4EyQ0tXsyfyycHcVh0jbNuh+ct3McRpR5VMH0DAkdRNlw
iKN2nybSvgOHXvm2zW8ig+5U1eSXdVTiwFI3R5tEX+eGwj5I6BuZ9niZlTfD4KfXExK3rY7zxZEN
dFnLQ6I1FOt92V/1Dh4BVcy0aMs2WbZDNb3NMVknBpjiJY666WMnoZqyYge1DRS8epzCvCiLhZ2n
Tgt9M86CR8cySAMygvKn8i9koorLaOrucNyZZZzEegOdM3dF6KW22coDmenC9x3kOz7myzJqzGLq
ohCDYnLAVdSvgO1GQQtfjbqZXOSB//VmnbDpvUyqj1J4xYrUCnZTZ5tk3fk1Aw46Lboqc8s6BdfF
nU/eTNnglk1u3gxD+54O6kb2RXHn5mzk4hhkmEA6Nd7UKNZ7Y2QfEJTlAWcR2bYa4Po+nSPolEb4
wJDge0BwBEXAOXoMzcGv2bryQb+guAAKbcwOTZKs83ZoboDlxYvMG36nbqj2sSd3VRUni066dAkF
o7s8vuhMLBvO9LVr6w/HBY8Nobuq9PmW9PU6yaYfiB3fcDofvj9DkQCJEL7mRE71LNJXKItkT4DK
ZWOYMaXPyWSijcuFO7cmumCd312kstRLy8bh6vurhb95vAIlG9Q/ruDojpBzS+7r1ZKliBURUROk
ZSPDvjTxyijdhQa3dVgiVG9YXGVAjaXeJ0a5C9GuKrmObbkiyqpDJ/C0aaXvAlBgyCIeY6CQorYX
UWLk+vvG0m+ghaYhKLhYwXkWDMdRT4zVUc66JrF1YHAOxXnqD0EC9ctguz1o9t1+itObikR0YRrd
vRlSFWQToe/mKueQwjf8QtHlY3AsIiFkxoupZy4geTpsVcPUWnpchsz1464vu4+9cflt7hzwmS4y
q9ghfl8LBUmy9qCGmbyVjBX7kRz37RQVkF+mEANlGnoNJ0px7w3JkKdyCo4V5TRApgxHD4QlqXq7
bOFQV0jn3eoJVy1Z4amQoyjZf3+hvxEFsYKDWrAx4KCWZAKLWTX6Sq+OWw1kgokpiGuMg9ZLuiZA
dRyYLpHXtcxAGDkmh2RSJPBA2V5EtK52fHBhLP3q4zSSDIKGKX6wA76Rq2bD4IgltMMonACA7v9z
wyY1Eq+AKBrUoJQdmhwfLGmLC927CkpSc2tx9tjCN56WXmHSRVYnbNs2aRfkgulzJKj9wUqBiA9P
/FqTgTO40CwSXDJomyI2t+i+Xiod28J3EYaoljgZWLv+rDGokIxNueBD1O8q3Lq1Zg7dN7J8hNPw
3a1r83ZbqKxYjWmQWw0CHCqTXUOybOfFrp0CxdvNNHiLnmfFdZH0+FxVXZhlvK0Dl5EA1Dn1Ni6y
XdraKdCem678yD4Z56e7apC3rqrdZZPr/PIogfu/d3qwF4lVY5AeKwTusU0lGw60HfsXSZwmm6Nn
HImW7DwHNBTcY9Lxh8/i0uea2Ehs1sZ49bVo1D2s7U3WgCxrcdQD19zLooGpGMPuUl9dHpWGemqy
ayLfo+VndXsq4iYovRLf6R6Ny6zpoVCdKd6A+Yd6GLuA8oa+MUV6ZcvJbaNCoUMkuyww1Qphxy7I
/GIJsOo/uGgX0y0UbTwQwDSW5dCAgF0PfRLWTrhFa/woKH0xPLLikwNW9tR3XRKgQuVAhnOztzpt
LjsJ4cRXaJtNrd2OCc/fwaIz4F8mRc3NcSrIU5tORmTnE4gXmAOnMDHnC0N5uZeNKm9oF33KItes
Yh7ZbeHZLOgVqm5QhkDm77gPyUbEq4zhaJUPyX0FtOipoThEqRjiYMxZyBJil4Ps8/Na1Td+Vo0P
bEyAuJhWvYuGJgt1nQ93vardAg9Fcz3mCzoAJ6Yg3y+prsf3eky6gAw4XaHJj8N23kPjoKF0m2ty
LIu7MQfpg07VJk4RqEXg3wQKf6gY2nqZzUVQK3oRWtEf6Kiac+bknmZxtRf6ps294Uo02XAgMWqg
x6PqQ9O0bAEuN4QU21DNBUCaivwOGkGft43w0ArXBX0z6+CHys/KAPnDQiax+j21Bioy/KhKXIK7
MnQYbJ8HU077XW0GBq0JX2wZMUERTeDG/thvWZ1cFNzV1wbEnlp1IqQjZ4tKWNgqMV0p0mBwEhC0
Q1bVjxWS5E1XTPriz9+anOlgSlwZenAm4sqNHRDEbhBvpWvBMYgMzIiTzfEhyCMoSHrbwEYdr1OH
+mWf2SffoyJMI6P3fKA3R+beA+ndxWyCkhNk4kU5td6qRhlbMWYfFJngi+048dYR7YZlGqN+G1eT
DKaWT5d1jvXic3CdrDRL+FLTu5SyYj/KeNv1nj7kUPkEddxn4IA4n/0Thxmf+LIrou4dL/uLIWX1
VZQUSdgn5GMOfb/bOAPmXDZML4E3rLMm47d5F0H2UvhjlfA7IP7sQifwgqx552s+HHgOOxGP6Cby
OrftcAtdK1zrpfFKc5jS7Lybt0Ddp2olVA0FAPbjO0kbtxdFM5YBBpa3N5Ef2iiddgNr0WFi4v6P
nVCJ9mKCA/WhjaGSMKYJCpLKfTljG8VBTUt+sKpvt8hD500i8yvIOjn0AHoa4qQF59GTXidkcmGL
suYm1q4LPR/pxcT666HV9vz44urKnmugy9AqzMgW+bm59Yswz/3udhgTAQQ1GUI8FyteDgoudSVf
F63+lLdiOIcWItliueJAPsMjM5cTtF+OadlvIEz0g1z7ndetkJe41dH6fEJ3SWXzzfG3Ql6kkQqT
OWdG3TapZbRmRAxvJYl25cTI4hhqpz5yS+h46e0EOt2uE322mnzQXqV/kdFhhFoV4VXNa7c70uNc
gNLaShd+jtbxSAJW0OoqbnI/aB1ZHx/upPTWCtAOKkqnA0X5erLJ3sz1WRXLa8QTtoPvM/bgPE2y
Kcdq6XvQgEQpmyBsRTwoaH0ukanDpsmr9QDNtYUa/XENyXGJNEsvmOvA3TV/4FND3iRNlF+Mk3iY
hIj3NaJZABq7OCfgI+cUe/6KoASujVW0z6Ip2vO6xctkaOkii0q7jVldbBqeupCCRrIgTpeHOOVu
0RTtuMmygS9q5MUrz5lxAfs6uSmsABpyLEaOlfqs5piMeldJQ6c1tJfK+1JATJvq1g/UMBR7Get1
ygfwhKoZXdBATQ39AXqLMN1FUOeuK8GLHcN0P7Z2/L1goNWMQ7vxkgEtPRuXgdelDwj07eXgCm+d
lelb3kdkKVNFF4VI0nWl/WxRQFd1D5L75bFIivsEbwypyMb1LmBkmg6sZ+maQY5d6bKU17Qtk0BX
/SMFtn5tNW6WtQ9Em2UZDSMZoWsCEuCqy/LqoLIkC48Mk+YoXShofmajzB69sc5Cbge9OSobjsbt
Qs2ZU5Xte+L3UyB4WS+ahHbvOvReV8PF4GKngy7/INN4fMqGu7Hr7op8aB68ZLpoi49FCS1AVBX1
0jsGCVpBA5yZwt034wjFCHbFVS3cmhd+GvISQSNsGvyQEqre+y29GTdJNUQ3pMzLsNSGTJux8i+P
VrUw7z1O0iDWWbqqtVcfoLi1+4SUMOUePQqWyZ2jvdo7IG7WEVBj2q7ddwbpvejKEOi6WDq/1rdj
w/MQcsB0XyT6TscBror8mo20W0PPoQuliuRCyFgsVbdpuTEf8rHfIPCV6xESMaSJ0lWrbM5jJOua
dV71bZB091HKzTtE3XZE0Igseoz3HtNi0wOjClOO4yBPWLfDlmlYpf5hglAIwiqO16TgKAsn6Mq4
cQSJG7vrY0OHFfE2k2ZXua7boN6mY0DhmEfY1BbKCVVBQ6hnn7IuPW/IBHke2o2rvIw0DsgwhX3W
24NPcnvh/CTfGoJ0uwV3yHdHSlDHDPQDqIRXcIbAXxjt+eGRimlkwzFuobkJxWoQ4yG+HDNZXxYN
2wPC676f7DtjdXzowTEDp0kcUH9Mb9pIvRuytLsf8zQOGYjCd0T0VUjt8IYj0MdYpeJbW0bVdeWv
Pe+TxiiDLA0FKTRLxYKVtN1NyPYb3JhycZRMkuyt8Asv6EZR3melI0Fe4GLXOCnoMs8tqGxjfFVE
KTSBajuFHsS7bZe38abA+z4jAyhZ0BrL7TAEos34Kp2DSTub1qoGhLrsnTewbNfyfjiPjT6vhWfv
CHc7r+ur+xwE6GP/DdNRL/zJt+cCVzLUquu3RZxAcEmFpuu0AvGDofR+gqJhBVWaCZpapOtkrmrK
FnYWaqvD92kXMKtT+gdsApgE/IcacD5WCvjG7HM2QVie1gw3KOiMhfKVEzbMLBUKrPS/iTqz5jh1
cGv/IqqYJOCWoUd32207sZMblTNsJEACgUCIX39Wd873nZsut7MrsRt4h7WepT3FR++hcS04gWXv
Bc6daUAKmrroiErmzpdpJfMvD6L4923e1twmVhWjlPHV8tV/ssmn38Re4SZZfxlfVTwugjXYntZl
XHSphjRPakp3tZPmnEpfHCGNp/mYUlM+3nbh8r9/gB05wCRuvs96q7GABPJIOQuf4ll7O5PJ+DmR
GEWFCVu4DlLn/dS9D2uSHqzm6t3qrDn4vPD8KMmje38I7i+QdV21JklbZRQOFXYefXV9tryEcuhz
G7PhjUr+UyTzX0baO+qBCTXuIn2LHPfvfM9u80x/+b8XIRtQVs7X++UucUXZZndmzjxzzMBxqGM8
u+R3ZoOmWN28i1rTHhnW82JK0vibnts8aTu3rxeVFI+tjnhpdvDd1ubtJoI1D9ZzJMb2+FBtFH4j
pGWz25Zty4HRKS2GZA7e+yBN9x5zLwHvIzQQ3ISZ9cNiXKCiKSq/ZDux6+PFi/h0EZ7NrT+K3O+g
Xf3fxwMX6yvVdjw8KgDR/EljPD9K1+TtkrmfJG3oUd5BBFq7IuJ9RcwwvWe8XV/ipvB+k9Ef8yRk
/a1fyHoOVZPl3jzUKH+xPDykPLhSUPrXi5SjOA8m+uuGeXtxvPndWrSoOQ675yRb+T9bCHr4FU7f
ffFev/ey50VN9D+NYFt9euXNfOtlulY2G2SJp2x8Ysk4npJxPZDoaeli7+e0JHGVdC0rY2e7nGnz
njRJ9l0R8UnWdDj6PcxhWJrQUbNFYstma0Eb/TGPa3LhNsF9I7M29yFtHT0ptkOTTfCoHv7nnzqj
6p+6J9vZ7Xzu/HIKGl1waLKX6e6l97Ord7z347esGUKoHFl7TWd//3DKsFGXNPZ4wWYHF5/74TdF
+rDYGjYfYSX8WlfTnnhop+fNR+nM1LbvY2+qmmVub1DfNwd911tC9zGM8z5rel0Felmxh+tCBZL8
XlAic5L972zsMn/+t1BxG0clmEUf3alLxHNz/zdEt3gnFMRLlNG/Ge3sh0/FUfXt8Z+X3NrNvg0p
/dzECpiLB/91Y+Q/0XoET+HLg+dnWZIrP/H3Zs3sua197zDev4LJ5R22SbACum5d1L5Mz4vjyw41
u71mY3qYA91WobdNZ58sbkc8Q94wzQ7F2joUzX4kNyfW6IOY8VtnhEN7C8ieeOyt9Zj34a/sM2m9
t4zL7edIovMqWvGN2TY4CYENemz9g4bV8t7HWHU3TBnPbPLVi+dImU3jtw3o1F8f9vaiHEWHh6Ph
GZH+DahXhAO7hD0VL+s6Ze/eWGaJLP1tnLbKmnreWa+BbwPJDqZtw1/nxk8PpFFx6bbsCAgUOjWI
vcojNanC0WU5cvLBiWZdf2jT2BY2ZQFuOmfKCAJiGbFM7Np2oVD+ZbqbGq0q8IKQ7Dqd5N28RACI
Dg8KQy4RZkbl1Yc4nuipNwndk1gseAzRxbtx16lfnSQVroP7bOUE9I/a7017p0NHu/o5RsqXORW0
esjpc6KDwyZhJLHh/rC17iXbyPoCWcLss4ydPdF8DetoXqmvpqdNkdex7eb91M5JPvteik1zC+fd
v2Y76cmgqWFJmvCMXR5fiTC8aATY/k0U0arDax8da/SPYmvrrDJO8pd5S+qXbt1gK4QShtf9rYji
EV6nWo5B28/gIhxEYmve4/t94nurymsZsxL86IIdN+MHDK36xQ0QCFrfHfmYmPc+Ir+cnm1O04nd
/MlUmni68k2ksAUM43FUQGX7CeiFDymCwW8m2XqAjtNcxTyD2hzbz56a+gJLX8DzmKNimGTw3dgq
isXwEXK9C9s5rcaGpVcuRVKuMF7fGfzwYWi+PZr74yV1sLh1csEPwS9LMi3vvJZz7gkJyyjMPrDQ
dEf3GOBoFJuCjSAf4lrs3Qy8r7VrNWu46mvAdWUSwaBBieCJQFYrk9j6ZYcDZnTOPFTDcOkwvGaq
ECQArOCt023utr5AI1e7B41T92/h5A0XjKqFjbh7Va5uTtxrc5Ot6anD5Ja7mK8QMur6NXAfIwtj
sA+2LsMUUA5t6icAVK5SftpV6dpaaEkrO6Tt1j0H3CuDaYlO2DjiktAej3o6TBiNCMzBqWPFMPbt
a+IFSdXXui17GH95TZx3XepO5UkMrKwZeHiFbmaeYpalRevB3k3N9oX5PR+XbPoxgqbHVpv+t/ak
rWriD+cGqAsDckD/BGFE0PaSufIj078DcvPz9uLzQXyiCasywG52mlTbfCIksYsbyPL+yM4PgWmt
HyiwY4Xvp3U5x1y+aLvMRYMF1Fvn5Mao1D9CyB5VrV91v8qS+02KZ8KQ09Kq4uH7zNJFlWgofhUm
K+cF6bd26JpKtd5WUDn9moINvEdIPb2LIBXl9s7jxq3/X9gJfTKrPWWktVd0JfOcAjrRWU0vXjh/
bxQ+GnM/y2+zQfgsCVW5v6K2FP4qXWk7IqrVdzDfAS7v/u3nHWw7LNVTGdssLBdis5ML+dvyeIIt
5pkcQJgo0XfHfS/b7fL4CoQNHsHRkDPn5kyxsX2sctrpmbtdMrFmB/8ku/CNMnM0hOjdigMQX8Dx
7IewXi5hkNFrtm1QlOrw6rL2M7wP2hjKtmOi+Eek2G1oQjqhRYxVIOLmJu7DcOKZFuMz+bZY45U6
I83r42VidY6zX4KXxzujaYyaP31qnydlH4y8sq4xWMxhFBXOkmD3771q+u15CuefvR0NJofpA82A
JTANTQaLGIA89uZn8Ere8+MrrZlXropbGKsj37MNiwMOOSFvNsVYYGW2ncc7EOe6bSqV9T77RdWF
NMJj+Ra37kLXAY+DKPz7bxvWqn+tM/6v1+M5gsmwmjrHcQPlMNgU9/f/swofHZm6ugh6dCgYnI/x
QDNgTevqXoNuki+h6wAV9S82YtFTO4fsljCWvAT6bVaJONRrBojuXl3GAGZVMnF56tC2Dn7dmMLg
JjmFbJb54xNUlsp9MFAHYLNyQc/+mg5bSYOneXWee036rb0GXr37B8sZQvOtc83bRGcgD9vil/G0
pYdABayIpsTf1aMgtyQz5LaGkGOTNYuxAQXZsV2GegdYI5c94/tVaH3YAKhcYznspq7JKuvrroxn
r71EhoR5tjWfsIimm1kTUhCKidRPFHmL5v7ksxRVbFsG7ObuZ3N3/R8vXEXnxsxQvraIQ0+q6X4K
o2LJEn2zsb/lECLjy/IRBP3wPUhZqY2yz/XU7Wk08zd7XwiJEw26z5Y96zhLn3XmIUSRwnmZmCge
LA+5t9kW0ivGPCN2dTYH58dLOPTjIQrdiXabO83rtZ9qjXloG4DbM5Nh7bmbXHMIyUR8A8tqTiT1
m5wOGmWgNSquRvxZjkX/GieeO/yTre9K52IS88T/W6dkPs9ru5yp9lKgD+TXDPL0PAYkPss5zYdQ
+rcl6A619xoKl+1FkMEqsuT8eJma8IvYdEC1DKU79bqD5IkZ8HEDRhJYRei85shpikrS42YC3s2r
YCLxoZnRQweP6FeZivCQLJpUUUsL0Rh33QLhro+v0sHfCcxNUMNWnT+KweMloBDm4Jv0ZZAsX03K
9cXOi70u0/wjM1v3ptGsMN6Y16RFedFJ+9yNdJcMLTu5Wvz5x1m2K5Z8dp9OwLvIql3lVk6mh386
JW7XhgNEjZHO+ajCplqXzFbNVC/v8O75eQ4NgjHqC0GD+PM+WhUzQgBFBKeqtA30nzBtmr0bGSq4
Wj8j46dlR4ftOfGk3fNIWiCL+EPhGCkWjsWMjQkW3m1YPpgX+EWfbuHp8RbI07meRojKA5RIJFrW
V1zKc3P3jbe69aCybG0ZaaDu9RLPZ92ZD8U7975wth4sj4Z9QmT0HUGNJ+N3dtd0CvNHoQOgrfnY
ouq2Nf9LbfNt6LPkZ7bAKjcias6ZqKdHHz0b0qy5vvMk97aKt2AkHm/bmSeHSENVjDDvxmJOfmRj
G8DNFMF17dRy2+zyixkqKoldb9eErXoZRsl32RxHxeMtzod4EzEZLtoH+OVmLMMB5uH3palxVy3B
lptWgSeMOK/kHZwJG3GGvLtdyV3cGXSs9i1crKWZp4IJF7+unYxfYcB/em5VT49vTVtNygXsZi5m
Sf798COx+twp/b9v+5RocNle5TLF81gQrMGxAZ+0eSCxNxBM3F+rWmZQbUeJ3QycWA+xJI9giL8z
Y+gNzbV4vBNya98hgGery+ckNnuebXgyoCY910r8zkAmAKfADToNbD7ZLbxubjsnU0j/NJJW1Ii/
XqCWV5rCsJZ6YudejicX9fxN+81hyraDXN1f144N1Je7SicCS4sMYwfqogn2oY+68Cjc9Yb2o1Bs
cgdZK3+0TKEJecJQo/4Zmd22kKe1AaNzL9ezcJ+600PVWx4fIOm5zzW2e0eG8Wrr+p2ssr5QLOAF
1nXvh6Sryd3slud+dCMW+RaMX4OVtYchdBCay6pz6BjGD8VnXa/PnfPaQ2CtKTDQZU8BwklFlrXT
FyXLk5bKfZunWeWEp3B2wrF4DDIQ+sYbJm/1LBd8rpPq8yF15vSotQgyYGslnalmU8pEQqz4/y8R
TI1iCL7IbDw0cEh6eH73W+DLb2M326c1S8ZiJcK70QR/adDEuwdrXGMcQ2fbCauCHxv0qZLTxJ58
M9H32C55lwTViFuL50mmcsRrhv8iPr77DZ3ewnZ6oTMHRrkM/CZ0vBwGqSNk1UT0osX6OsJhrqZm
a/89Ad39qZjqWV9iGDhzVO+NjpbLRmn0QrmMX0BtcvDZSc4cl8cYPfazX3F3bfr4r5cK5N9a5vrL
bLEK5ZNjugij6bdZ0xpUGfdl0QcQJ7yAr0dWf4g7KUeNbp9WnqZV32udO9oFT9LB5tER+1yxJuej
UN0LEbbfWWaezd2fp6K7dGYCjT5QXSKxduNyMPvE0+OZaA/r5R0Q6txSlw5FuSk09EzTUHZWAYAW
jFDR8WEOJIA2yihEEGVTgzsm2bZDBkzlmqzZ34uZXFymy6h3tEmSJ99/TmzYvHrjUsg5WN4xe/uv
fOwPdZ2Gl0dhdgnzCqs6eYgA+CG/5D89htVhUsmB2fQG8dHC8hHyEt93LXxecF77Jke8LHvBrTiX
VLr2/E+p8Ke0vdl79VnRj469u4+R5A0Jz/EwWujPrpHnWiZPcez0Bas7u4V1oF4ia3MFLg2qhSeK
hyePw9KGAxvMTfYDEi3Cjl9dI479DM9bzM1QqHj55tphvkUbOro3g5amMiqgBsYvXbse5KzbS7Nk
0UsUTjuybOsVMO+nmlN79tYNwR6mkpsK65wRNh2oQj4pu39/oRAeYCAdH//V41uNazcQxvDc0bZm
IMkrtt81iF9N9lyzDE57DMW67vR1hK++B5lcFw9w/zE/CYr8RdAoMP50BnoHu9z6mLd6F3nFv6X9
Lr8/zJjYzfH1XhZzDJ8oU8k2lJt0/kcSkh9b08OQCdrxSuqZI5cw9hcJfrHaAJtXD7V1bpA1YFC/
8ZgVQTbTHUOUaLqH/Fat4QEr3HGL3zgYgZoUEGiX0i5tKTtMpQ9kni+GHxrb/GRTNB6do6IwPGJH
Db2rYB2EF2I6zIlU/Hax17wy5aVPyPW9GECap3XU9jJa4JJQgXf4ZL9UB9aombqtfAj0ZhieH+yj
5480t0Hcg23EMIxTc9zVB/qMbiTrE8YeBCHofMN29B9v4aMwQJz7MBx+b20QPNe8+zV6EGaSIeC/
YuXgr6E3wnv/rjB7FoolyIG0SBSqDs9HQEa0EwGJF8pdtuWaO+8CVZtRCC9f/bwsVwVgrpBLfZLE
QTMnvxbqyK5pg9fYCih7HP6OofD+HH+CQrRjji2HLOOQf4Ie2U5/3c8LGHFVb02Z9vwTMGSbxc9+
GqsiA1+5RX6DpEE77qDgv2QRLiU0eIqqPUxjFfY2OUhs98VCBlJt3iaqLEPGJkanYDZzb4uzHPMf
ogIkHNR+k4OoBDP4u+V+JW2HsIOAIsU7Wzg/3HbK67CkiS8+wAAHdX4b6bghDZTQ3C3wPEIf/n/P
wx8YSQHObCjofDyzxQGET1/To5GmrYzxPuFngHNIw4NAFvJYsxbuzSyAomem9LG608wrYTDXReR5
+GgxU652gYcbmRMLVV9Z0ZymboSmqLo/wYD5amu/jT7E4QgCcAXwZoV99ZtbDfw1DA9kJfebUrOq
HaYWVshczTYttT+sL5CbinAz32C1fo6r+inWQnqNV3WRmpCzDCAfLr8n9ldl642J+XcdWXlfMjSW
SVHizpGnenqmPut3rPN6KMCZOprtnjNgXrbDAv2Xe7aiuIba8cMI/A06ibpKkeZd92nsynZGQCCp
RZMAy28JRFakjDfP/dd68XDOWBKWEO0habdYY0Z/PVPvdWsShEIDZHqUVi3qbKrz0ZMwErPOYnBs
6zyu59c0TOZLwrEJghvqi3WEybI6KdDqJTtPJOv38Cpsnmjx7a6zP1HZDuUMl6CGDJRG9Kw8DvMl
BekxZNB5l8x3+SZGiPx2k/sQ91knWEV1Bo1wQZXxbZjtEUYOojY8gktaU5mVUcRvi4jH/er/7uP0
t/JGVwLboZi6e1G1mMO2bUlKAfs/8UeZswRJ4mitlPQo7N8JP8HrODVT6Y3eV+PLClwctnOWfPVU
xiX0trBINRbEGQOXndyfbKKkQuoqyGvwDMinQa/iU2PKJgYDntTtvhb+nUNNkxNdDxvJzqPJQJVs
SXusk/Vb1ylzWCmm2B6tASzFkCFEokKWAXUT+1raJ28Lgn3Xub+sZbnroDciQ1HUIYG46W3IELAY
aXA0Y0pie1HH2lu7PPMU3+G26fOYLPMLI/Mx5XdqXCLPtyCulvB6yOEjZqXfwDquPdAzUL/ekGjp
nrJG7Y03a4xOcGZChIzmrW9zkSm/CDDKlAYMPCVdQdvh0oa2dEYBNHdTe9SKoHQCrQi09+aG4clm
4ij0dJpqlKdBkyFHuv3V4BcG0IvKEOqxzqFHHrx4fvb7bD5F8ggeBSI6YqsNcvSTocgvkGGX/umD
WkKbW1GDfKmrTeMTszR2uwDK1OaTPyTl0w7pqSl3kDNRqSJIjHSJCp+2TeV5+tCy5A0ToM65P/zu
KQWXaQGzhHR8CebvzA94wVsAJ8brroAGf6a+vUdpxMssgwZcP8Pl9OCkBN3LBs4wi/MsqTv4SS5H
IudPptNtF6evauBtHm9cHmZLynVGZ4VRMs36PA+k6GhSOMX1Ua4RomkSG/kS+2D6G5JDMX7zkPgC
GNl8dxOQyKWOu+NItdiNsDiqeUw+QMYnzwTXfAPAYmfSPuGKqz0dmv+GdemqhArAw3rdYSrLjlmK
qGyjF12BKkGEtNnHjY/6vYJAjebkibbRG2c9pKpAXe/kRAlHfy4yMjWFmUVUAt+IECH/BdHnsnV9
v0s4BWNaz/XZx4iBxjAcvBT0PGGYQRWf9srhcd2yV84h2Pn25IQ/XhDw1TnEz2fULH8f4wKF4Rbk
/mb/hAhdYGeb2jJew78dTOmyaUFm9p66hARgH0TpIV95YHZ1L2RO2Uoro3+xZOjvuw9UvBkx1B6+
ax6nTueBy7rCchg2WE0lfBElgenavd9B5erhBpUSQc18SDzEMxcY/6xelhwneNWFjse5YsyKPUt1
Da0PamyttqhMBnPtDB4CFiuU0n6XlvMG94B6ckErwVLv7BTsOg3ls24OY6qScmEEfnRbOdEvJZOA
l0DQpIUUgl4QctP1f94ENoA5jO01ClKpbTjuogF+OGfpTnZbFeuM5nXz6Qt04zEM9uiAc+7Aqb2J
0fxAPO85iegnIfV3YNTDc5ZKHDKBGwfzchlwnHxB1xtopR8+jN8cXuCvyCOimGqMrzFpj7ym5NYs
XwuKVTn245cMujqXvM45MorVIJbfyoaAj6IVPXa+2x7B9i5qyBlNJiqSqlfpZg8rnl2gWIvcTqCF
GDDXVYzhgY7T9yRBfCbCCR4re9662JW0g6cc0y0sqQJfDAlelI0xqmriP9GCAQMzMiv5Zs5BJOBy
tWiyaCRdHs0gWuba+0vGFIlOFlxBJ6pd7V1HrMEHhJW6XNXf8Wuf49Bfd0OD1WWDKArVbt6wwlk1
KlwiEZaQ7bIiCH5QPKLgwQJ0aCAAoYZlgpkDQc+V4OCQZcalhY2A0DDJWcRloTX6m5ughNSrOUoc
iFGYpvkFJAu0ryeeVpZ9AecBtUctPqFsPOl2epILCurU1SBXvojAEJfSZMSy/jtNxg/c+W9w97sq
AFMCsJQjjWL9+GXsTBkKzGkS8TwQgkiTOvPTYsLap9gkoUuijQKLihbLwDeKF5ouS8GGQRemlqqC
FR/lykW4lEwGVxDyQIL0+7DVEIU8Va0ReQlae46AyL8rNfU7jKmAxdMvIE4Vn9Iy8s0fbjjuamwx
3ihRibM3xGKTAoidd1oHGuetEk8B7UJM4m2bT+C3wDPNtOBTZ4p0kk3uNRj3STpAz++3spFr++Qp
mJSmgYk9JjArh+GYuuTPMvY/fLsuFRvgEI+zrUIfzKRN5/BgoSwieWieEPFmDiIfy+iHmdHIYydt
mWbzZWksGCbtfZDlexj3U4njxW6A1oM8xmMPpno3JBgKeI8ZAmnH7zhQgSIFOah80ch74mwS7Kl8
sbu15Z8BGq5o+pNzmLViRKQxvVdh27wOS2fyjviw6hFMG5iHO9Iboar63XD13FFMAdC6vkO0nKEu
YvbjQiMvEfZomSYFfurSg4Blen8QYnRzKWLc41N2i+t70rcL93CJf941oY7Z30OS5gz50XUJa6jG
GwxX0iBybzGL+x6ibpq1cLisvoyyzrDsdG21ds3vzgeD2QdegHxiurPWpyX8rjBvKL/F0Vo/zeEV
loTYbQqSn2ERhHw5nbAxZZi7FqS+h+SLqYlAzEAxJU5jMvLxw6rxNob1905RfQy933yovKXUSxdU
/qTQWVdTIjNxMMvyMeix2UMGx+jVOTw0CFUDORhwlsr45rKw2wkEYcSI9h1nXOVedL9ZUnqi9j5R
d9l0xgzsxQHME4Wu3tRY63GlXCF9jRA9G8q4Me9OLf4+SIIDYhHeDohxkq+4HUBAHMZtXfdAF/AE
jNEOZlt7pGZPNvHHEJccdJDsY70EJQ8XhIg2PEtB69ODNuaIxOlcugaloN8ojnoJql5kmJCa86JO
DUsYHnucMoQefJ2As0O9ILvMhNFuVa4vTRye4SRA+GxFKQmEqNGfi1m13WFFmmlj5o/Ps1e/p27X
9SFisKM9Rkx/4iABCGERogJJmARF5vbRhgB40kyn1EtIicO/8wZiRAvOCoj+aN4MQTGNVEQKGZmf
Xaa81xUemsC5GTT5peSU/fATQExGSJHPxGB3MXPB5Ej2cVcnRUhGnHtAcYROAk1NwH6pGaMwCdiI
LSgIS4ZYc76q1eaT8tt9652padipjURWKA+4FoEqbgzOnaBbFTFqcrEGdZ76jFcdGLzQKSjMQJRi
uewtLnGEM7IqNaZ8R2fGC+TeTnMvujzF/+KtwKE1L30CzERbehJZvGFE62XZI4a2rB81j9s8k3yp
JCorx3EjlRzWr2wKda6bbNyL7C8GLb6Xa/ICyT833QLbpHc2b4TEWRlp8DKhKO9TOOkQh71qIMsJ
H/eFt4ktyMxu6QoCsRv9EietkJKbagN9kqfMcpw+tQEQ0iVyJzg2YI7+DCm0C5eCfYflVaxAmCCu
NdATOQZ1nNKUk3qcdkuIuO82EoqpI11wVY5t638fO3FApEDljWqjwlCcP7AM4BzzbgKEAgiwLUXQ
FiIGa26R/i1NO/6MOAJOMESfcRxpugdcqsEIg96AfB+meB5B0NZ6+lAIeu6wqICwaSD4IYhfTaCM
PWfEIWZzsRgsqnMq4RjiC+T+1i9OShNAwRkBsnYSBkd/jBlO91ptcMUV3A6L0+AUsm8Ek99xjGRp
E/YrmebjgLN4KjjGpLBgoe/MJiyfrge42XkENBTeptATzgauILiMP0sUxSUU8HoXzvvQqnA/0rDE
iTN10W8rln2EZ5Djd5B+L9NUn7V0pvK9WL1o96Q95MymmGPbNG2NkoYDCGpfRU9mUqqKxuFvb9St
RxgI9QHmSaJ+gO1r9oPYfvSoLfjMaE4beoeZcdnCCT2jrnHLjq8eCbdSYJ1DK0QNjH0H6ZPvcRgT
9v0kiivE83ZREh9m4MEXs6x8dz+CqxAyOLvNoqSfwR+mBzp7DnGVdCvHgHfFtI7Qsb/aMBhQ/yHN
okAYqCb0KjZjCzMoe663Zdf49o3h2PInLtz3aCOuGr1b4PGfLoluiVo2iJC83bGpGQu64TMSkQyQ
MwiBWqOohSmYLx3/bkNib4NHvwHvi87etrz546eIEbhOAFzB8ATiMS6w0D22SzGHlVpwtNg5ywFp
LXnsyz4HnElQEmIY9u66zp68EuVDEXX6NAdNUgDS4VUWR9DImo8RsG+FyZfvuxVbmwYWshtjDIII
Yx9wCNu1W7lFKBfbb1KHOPjgcbyAIPsgxKWcO9igFkeMSX96ARMH4Ev2fU7C9sT4klSZnDZ42uvP
UfVvGX7y3AqQTgtQ6BHn7ef8sxPSVfWhL6ZJhPAFzLuP0wWuyBUf4FYK4H38mxiAYJDYRDsV+Dh4
BcyojqNqHqKd/h/KzmQ5bmXLsv+S48QzAA5HM6lBIPqGZLATxQmMlET0PeBovj4XQvdl5lXWq7Sa
0MQmqGAE4O5nn73XgdEzVfXo47t6LFGjN/XwOWOJ3UQ5Cc28KE5t3e+Hvp/vzYQ72pOcha3mkfYP
6Te3XUlMxyvVuDGX1PASN5W9cbSx24wGmTpwM2vdyNlYHLGca3E9EAtdo5rjFc/FKes+kip1zkaz
Moqg2c7BeGhx9PtY0+sNWsDdHOnGupLh0e5NnFZFu9btKjzGVozBa55WQ1J/r/r21Wqy7ZSZ3B15
0m/dtrl3wlLjeDAdWFOrXRv3b4GKjH2ppZ80csMjGrNYiRCbpRosbHOmtpllHz/1jn3EZgtjzNOj
1eyAfvje90V37C31Q2bJrz4T3DFeT8Ew9qsgI7cet89eUcpNhuF542X6r2wwH5F5izXV3Egt5eDx
Tj5t7NPbvA47f5dZ6Ekz5v91B3ysCaPZrweUjNlK1FH26UuZoAiVWVmvjRSdP2m0YB3PPbcAtio9
znaVHXcnp572k9GHrPSm3HeF95BEg98vspXtqHFrhlKS7eikTxgEKSHBuWANzi6SIl2bnAktq58v
et7vmS8oVr2HFh4opCYKUNo9ep+sm8opd8E4NXQeEXrqqt81ai4PZme+Yavr0X9qfWOIH7GKtb2I
nyYnpVuUjK/Y+35WVsRjJJ4lC50k7gic2+YjoKRL5WD4r+fc8Kduxv45edPd1BDbuRMtb2yPk8WP
Mt4jGZuo1IIguRg+x7m96+isrdKBNEKncfwrMNUSN4PQRKx+ZWfTvqO5u2qM7hpgj+D47K5lklU+
onBFHuCkO8WH2WRnp8osTLzGpVfyq42yFNdDem/3tYeouSoi1LgiyIIVeBrkOjpx0Bnex/xct7gQ
qSlVQ30btQhfDkVHlNYFalCwRXrrduFMR1PGxVk62WVQz1UREyEdtGqvAvprMpf42Mv5u90k0UXm
GD6MPuNAwf0JS4Cs4qZyE8HCgYGsb7RfkzBfVaSZW+pvUl4kFN2KBq9BHGEl+N+x11yoIQOMxFwj
XNbvUdDsw4w7P8dpXh4SE3GvrrX+mFSLMLuiL4Q25HbZWTemj16v9GPvFh+IMTrgBtTiwpjAdxR3
WOpemC0l9mWTvJuihA3Tj59KFrmP/std0PavfaHZZzfZCW7DBH7Mphh7F/V4PnltZ+I7ib6hNJqA
GkGjBDGsgwZ5fgfw7iua6oeZNmxtjOkp0HEj9KlT8T5qJ0ev1Tcta/Z6ZQX+oKliY1sxtwv5OxbJ
R3xWmq/14cegD9beLEISiuyvfgFCg+6ejqBddFAb9WsqVbBtU0EXc8reYygbJlQINVG5KEHkJwAg
mDhci3VhPCR9kW3auug3k2gvWhfd91r5w8KUTx3HKdKVeATz6ecQ6AQLc7bQiZbWt8jpkvt6VdCM
Cc3G3AWSWGs1JoOfEold91Jtm3ZciUapQy7wjhGwfMqcfNpqg/gGuXMCWTKMbDt+n1LlUuggkvTD
t0Zrv2tZka7ELBTBLSTAIcufQo3bVBnjpTCOVQtnZ5YEQZSJl88WP9sZDBp506sb4BpqRLweGw9k
hDDTtSSfD9mP0ylmC5tEYd5vmqKAuqLH35SIT1Oaqb00Yw58iWawxi1qd6riBze2VpGDI6mjO34K
GnnXOb3Oq9Yr6vkmRfOplzh/E1L8Gr0/l8FHlATKB0ZFPC7Q4uM4249DmWjb3HKA71SEaBJjfjTL
+KHJ9TUXfHJN3eGpc9Dh+ul1Un31RO50W079d5IM5RlP6atNgmo0gstYBJe8GZ/CEm+RXQdPtDco
/MyPeER/TyXnbfVRtxH6VGAU5/5NGTrFPCnSLIqpBrpQ37TuNK6cuE3Pparxcqo0WYOAYXul2mW9
nn7VgbHWzUSce9zZcmzeDW9CO2/5wTwB5KaM4GfRxO1pSHilvBkaS9rQNYj1IjsbWZD+/sBLvOpo
+WzCKZh3fR7+KN1kOfNFPwUZ9J0VRy1WJ2+rMSoEqwNn5KKmB9ks5RytzEE2+7lqeefTfJcKan6s
gEBhPxuBd6+RbPIGRtBAf7BNvfCL0nxP+l8jIsBqCHXj0vYTm6kTyRVm489RqK84p+ARE6bT4ucU
thgDBoTPzLLfEo+COzXq1SAoH1Qm3otIuPDpgoNR02aSRYiqiA5bTZwC02RXaq2xI6docjfBzcOy
sYkHK9qbmC1ILCUbbK297872c6NMXNAu5XhY6GsVIgGHKtmKfmzRgQd9X2UcpWZCuDqugNU8ICFy
kw4W+xx+Gm1NJJ4hd6RCktTdp9iFqrmzNm0jfnV0GzxDfI6UlqtZbzcc4LP7Ho2UdoXijD+HB1Xp
SF2YgSi5ROSjVKHSj2wYjZArd5SY0ItXIcJXS2NRS+pv8EGJP5mKPL3KXwJtZsPXBNVeb+K3dw2K
+6o/Onryq4uC7MjAnw8qu1d3duIDllmgB6p9bD233jUI2THzun0xuuiTFsKQ+pgsRWyCFV1m48sw
4VEyf0Wy+8lrbqydBDk8icP6vcLLbI5BQLHVNmuScjtvTOQ1s4q1Fs3buAcWMlc7WkpQO1s33PBE
36VD80JI75vHctXES7mNRcvUvpIRD05XHUnuMA53tbQU7LY5oL59dytEZmlSF/f1tFEjF55OEaaj
Bkayt7aOzRmJpTKD8pXW1kVIjgVWRtxyRhzaUuO+B1MHJ657h7s8bnAHIoFIoGPBSH3N8Q6wXpi4
W/q/7DRAgCB9bOCblutWlmwdKqCZqFnnNBl4aWszXsdttLZcRBI1UVl5kfU0eyo7usb4rXejeBOm
5RE9LVvXOSaOWqGeO/a2DSb70tDcOiH1rBVmrY1hGDjl2p2uD9UFEhfdsX49R7ipnQwHWd3Oja8M
1hoZZS+xQjkBl3TEbLGy9Yze21iACJIEsoJoP1PE+zrnXXPsqVYTGA2ecvEMzLDZiGUctIarvi3Z
kLQYkcATNkIYjVzfGco7QyAVcCYa/c6MLik5n41QnyaDARcHXU7iyUjXYYkIb1cTlZARPda2uaOz
G2xVTXKh48gY67lBVd/urDKXfmqmdP7ltyoagOnh8xYCYzORyQN9D3IT85JEtZ+Kxip96WYHuFZE
In3IfrUPMvBXjyfeG74HVBee7uQHI7efzKj0sGIYiKocPtqAeDbNguqzpsSf4rdOb4ZN7U4NXVwu
xJDlRFccTpWLnUMbJh/M5SaPLDYAKAmrwMDfHxCpDyT6vONyLu1LlPVhNoBKDOVE8cXhE0gI/x2r
AZ00tUrpy/lgjZAFuojf6FKxtZO4oozgtLNDCuf+W459spRB+tiU2X6QXb/RmoCTT+UeRgQACnmP
oxowLJa0dNdn7xWz7FdJYH4PpciP3qINLjKK3UwkO4a6xNzlCjqkxK8qU0fQKy9AcYhEwINdu066
otit1w4csDWv+8EttJiYpYr9aM7PqpWmTyd81TeQQztKKb/MUdrQAaMxzXwXrstmKvlNjsNrQIBE
st7JR42sr9ewx7rjXWGHWIN0hPIOZ0uczCRJu/FHHmTj3sv7yrdKuvmt9Q3jBZ5Np08viDeQNkTJ
TZbXpd/RmMs7dPLBboq1J4sfCQl0vXZ1KAYTeCk8rX3Mm+8uXSMcAsUFH/m6FlPNT6cFqh1Zfgrp
kG/Ka+/F34bFn2y519nUSkJwO9xRVy+0gqudCTrZ2XyxU/fcjppf6rI82VJbgGD1V+YNs086mRvK
mfNTDtEmDwskYU/7CAGd7mrgSiuPWDCpSKRnFc8nGQaPugmazwBYNk61xvnfiVGDggWVaHCAqALI
px6HCN050tcsVzjHV7OX9ocBmouM0NCa0MXMPBfWysk/R3gBmwDaO4WQ3kLXjVe5FqBrEjnJsbrv
Js7AknMyvImGrCW8mk6Z7rkPKnoXDleRbJ4x4JwMO7TX8wwmDOChsy9BhHHduMepbxdQy7TykvJa
1ZG91gqO2mFnvtsmEfLk0e01bcsRR25Z5VaNgoDbC309jtW8XSxw7uS+sB+XB2JSEBhqQZvOa04z
K4LoOAQboRwPcZzu1DT9opTLVrPNVUt1omntePaK6USM197UatpYDTWIUrLd5OzBHamo46SMO6+t
6m2qimdR2xch3PmuGaA4hd6Q+miQhzyJQKJrU+5zMAE3hO4RduKxj2pIGZVMtzgDOl86p9qKphUO
w41dCOtIdpFbYUyDjTuMe0sNn3qfY8SsyhIPk32P5Mh5E81gnY/GekM/ez7PNNrmNBdbjsF4JyCq
dHYi9vNLVujvA4mgp2CJiIzpZ+Rl+T3gs7sm/TFmwwNShTpXNhISkHtCUmNGxAZRB/PNsQScva2l
Y6GZR28J2Bs6ht8HkJhYbFti4ERsN9gxv2ioSQSP6N6SY7CzOxFCqzFetMS7pEl+MURQ4eDUtTW+
5mtI8CdO4uZk5WilmW68qkH33QnUStGpX33c5lusIRqbBH9U+x3uDI4UgZ9aNe9FSqenZY2ebS7h
OKNI98A3h9xL+3pxNdqzwLCAWN235casp+fW1W1qCc4laUEdEFSZHxFiMHOJG0e1SIkEuMJQlrAG
5+cgjIDzglSEPxt1OrjbCkXSJbJjhcgzOPa2A0F4dqCY8jkkQZD9sgrP8XFyvWtl2a2D2dhKMFYU
xOEzyVmc5VlmseOTFtfVhpRXAyR/YNTTNsSe6kY0Ggyn1XcyJjAQuEcab9tsMe9PNDq6aLgapUY+
UBcYR0LPOYrysQER43S71MGEhvfi3UuVtnLn2iK7qK8LhTNdF8biBE7OCScq1xZbMX5lKfqv2T/p
YUNDmMt5rBuKKl2E19TW0R/uMy2ZdkhxZx3jy8rwtGodY4jd5u1j5RYT6l8cr4zAPhJlDraEJlZB
bxT70pBbMin23prDDQ0aay1yHQFATBu57N12n6uzq1Ptj7a2KRPw3A58fvyEAzSZKdfyjak56Toa
nVVJ0UvnDIuH+oRxuARku3LjTeRaOHDuSMENITz6KT7GWQemhg6yq+Zs6xwh8rSnWuqvBjIjZMsQ
iw+nQUV27EyS7dWzORmxhGw9jzx/Y6A3N6q8jp26DI2JnZ3jQ4UIhQU4uuRB5K1Dqnb4DcgY431X
AEzVlhAJgn69skZH22vKeFezb8RPA+J7yINRvtH0y9wANkux0nLKykZN3YVojsdRrx5FmO8USVIW
vMY7jWX3YBgd5amoOqLUzneO0zXuk3OdktmwsxQ+AojiS421ddVM6k6renkMLYtktt1dKrJvWyd5
MLUHQ0bQHnV0NtG6e8HZaTVXWkjB6OpE3IABy7Ga+B2ut71xLkp9wKrVROEDIV+5wpKBy8+DQLEE
+yAF8XbgisOaBF9n5IIT4wyqNwJFVsqwu7/huIpUsXdl9D5R8LyazD4UZPvkaEJDiNEogDD3itqx
967Iw1UhHbWjeMJl6WDlzGn2I7o833yhRsHSBUnI2oE/x5cSeacIJ70f4hCngY+kd/sxTofpCRew
u7rluxftauEtd8nAZTi3JOpirM941V6wJwGgBe/aEp5CFIQhz6vIySxONoSqEtZnL3wuG3c5uajP
EcSQpbk7nXPulX2rveLBNhHZIvbL3Gj82wsh5IDkOmMFxPoKJxLDeoqt2e7HSxq7mxmD1KHB8frS
FsTs5spajRJqRRkQswwj6AYRVt4XACrUA7P+qFTx6PUgzUxN+bf/2ZAlKYumVeegTFx2jpRYpoqK
Z+V94Gbm4DmW7e5GHeDcHK8BnshNxEMM8j+cmmnP1J741pRhg9fRJHKdMOXk9o7ZcTkeIfI/yHGY
zjdLKqwSy7+h5AYsEAzxEOGWrGMOLKlD+Mbnew9Mwronzt6sA6gsRIWmGKejgZ9SmYnpm7X88Ru/
llud9WxzZF6kXE46nOZJFhMuQyztQat4DlmxGksZqNolRXP7UMyIPFEndkbfPMz0Up5Gb9eONJ2H
pND2ULcPOkNIHkuawD6DKuhhasSC7cK53B7fZ1gEPOG8ypHMYogPSWjZzuGMo5DYNzdyjDPBNBrK
EVY7wKLbX6vkHMA0KflvzJHw4aSSF8KckMKiFJPpjd+rK4KYoDjI47JRcybN5DpB/tpznvpVlJwh
YHqwlZVq2oUacy1CVybnQWXPQ1sNhFi9loQdQZzUIeTHzSPYwFpCc039zBr53Wp1/SBHTFTYQLzn
tjg0S8yuB559m42SM9plk/ZhwAEJFDsiTbWqcmfCPJ1eDL0d1xbhh5NVOuBppzHw4471ccAPp6lS
/hwzQdINfbcHZTXl7EoZQeG1YRS/FgLIqVpyjQRw4EbMU4JHNBovgMV3UVvFd7gUcZ9G8PjtOUsf
B8vdTokB52h2noxbiLLN6/uCz9oGV24ZFBB9zNl3dNl89gEaMW6F6FoYo8BmxVuX2LRbxrib38aE
E18+PBSRql4m6FS8SGN4SYs3ZOHhMizA/MwsAmyw/cM4ON91YVHB9GOV+/1vhkhr5OcqmKaHpOaY
3cwhoZt8OhF3b6+NxWHxRk8yIrvHqlfirM3ycGsVmK1YeuxTPv/U+PpmIi1JQJerCwvHkwMJYB1F
XvlqluU6CFT5YJppCVc+Z0PqlANZJlki7uRU8djRxrYqd69pIZbZpdNtyk6QGB2mB1j8tDPI1d/w
MLHCTmVHycXIEmX4+Y3Iwu4bn7CrNWeTzoIfgx9bN53+gdqUH6dIjAxfqV5ugHVnikE+ZsK6a4J6
Zu9yHjRZsA4IIztNbeMHBeLNNEXYH9vEIhg2GEimSkcN/970I/Vj0sOlgQU04ExcxWDHtlkGiJkc
3DF1GOtQel62tQyA0KEVNb4VeslRFhyJOxbgB0G/eMlA315UrAmbqkpm/kAHyye5hlsssYlgHAj0
Zr/kBty706D2OHFzyuTFKWjl07lFq4oWWFcIKcsQzv2whHVBk0fbQJB2HhzN3OhZRKG9vCVB1BJY
T1Hl+TmyITRu7zQt8rbFgsckCmKMdnUpSIpv+yagkzwNx9KSxurG6uVg562KYSgetaRxtkWLL++/
Hh3q+ie4A+e+6Wl7UDxn+0xEH1jNDymx93gsm52FCrkZSwMcPDDwO76wTb36dMNV18u4iSJGsMmL
Q6zL1zLqtjc8V2PhsL8R6cY8xxnRzcu6ET2NhdmsPCg4twWRQCXoiyLb2m2GdaCi/GEsBUVy6aJZ
EfAcxvA3Sq3MN3Wu9PNtsy1j64fsIwXJIxnO3fKh18lAQeM29kl7T2vkzCa9rO///JC73x2z1O+r
oXwc0BI4L/Etyw5+VANIodtns0gKDu9Dv+33VATTmwjchrR1hx2h4iKQkyUetaLd1F2j3ouOMy5m
QnEJyzw+42HgGwpBQ2Ja49zz2hlYENxxepPmyVaRdyicPvDnME/est6hVWtrVBaNbSBKLCNaMvVD
Ba74Hjv1WelvYx3EvyDa4OMwkKh/U4PaUsJTC36FekTYwiYBwHSbV02DIY4V5Tsar3JqUjX1GG6N
FBeAhdXwxpDpMAisDJR1Ydf9gnc0X+RkvKZ5Li5N/HpbaIPAyyCptW9Ok+g+a4p3P1YBT6IIH6Ap
ykcTjMWQWhsIu2z6Q11cMJVdYdJra0uE/HELvVMzgveBCMiRxGOwL0D6bW7oBBUOD+MSckuSqTpM
mhO9FJP3OAFhv5tqI37pYwOVzUkAui/fFEseTrKjd2PNUX1m4e6klpxc3OaXckwrtDdS/XMLvFlT
4EarwMBR6zA2pcuacTckQ3ptKxbj1kLRndjpDskkH3+z0ZIBAkAYLniVbIdFBBp3gEQQ1+o+bojK
awZ+g2Xuxlzop98bfu0qD2c7zSqCflrHUxmFTira2P5+c8hLlRTFvNd+CmQiKxxS26Ah26J/SRAd
cbmN2mmMSKzg/W3PoQVLMk4vt/VEC4sRGp1jkVgBQahxClnl3Cj7G6B9nrz5gE5B4dDTYnTSOv4E
Z3B1WLHONaHBld417kHX03ozDA50FGLnm7Bsxkudfd1OODn7GuUr3Cdz6Jxtmhnp6ff+XqbO9FC6
1auypId+y2oUWQQDMXzUG5EYjxXTd+5cM7EeE3qvs10xikS3Jo6loYlY0x9sr6Fb04mALMPkoD1O
wYGLsvF7L8j8mIDJmubxUcdRdd8FJX3xBXhOL8m9/n4KmAo1/D6q2gsnrL5NmAMXsx1Yl7aqjlqy
zFTB5Xq0I+s10IJsZ8T0HfEGwMSDK1ThtN97bZPs2WIRnoAZ8VouD2LUygOTY5YhC+XV1gii5WmA
sYTlnxwxXqom/2FBI+javnwOG/2CBdBGA7L5jAO8r5GMfy4GaistsYi5Ve05sYv6ntQbNQO3A2vJ
9EbGGw7b8jc5pKp6pVGsEXffohYY56q014OpN+cbN6aX1V9In99IMmEm+soawtzPBlzMdPhp38ga
Za9iNE1k/WhpCXBbbW6Q35SOkOiEdVVhBbYglwdsPndJFlX+DSNjqMR6CFWE6xWnH173L4Ai3B38
Y5DRjtQ0mIpG3t+eioHIXu0UuTWW1UDbRD3BXOQk3GetPn3vI3q3edvek8KRT97wAulgN2dJ9BFm
pfJTy0CfjG1vm+r0U+DX7G6Y1F7F+bZPxUPZM3TPWcYOGOQjawLYwFCTJS7/V8lCfEYRAC3pmzuj
c7gBjG+rvow4K9ehczBwIpGljEHx1DCPwQUCeGw5Tt7qtkqZpo9ZAuP4Uqlhpgo3bRaXu2VwBOGH
+EsH6Vfi/9+OOUdaPH5iTwoZZ/sC3lfBYB2SQZGHcmzsh3U3bpRNM1rduANGkh2GFIoinrN401pe
Ql3CEdlessaQBmho1ONnq2NqKVLTZ2gSo3CKAMrJ739qJEPQX5q1UdbyVbgMhfGSWO5xOMhX5Ub0
Xc3ivWid9FyAsGI16stVX9hibSwITElg6RTE9Y/RIvt0o01ODT4Wferg/5au8zS1nbdumi/mMhJJ
NTM+VCZtQhC1PtLjQBNH4aUl6Ld1cys5aEHwLCEO3TesPfUyLQY7Kj+q0F3KQfd+T6Hi9eGIjhkk
JrSeONLaTpwQsWtx0hkCnES3kqByHf3AyBFt7rCYDqPxWAQWSmpaf1b1pNGGh8shwWmuGrac21p5
WzVZPauiN2kJn8ColT6FINPfBihTbolwcHtWmRGdMPWG664ClC0dWEmDJjxYV+ZeN8IvhWy8zaac
5uptss9wxoiS7z3sPLvJs89x1cXPeXfmRF+9dVbO+aex42eAIM7vdcfiAlge2S1Rj3gO261bepbP
betsG7ctjpVWcDvZ4skCh1J3zMVyouYHqcyzodMrjwly3w+B+0XozESIs78KSIUPra2+zbHVb6Ew
Ig0EVvBcMuZTRfZuxsji44zu78tO249g9ACA0wmld0TSM4vhXocUZHkUYNXuQcktB3itYxzJbVEJ
dZfdQnZrbt35LjRnGomsZIPD1a2iaVfUHKomm9CzjFB8i8I+KAwyZ8sb30MG3p0cObsn1sgUAgw9
r4w19qliPQvyeXhuTYpUN7NeWbaSn3HWX608d/GGhEc6a9O6QtXfT5XR3Llctqu0oXU2lr2zvu32
S5MbmW06357z1D0V7lg9GE2NNm1wLrhNORGw7w9zpx9um5lc4tONpXMbM7XMZEzLMoPk9tWpDr8z
LUaBd/QGXhDH3cRh81gag8m77HpHmQ1XKzP39TLWqq7MaztohABsdYxNsuDufAZZ0m9wn+bPUzDN
gCI4QWWUf3KBi0A4EnQWFQAQiIuPBnTWIzcMvqi554wumLsiddVc/+sbaRbIPRPVkCXr6CFYJIUp
C76wi8ktgesfyKti2wylzJhrApNSktT1ndx1j5SUHwq7Da1x1i5NpIyqqgLcfsupIircox2DXRgM
5yqK5Ik8XAdvJnSXsBjLSWtHa+bS0gYj2IqArBq/0LNDNLbMlOuz4NJ72ItqN60eupCWrMmm0flj
1Yo16c83vJUgpols+1LUXzMGhEOGN5B9K3Sp5KL1bRxK7ml0f5lVdZgTopHsj+FOMh7gUhWKYw7d
DCIJkNKrIMIuN271cpz2Ws2It4XVdh81+f1vJLG0vG0fpQxZAwS7FNBpgzQI5wcn0zJqFdpOtKQV
KKxBXdFVSZihVNcvdjoliHAoIpqRHHlhoFH0ZFlvX5qC/kVCp/FlbjCfy6FCbr34vVbFLsuzbz0t
zjutle+pjS5YJaz7hfGEN3B4kQpAXNkvRNHbQoJkfZd3qMJ6Ke3nNNEvcQTXvyskFPB8yA//XvHr
Y7RLYxV5dc15Pxfw1iFS/7tuRoWD/iPZ7q37UhI917KjwaQHxNfwdQwlYsS8rjkGjYQLY0YM4Kiu
v0D/xHN8wO2yR4F+173FxdoA5m8nCJi1u4oE2sPA5KNatK8MgKQ5GZHowzH+0HbWE2bKDZEptoPE
fBpG77My7U1RAvuZy0rz01A+tFV3NqF7IKzzLKxknxHgDEsFr86R+Yp24g9sQy8MDOQlX4YUuYU8
CCdZ6DcWJtp0eIz6buXp7MNJ0DxR6QEkopVLZLnzSjoGRNIrPDhN3KGETBuN/DQe5CFIiZpHDA8C
X2q4tBtrQVtpZliBlRub0MBpjp1SEzqjv1xeU0Z77ovmfxlwav454NTUpTB0g46lZdiG8ecs2aKp
K68bkxqpuVwPaFB30/IhdR/SljN4bU0VHSU+OEbFB9v569Pb18KOcZS6hzelwZx+QVI9irCGPKAV
GWMWhE4eSEpx/f2h4shZDtQi/7aMuf5rAvfD72ESv8dJ/yirqYlR8P749P/sN4+b2yP+8yd+/4L/
/JQH/PULl8HZf/tk8+cM738xpfvxV9tn3b/45t9GeP9tbvy//fWtZdK1dHTmX/zrGd7+R159FPHH
/3zMX2O85T94owyGfMC+/WtY9/DrNuBb/MORnmHrOsoKgzZcyLj/HONt/EPqknazEAxuFw4TOpYZ
0MsUb+8fnmfw8xa/0jRcvvXPP+9vLzsTy//6/L9P8RZ/jko2bGEb9O8cR2cmOJfC3+G8kx41Uwso
YxVr8afHnEAMyLi/lM2ROT/rnfusNMh3ldK4ujV0HAVnpUm+VMr5JzWCZ7er3ozlx1RyzDS1Sw15
0FWbrBrTos8dbCaLT4rM2hVOg/THMDnCbZ0GejUl0g2S4L6o808mWj1HljwMYfb5396N/8uf6Pw5
6nj5E03dNCzLkcJkQf77n8jQZ9guBdtROkXPMsUG4tTdWxl648q0ILH0OTO3pGQVWp52FoCqL2GP
aNFXExOLkjaohjggoZiIq6qjr650D3nFo1Mju8xVjCs6O88zz7+id+zRr0mK9g0P7BlU73t6aXkh
xmbYt/a5EMZ1ooW30vHMtr337I47ugAnUACVnxFHLPNKLP0vd63ZzRt5gXyOPxmrs7NynhuDuBhq
F2NKjj5xvPptz4A9p9p1FeEJj/naysU5o+iYeUF+NlI+cQK5BTb/KtqoRJGkPdo23vMwZBtmDoG9
S3BY0FSiyDsVbvQzxlHigxkVdFhzIogQd6bkGjQhQBsGERbW9f/95th/jpoxbMcyhcsVbpic0/Q/
3pweTq87S0WXJahAiC4X0yj3Q/dR9zRvi2NIN0U4NeYgHEZTswcGdwLqt1VQJMDUH9VQbQJ+Wv2+
WN2BAtdE224z42rTK2kZK1Nn8movOfwZxz0Gib7C24zfSy+J3s3FGRYEB/h8E9vEvI1zMU7bit9X
6iarvrXH94Arz9XWUk/uAaOeQU8ddEdcb98Ie+ve85VTPFG49+6jppECLeUe/fya8OhKil0mxT7U
LeCh2hFd4IzyAzJsbfcx1nnt/3vcEoPfuNwdh/lbBvGdP3jbM1ADEeIwZEPXfpRk1DVgA0FuHzx2
DDDd1ITWXjXFfRmM/wvt25DG/1xQXMnIVd2FHcfKJf9YUHTcgnVWOWKVW/kZgBd/tOS4bR/qNj8H
kI5vb4c34cmosesDiEOcyXQOT/3P3km/kpCbaCHvzk2w62u8I5p9RyyHGcLfa81iXjxXK5CMXQis
jDzQtK77Zm0LpB9hL9N888+OK/x2L/eMgANzY9Zcz4ORfqWifHE94G0158ykwCyVfjEHRFuVjAGj
L0pWTi+/dOkiFdF7wxL+zYMxvLJsuJV03D8tGJap/mh6fN7XtKvDuHqryvZa83dghGSltOeeSWN4
xcswS55yIb4BHXluLJvxLfVrTyHjK8N+g5aBEynqt3rHOWSxCbrz/BGQp1z1JK3wMY9i3aiYbHXs
xVfbsn5FuMQdgJyg+xESapUoruT6HMxTscEFN5qvosR2GlNm+sGIx3kqNMhxZXEQIPxDgIqrknkw
jTlUfj86EaF899GT0ztzQu9TLb3SuUDDIb2xzoh9FxaN/iwxFf9qfuEBgfoNuDQsXGJ16SMZGJqA
oT6RMCPHWk3pj2ZyDqGbFWu7HOL1f1B3Jk2SItsV/i9aizZGBxZaKIKYh5wixw2WWVnpzDM48Ov1
Ue9JJj0zmewttWnrruqMyAjA3e+953yHBYclPkScPU3eXWoWv/xSD4+GH6R08uDExtyh5AWsqqTb
YNf/JciQXeNkSDbOPHjrzCQhrJPZOUWSEOi1jPZtXG6hxASgfe97UR6RtTDoqYBBaGaG6qC/iTp/
w7nKyMkieBIR37cuvIuG4HzNIOTsxURbpun43Er9x/exUOMLW4m8nO/zUQXCGa612V/qojzIYSZ6
hA/KOHDeFFZI3PEAZTul3l9h9VV7ZYrHqa44TuYGMADXZDqhXcaISJElgcJC/VC8EPVDM6Q0mF+3
I0t8/qPAF+O65TPFqXnHGKbByFWTsuWeWTPMfenZpzjiNpGFevCK4pfIxAdSnlfT4vIw9AuDKrR/
OhJN/6Du+uLMjHSf65BHUt85e8tC6oXyaI7oDn3Y5uFro7BzaLGEJ9fpG9lSy7dG+Qug/bPfRq8a
rY+pXTTHLPj5BKhZh8AfOL78ZBukHau6Gx9qj0vbCnKsnihMX9tOf9KhIAdW/4bh2XtGrBPQRIA9
AQsO9zhdNnyCT6YSH5XmfjgzbY+mMJinc/vNdySpQK/E06cnubPFrpxu5WBvW1UGOOlxvdY2YbpH
2ZTw1203W9uOzbKu9zutCHKN1wY1EaMS27kWSvOyAK52p43lnZpQDnni1dOLbyVhkDbLrB3yDnyF
HRTswIMCsa5l8T4RPbxSdXvWrdfllnXQCxDbAVyh9i+hGl7yGbyWzURspRpx1lyYNYDJXtsx+qht
UBsKig6SNKMO9Ln7tN3qRlIZN2nY06BTMFPXkWXnJOshcbHQyXdGe2lYjUcfjWUuk2+7nwQdl8qH
Eu98iNZRqP1GZJvgu/Ks/aq7gZGcb3+1IfsWMnOoNEW7BRV1xDn5PjFRU8DjdQnYTtlIfSTWatK6
0cNZ8aGZwQdDdnyjNhxYbt2fCteXUTgGWIz63WYNbhnTJXRt/bqRu8pCLJMKirfUo/jxTBRmNnqC
ULh8cFBXW+mGb0kkvKvI1c9oojzV4bAAteupJorfWjmkp0rr19UQGkAnEU2mwLAK/2lKrQM5XIcZ
KSH9raWdImwEyir79OyR3Ks6v/VlX+/jMDyB8qyZe4/PBSOONXmHPOYY4NENNsfS6vjZ0ic+JANe
ms+YaXzvOy7Lk5RoWn2/TnbUnjsxsQLQCv8F5XinFyjyOBQN9ylHH5nNh4zKDMjTybcoBMdJLkMP
7W2uaxRF+YywyadiNdx7l8EENLULnJWtZYxnGDbJmtCdj66DGtX1pF/BN5KrBiOVwnwY5I31Utgo
lWtgUUEEnBuLztiG2zpjbmw09KMs/d6MPKJ1R0ut6xl8NWgOu4uhgSg9DLK5eYneO9e0sFmaHPcy
AV7K9y6exdOlG2VPnpp4tHD6GF54V2addWoj4CwFXAbwnPqmnqbnQhaMrJjneLkTlMu5vZ8PWCzZ
OebPZmL5sMOSILh89DEfqWKTTs1F5SxXOULbtLAfWy8hQm3K3hWwN1EjwEZv1BbhDp4GqvVmayvk
RFO/z2sOl+bcXISV4jvQZQoXu7x3ySs+wZoBra3nw7Lm2QH+7N/E3ZI5lbyJGHE6wHgJQnBN//mx
RlpD5xg1t3B7ShKsUAFNv/s2tOnG+uzE9Ipc1N+s+/r73AhGvVO7js32qyzZ3up6fFHV+NhGziO0
CkI3gA0t4yi67WfQFSxp/cC8ghSdlV5bW0foX7lPCIINsDYr1h5srjVtryCvBaRM91oL+ZFOxR54
drjTUbWmlY8Gj2pocT/dFT1ZsNCVxzUUWILFonVLYvQ6VyRd0e+MNi5aEdrr66ixPxgQbROnONEg
2sqaREHbaKpra5AhB96fM68h7xA97rCQ2nCD0MHORA87Nct6LxflYY+YPGvSjdZqvwEtmXhc9Gfd
ybFJOnGFL1SaB6CKOxQa0QlyKif4CM4GUiuTQcW6V+4CA86I3syatYcZLjH0M/fOs5AxHDpHHet4
OjV2RkXUagfNjz4K/ve0UD3eZW4t66cS7A3+gEFa06pzaYgHqM5Bq6ACcA/j4BFtRPdg/iGC9322
DSQNrYOMk5s9CAUb/pI/RsxlEKqedIw+f1GJw6B7BvFqcOYY6pfCguvQSRruI4l1fRb00o73GMBu
gE6+3NjH7NW62WIJY2HxdqXHmy+mti1ajY8444zb6L9moIF1RtiX1aqtFnYKQbQdMLMwr8ko3gqm
SFd6TMBgCJvQCvNhnsePVnMBoQiMcOqjTtC0t4tsXPB7WPZXOblXN072c6r9ysflG0R3OibIzqP0
bKOd2fXWfF8OPWqqfvhzNZGHGJvaYaPPHLHNEtD9zqyYM55NvFa4xgoaph2vqTNWwjjO98MsmRnh
6N+DciiOrbrJeD6DB+7uvZxNK3LaDAvvwkYnrlyIZBd32FgKXIsFs78AYi4EBNBiuaMf24UCRB+f
UhW8SCePyvIupRDxyUF5SXt4WS+idcO4fSX7waOlfojwBxjK+Kzn2H1Oi+6m5uilAbZpQ+uozOXp
hiGmMDV3KvktSzpfg8l4a55eSgihlBnFa1qRbu4QiSI2holq2ZbfSJYIfwYS7JDP4s7jreCrXWHF
gfmg73PccScrqn5SRiOrMbt3q4nsZkEw10Q2X1XKdRwam9CYa2y11osJ+LMTFt527TFtEVirpUxP
zXEz6uHGb+wdkei7xGEA07UIE9u6XkLyJN9vnScBlrUO5yaMQHe+MRfmYVvmACE8MNnUNjp/TgWx
sD9idAwjnggoVx/kM6LmW1KxaK4auwRzfzTWQdXDitWQNgQpeWlBTNhuXsPQQaGC3w+AU9V/oQiE
1Rba1cfwMxQRcpYcN1PPUYqwwJ3KkpsYmy9bdx6hwKNattlPCyhLyUZHfrWuh/6JXlzQh5idmuQw
+OOdPfjI+JqrKyJSXeYwoPvy6vcEg/fTOvYWOAnDTC2U7R5TxCfnioPVTiMbaMkpxMM8pgEwa2s1
B3F0ZW4AfavT621o+k+s7MckrvdWkX9UtNsrGiZeZynGYeSi+uYFscmz36SA7xrn5vtPRvNULXlD
OZaj1YRd0ZLj1QEwn/PuHFQMLUTt3PgXsOZ3re7tC8HuncdgGlBGbHsV4/T046PjRk/9RER1y4Wi
ILPWnsG2oSo2/NzFkjf6/W8oGFO6AXGmLzjVd6/w9h4b/CrVCyxH1qnW1Gc7glgoyjMJcUB6Po2S
SFJPoGWCtkZpzlCxI5+iVrRKSsQJEWMpHp8RdzR1VUxhs5pGijg0dAiImgsN6qfKtbWNmvoWkOX0
6b9LwbE4SsiUYEzvb1GW7BRsfKNPcFDxYdayx86tZdM3Xy7mmAFYF/Lcat2MOSVfszwWGqkNkXev
fN4rr5i3JVKn4uA9ppAGPvBHpyyfG6oTuh3UDMzECS90UriobLd6Q3/B7AMAW9sKtVTfcxZETKoH
qU2/Yq6t3TISb+39lOFT+9PYMaD3weyL1yWoCDUZW3hNFMHa0nxK/7C8hscx8feAKrY9La6t6vnR
ZHzvYqPfgWs6C91sCflp7Kvn1wibOxsgul0fBxKhlg9uobRx/Y3bsKubytwPSxxGpboN3Yrb2KY/
VtW8FawKsfdAGxtvMG0mYhjfei3ZabYfFDbBo/R1sM+/MIIhFldd5vGY88fTpH26mJAQSuNbi87V
ML+UNoqxMYIHzyNqEXEWN08RAQeOUXxAebsmGHTjjxRMIFTm1dI2CF2NpFuq9oFXLBDezdl5RBi4
MgVDop1mQfOavbswsb96BORrosw/MuvVj4CZaaW1m0T6Vbc3oqPWpiW2S3cC8M1bhNMXPpvRodPU
M+3YtNVb3xJ0Dok4NB76Ot/YLmBF5CvSonjuLijdtwTYrRkvrTLrT89IYe/U/CNqm9s0Zmdbo4VY
OLSO0p8JVMPa+aUXlNglflQXLn1ZnJevL5bVfQOzfyRGKy3fizj+GavqiUBh3FxFECmmymW0nNiy
Fd3PbZMt/7IaOusIWp6TNcnSrb9FUnLyG/lNdtKtjdxrzyZbiX01hUTFzy9p2r55Go96RuOLUdxc
udu6cK/OKDgXQ6pINCb8PqhoTMO+urS1t0Xez3go/Sg798q8B5SQvYtbPgEf266cB9vYRIO1/9Ml
jqr7ESavNNwD3+m+jDgRsQVnM5/fsnea6W71Seymzj3UyPaRwBujthnCbCO6+SUMu4e5hBeAXCUc
vztLo3sTd7eMWJK1hsOTR23fM0haT0gbKTm9qyYt+I4zz73Vlp/VQHlR7/QRjx5ioi+Z0AqPB+/Z
VwqqNyrQHJ+0oejdYm5wON7BcGDwv1x/C/MG0vRHzfeuRkT3hUiAWz75h+VeCUnPXJXi2JWRz3Uu
mxUal0cK5pmsdcx8hJROTXpozZGUhqXfbIfz3nQJJveE+bCkr4Zh9Fxm8dGYvNdOcNJDAscEWWHL
jdBXOtVvBQKPsrp6Y6lCplTTW7cK79ZJ7kuDXqNoHGIdOP6SnHdG0071m/FObTe96Wwgyg+X50Oy
OuFfJQroRzf5nHOEX3aqoq/U+6paMnmi4ry4qCx2iz7GmVWNdLOX7r5UDl5pr3ukDAx18yH1efXl
vTIYkLzeSpsRROjGswHcpvS/4i49qYgBwnKQ4vvc1/bwpjS6dFEvrpVuPDSJuCXLq3iueKzai6O6
Nw4TtPFmbp9FPtM4v0pEwF3zhvrlVk3a5k/LL8rElZBy6EGO/ZAJXsH1zQcZ4XNeZhhVm1xzfPrK
qDdjAU2hJ9jDkvHfWv0DoMG15XI1dfCGuSaDeGAfiyIN4Y6CKT22CeEePbLXLPlKiQ5dWVbP8hA9
JaC1IUjKH6zf0MvHdu+n3ZvF+62Knt/ibz1JOKFoLbAj2DDe2zdj4q85q1yXYYNeG7iOI+DS5i00
dWR7Sxfesx+WWywqCPIOH2iA3htQ7ql0sh8SS96cmu8kb+DEakRVrENsS3rtHv60MOFMohISM1U2
Lw+2nH0o/2iL6hS7M2SlmbKwBNk4YT1je90NRK+sa6qdiLo1m0Jv1dJvXd7dYT5UpdmmipJ7qUK8
Wc4OTDyaVdM9ZGX8gzzdZ/PBZeBWFxFqtxR93BhNx6G/EEtFRpZbq1U2hOJqF/qrnjWbqfaNR9Pm
dvLBPrt8dmT0WDUxkcO7TCf7ACwW9rHRToElEduW8XukM2BixDxvs3G45pQO2wjLzw4dQ46ReNdS
crPD2vJV2aCeoOlCvKSWWRmloT/LrLn1jfEEUDR6jnT3VUPt06Gv8bsZvHPl6mvpufWu4DSI18bf
lSLZj6XebBr0S2vER6qqtrlXeutCcAANAwFP3OZE2cbPRuou5N70J+/Kt24sSu7pdTF5x3KmAUV2
elYmn5LUgIObXT2Prr/AasJtkd1Lzvz474FJkD0xrLlOZ8sEPE6QDqaHJADpMKyHjOXD9TJWHmV+
eLI7WS6JMrJwbwwQLxMH8T9N7N43UFWIK4A/bZXGBXAuVrixU/76z8QrJpli9NAxQsN70SiRBwtq
SaVflJ5Kju0cEMx+0QwlPUfi9q336zfUgDnd9oA4zHalMNasLFTkOFP9jRTVNhogfmX6s1e7L2bK
hTQ6UiNUYrCweFiDlLkZezKH6MrHTE/mhVSQ9MiKLfy62INaJNHt0oDsvC3mUimcX9LxZjYzh5kL
DfCU84mNGnsdo/TGh1CO/YsyEYf/GWo5Y/ITGu1bxoSmS52tQho5pvYDJ04Pfh83ZoOBfB6dH270
bsO+/0hUyk2PIRdnuNW9rkNZ0EiyUFAT2ymzAdNx7/RQfXslg05TPRVfZGB8AXB9SAsauNXGiVgM
orFYj2zTy4aJrejtzwfE0L210/BBzjO10xBoObtMl3kjS0bKyc6T21i4kCxpAKTCeFiOb8tSQF3L
6JVx6fJqyz6p49RcdutwcG/LejGZLOjq72vasgumXOnJTL+mapMajC+Wz+yP1nXZqM1K/vwZ1P1T
A/vd7/L6mf9u/z8M7R37/xjaZ59fzT8M7f/8zN+H9u5fiCwc30OkYTAVdxgq/31o7/zFmNIWvmWa
pm47DCz/c2av/8W4zfGZ9Xs2fkqTn/nPob37l2/YQvd03XB1j7//Z4b2RC8zsv6bpmJRJLi8sblE
6rq2Y3lMtf9RAJLNwupMgZkAWhKIGMQo8K+mpeDT1nqDlWKIPDIk2ya9WjiEOwJUYK1xgkRXSRNN
83Xmqy6utrn4nXIeob6y5YW1dlwnUSmDLBquKQeeo+ldB8cOT9DGk8VyPrcdSKRfsB/gBBSUIiaW
vWIYq0eQRKwzgTVX5s3KrHsr9fSdn4oxmGqADYMfP4sCEzeEaFCE1rDJ8J4jR4WbHMLtJul6xPOt
n+d4Ds/zWJLSa6ia7LP4ZKHGp3l3rma0O/Y8QsPH1vsUyqpffDPWtiW0YtNLOhquKvIXJ1yYXXYe
XVEYyJUido7JuHrtOBidRjpTFTr31WhN4z7x+niLAvrdhDAA+SE5xxACPJJwz82kVfdzhGGHDJ18
m3TGdHA0/8cwwvJC8uDRRBQYxIKuakkAU1AT1ESdUq6Y04E1mK3q7EjmFE0y4N/q6SlXGax8SBwL
1t7PD42ZKrDSEfVO211GOA2ADxgE+fjKoj61CYfNDlaDsdUkcnWlhUl/UvVp7Gu5t6z5p4bSBK6U
3apM5dFQnbUZTRJfqAzd8+yUT10xsF22JFAUXsnRuaahRQYbWJjv0saILA31k+TWtEq0WqdtEMI9
BJraTPNwEMQfruoGvEvHrZBiePb6is2c8eDG9M0XqDvyoLf6b/ImILy/1RPnf60dJtxm8pyZlOZV
NZ+rfvRuInkliCB/KTEKo2icdh1tVuF3/oPWmtqTmZMvvIDS3aiQG/ro7Uavau3Oy36aAWgkvIkq
yNp+DtxuAHc9OeLi5THHlAYRPGwF08uHrdfl7oPtEnAsDHCAKtVB83F+783hlX15X82LSN8tMOcY
mBK7J4k0qtXL/pDI9k51HnpIaH7KdY6pbYcb2YT0nzx29U4VB12z+WNoEqlr1jswoO/h8JlhBcWz
1Vv7qcwwT1s3VzkcEDVswu2kzhWIgKDXnLuJ8LGRFtsGChLDBiu/lyL8iFN72BhT8tjq9D9zcCBg
Mu2A8wrk/zJfR1RYQ6s9JQ4jYqIkYZbT/asnczjURo+3oSFQs9B/YZjyFrXzOiIRkQeMPTRF67ae
O4xV9UCvOvOSMwEJm7x0DeKJeFsv9vzdMEiuQ9ZvEUXoW36JcWOVjrHzdWZVbWaP27HjrMlpD+JJ
a1nHHCs6cxDUZlO6LXMVH2S1HQZvk3mudkI/iuB0aNB9mpax1SaslZFIEZ6LR6+0UpCuznufa8Oq
MgfqyyJ7NWeHSyto5cKMg0rFmD9y1XNulN81mIqd3VPmdhkiomgCxpsZNEg0rSSeG6NwBKeb3RxO
MnXzGPfYIqs8DCQ0MjUgG/bI9cmRBYF+kRxGGy6Tti8VzplKQ7HuFXT8HScUawWlLOisPDqEs/WJ
FTPdVhGIXFa+vRZtnS4GkgBl+KyYrK2oEN/TEtCrMgay5prwCQvaaerugLlA2UihzROvttGn9jlP
mE4ZztyTVhOIOhruMRqgrirx7Lhlv8O7XWxFTn/rzzUmbIvm8Uy1IHI5bQnTjjaJhWp/HuSZGNoJ
4ibwMZN4zGuBTQZWU5ptoyrsdmC32rWfGoGjz/XzbGNr7HlvkUxTkIc86/H4NVu5f2zMaNtgZt1L
l+lkCHsD+4yClVjyR2PxVdq0v4FObea4dshshJMpZTOD5Yv2Ua+Ju5DUCB/uamxI/1xm1UmrivCg
AF2udY105MRqmx3jv52aBv+jNeWxs4qDh5fgrcxIOjcd5mSN5jzBanjBcXPMRtC97YLI9ZtqDzNk
lxOQaxQCrgStmCI9DF148GT7nhv20a5crPjhYZ7snZyyN9d/GD0eiJC1cbjzdbWQ7ti/mgtah12v
pmPL5LkOzDzZzXZ16SN1HhYgsZvsJBi5adSZ4DYEqRTTbuzqh6QPX4pFIVTF9ofMT3pF0F+c3/kS
MHZUHuJsvnW1dW+I364gCggHwxYE4chUSsMoIEt9nxBs54XkwZP5wUMtmnfYj3YzXWJzuCqdHEAI
bWzDjf2oJM+4qVsnlBBMnekLjxzrjIoWl+NYIcou60ziwraOaCD1dI+YJEaHvGsOjBi5k8wM/shc
r8uupu3i1fam1+trPJj0WRgc6ZOr2JLbB98mHcaxqnKTVC8yJGMsz0kbsBc+jdNgfKhawmvbKrD8
8Fmjsl2FlHxaQZJx3TKbIPZiTgV7UHTpq2jcgLhjlk4gVHbkgSJNgmJsVZvmA2OkYmMAMV5VIJPW
slSPNqLBUxqHJpOn5quExJVSLW8pA5B+sOFNUogttl42YBhzwIT2Y9EssMmF5CznjgQEUEXx+9Dx
YPYD/Vt+6w8fZpOOzh3O97s7TMaKp2IV5gondG2+5pA+ghEGb+DXSz2gzGcN43UlaH0gRgOeUtwN
xVDtSI54XRiqfU98FvhNky9ovmSQcwn2ApNJitQq61FWVNVGorjXXNhhahCU6iVKolCdU8VAvm7L
eC2wmJZ9POyy2BP0ZXRjVxpEWGF3C1LLand6wkQiI2Obid8qk+YjsRYT5yOAm17b9isa328VWUKb
RGAi7TM4Df0SRZHXkAlUndz16NpXY97T78wwUVDLkbpH2a9clL/FL3cg8AbNOAkcF0tmB7eauIpZ
/QyaZHnqKCHH0F01NZHNkmnQNsyhlTj9b7MRtzpJvkl0OOgZehzlQaO0BYnDYYFpGwe1jD1wkjGx
AEV9SMWQrtPmjYH7cNAb9BYzlCAxEI9pgPTelhliR7wbfH6YgAP5exJCwErP3O/wrrP0N7+iuwhL
k7xa1qvR8k+mV9yzoiIRUbO16nQC0TWv+tXNyUlX72bNTCDt/e90YLUk8cVde3H3Mw3pI864fmOj
7hTy245gHiRKXcv5dRqXETcr5COWp6b+JYiDOjcWY3pDkn44zOb7pHU5m2OQuajHjDz8pkkJCFL7
HIc+u0QdTkR3IT9Ncdau6fZpawdT0Uou+yyrfQfniiOB0RNGC3ZXlhmSdnmVyyZv+/q3aG2OehEW
FWNuX/rRIQSAsd2k0Qfmapcu/tqSbME9w0RgeWcJ1KYmVDhohMXWJBjHF+xajWaeoaT9Vnr/kpLf
GNjaXG+0TL/PdHs4qD6FfcHC4I0JGiiz33RJfuxwvV00y3pCIMFoAQY6svstNkRBBsxIY0mQUwmg
hCSVnPW/QuC0thD1rkjro3hnxafl1wU8/YA3E7O+jp1JgdGzlWSCXVAsJ9LZsTmOWVjiRP041/4b
AWnjq+c92KrLeJJH/RTLcnoU4Uy6nMcseVTWTp81CeSTImXOnJMyh1sygcLM7GxfM0pb0Z8r92HS
Gjh76LCjpaeHNjjy7GYZBhO7xCA7ol5LFwhzpQ4NvqQOpWsNWGbI5nRL6BoAoN7dWYtv23TxEDnp
8BROORAWp9pj7d36de7fzT2tzD/fcUGqHoEfA7PymeRJF4I0j1XeuEfPN+A8+3O4cTOuZNeKH1O4
j2TKhdhAy21mGvht2D3LbH7xnJ7pF+KVOEQuYQ2H2PFFkOZ9eC637HHmMdYRCjZm0wduCh4GKO/F
zyoiwPD6boSEmVNbZdAws6WZO8htXsBDBBPNtRxWYQlpPPa6BGoNW3CrqwGtHF9Zo2UPGSfdTbEA
8wiL2uccqA+DcE7zxO+Gzetshlq5x/vzHMqQkNzO/bQqGzVIpejA163cJ3TsGXxdNfz861ZncgFM
mLwGi8m/S0aYR4IqsRC4DsnRjXBYw7oxRS0wzqh4g9PpWbOSFLPOdHOYtl/srHnwJuc2jxyO26WY
05r5l+NkN01IxiK1f+qWZByfzhi5H9GJcG3JwCiYFhgAEqGTpzBbOwUfi8b0tmlKoh3G9NI4JK7W
/XDIpuVk0w1rV476HbGoWZTIewMaWCRyf0v4pLWiUrx6MRgq9M67rIorrI4aa1sT/gzM/XrHUO9T
YwA1G0oSNvwBRqubEGWSyb1TEzAWzckOK/evuc6uGTnjwViPxirzy28kOdHWXaIeYzWQ+tESZVAy
84zNE5O2clc05S+glQYxhcwNY76FkSL1gkLynrOysTWghjp29oHX+8AzAe4CHeCkh/dFmD/RYtg4
mJb28eJ18wkmnygq/HnnoMSBg8f6aOv+i5aJ5tAW1nQseuvCY0LRAhR4pdgO19ZknzR67Ie+rFGZ
qnItNdycWEVj7CmUNn8WMbNM7hvXJqZOiVM0VfHOGadvzi57IyWK1U0FqSLC6Bh96tTK+WfBqGxb
m9TQnan/dmx8OMqBcSZRD63K2Lorjca4ROS3YBPcwKubfiNjecEHSa5Jwh5YUyPEAoSiE+2579OA
CBAJ8J02dqzb5baII3a3hcA3YwbWFMfd0FvcRjjO//m21v8XH4qPdv5/t6H8+1fD/Lz8Hy6U5Sf+
3s+y/wLx5Zo+yARB+4jm2H95UDASkZNBJhXDW8f6b/0s8y/+3KRpJYhVwK0m/qufZRt/CeYm9LF0
3SN3RRf/VD/LNf6hn4UHhl9A+I5nmZaju7xT9evzEaZp+2//YvwrllKvpMBFFRx1R1knapsb6aMu
c5Syg5FsSOZxg2ka9qJqHQTf4KNtkW6Fjmo/jy1tWyb+2u2ofMl/M5kERdWxktMvmM7RrcBh6mT2
sxQ0zOtCdnvNaEC5VoibeCW5BkdBc9/qmJ+X0b7SOM/WOWtg5hIv1L5EFifLTnd09ODqMcHsvwJa
uKoj+1ARF0bVXjaESABHLKU4gKwFyOs0APuRuLBc8O81itaS2ONoT7WAaH0OjVX8BwWHoOVOxQki
MvtUJilRAcaiSF1FgED5LA3hAAur3xPXsB8PyTJm6ZvkW1M9+VRlR7nl9WSidDYxePdjZ9NDjvBK
j6H4MoealOSE6EE1ujjtraPBTiZKTp1zAmLFFGdXOjoiUekydpY7j3M9IMuZkz6qOc3D9yypGBep
b+ajQiV2YJTAVx2IunjTf8ep1jE+X/5RdRe9OqIZOjg0mOJXyQXSCo6F0SJfqxBiZb64DZXzGIYV
WqxyvLh6DOBCma/mKM2gxMrCAjXCip9thBMdcSlmtXTVPiddPEYVoM3Rs3/rFikd7s0tCQ1Dxk3p
V65NXP6AzvKC7Bj7UgCj4DrqH90wg5BLCCh0TBQ0LUdEQq62iHWBRufDgyRuhtVq3BFcj/nYzi5k
vHpYLn/otXzaJtorMycb/UEZRbltpvIG9FrTaJcRMo8XukE0zchyjYHl95i54tykEXVC1NcBvQHb
u2tT+dDp0fdki4+GDcjo+nINyJgzQyvUA+QoDhZSVS9QBzsO0KFx7CYGuV1D9en1j900kbOQAhFJ
4xtdhL1eGnQAmGUj6kPn7/j7NvJpnYz5E67Z17zLLkaN4oF8GgTc1bmwi2ylQazG6Wmt4ogo1sYz
vmQxRShYIa9PsV4e26i+2b32Oy0M+8VPohM6lBdX+imEAtlDJNG3jqz2RUWBZlY1cZxEIXL3z99t
QQtAlNWLar672bpMWn+dSp4Tr10GRUl67ew4XJtVjPq+JukBZZW5cbpDHdOEqT3vc1aZh/R42CSd
wy5vxpeJiXyAo4LeD5Qocin2ncH5dMq7I3P+V4BoNxysa+TH6woplWH1x6oBAqPbJ7ccHpf/1hI0
kGaCE6sZKQAIGcCinFnE2E72S5tt0E5sHMAynRgpx/py5yLk4SYhAUzH8xumTHIjouQJVxrFSbOn
u6mlPWphx3fK7tjHBLLQ3CYchqhQNnGPKXCrMx4q8udh0Q+bnX102uJDS25jSeiimzoYjCA1HiTz
vzKHOOS43i1lnp5QHzdxcvVtJKC2enK9LRp+AkvDuuYcVDLzyw0Pbnc7MApDVDyKKUcp5d3IWkMb
hgAb76a1Kb30Ctv8BAJhU3U5NjcwpcY8HcLkOhMaYiWfjEE9Oz6qHDGWco6CRa2lAQiqDdgIimyO
aBSXQ+7ssx63gOm/cNJAyNtEc4B6mkGZGE/kXwwbW47RS5koVhPpkSDNJhIUod++DYS+ywwQRPda
xX536ifCDFlW7kAJXlXW7IpZPc4Gw1xt0ld4AXjTLKP9Ehpvc6MgS+hSrRygTWefGwbyqetu0lwy
hdQOU8SCa9uvUWIBlOi1nGY0VYaMWDnA/iDgGQrULIoFCEJ7GgjV0N91ptPk+MPpT2Aw96crJ+Ot
dMxzlbgB0i2P1ZYdozQRZpQC+bHHoDNNzGmPtqleVZ0m0KBk2ZZBXpDUGb5GzTw1yaSv3QkLt6zP
3M3rdqx3AFuvE+rjRWfQKFqoIfJgDqztAQHApZfRRSZWfyA77MclvKCxrIUtCAK2cYJZI4YBs7q2
yi0A0bk5NNhuaJIY/Bc6DR16doanOzmVvU+npcRgBOl5XqUc+flOnZQwNBByXT79JIKECmfPufnV
i9ujVsi7IrxvKu2oV64WJAWGJ3qfpFnq0ACstu9XQME3fZpOSyoo22tbBsRC/IpMQsMGuz0UbfUf
5J3JcutKlmW/CGGAo5+yJ8VGoiSqmcDUom8d/dfn8psvIyIrzcIsapZVsxcWuhJFgcDxffZeG05F
7xgrR9KMV9B+aySju578CKeePSnDIiBkrb0QtWAuVZWT1aQzn/dwXeKFb2EnnKYPEUv21yaGXV/3
v5umZcMJY1P3mfs6IS+eRWWxSlR4rLXSPMEFe3QIgWPxfcsjfR839EWXRkLF0Ky92U3D+8ZNTecV
cQoHZdKIN0uGQP8771Ak1RmoQGqiEXls3xchu6C0J+mdgZZm1YPT+7FwjXU11flR6rTNQlJcTFpp
EwXITlwoX30fdYsoLqAcp0iz5nz13eTHc6Wqwhoo5bFxxtJLgX6KKWROhMMuJZuWfYybybZIjbfF
xk+MdYcciMO/PpWlfpen7iee5O+oTCmzdfAFzMWWtkLKD5r8lfqCk+6hfXVVlm+8OdnMiTM8p5Tj
tU3yllOOtHHJoS6SSHF8MLkWzPQJnIvIF/3Sh6YwgGgwMGMaNGeugByZdChOt8bWMTDpwbam8jFw
gO0ydEX8uYGxQ5tmN3TEyLSVxjMgXnoyXai5ejnfasmKCRQ2VNOUN3qKilPgbVlw1Js+5GsG/H3g
yvNNLvxzZBJpiJLyLtd5nSzQEbT5je/rGAhsRDyX2/L87c3Ds5io/tUBKcpe7iTu9ZWDGgZdR7R8
CCmMH6jmQYAL1rinSR5r/OyyKn5l2VP5DSUCTzMtj3wUl5GWAlNw3rFAxouhZREgd4FTc/SPSZSx
GDHjbtPK7K734NXWsCk3KUWDK3cUT02DjlBXNkFm6672MCsNcXAIeyiHY/1ScDS3IRyb/bQZtPCi
2fpvgRRV0Vy3mPZ6oB/iGpva3Oi/lMhji4GwudbQGJfA7aFve7SPtDrP7SRpDOiPSzg5h3pOxo0W
eemuYY4DQlZ1fAS61DV2Mqg2mWsW8AsoSFXzHr4Mc5sQSmjoNtmngXft5HAxQgbUNnOTTRAD2Y9N
Zx3HfBFY0wb9qAjO6EzfpZtjec4I1iYVVnmIirPqqveNR1P/Tdn74vyCSgqLcOFoMWuEFjsOT56e
xpBFrxxF+Bnp6jKf6WB26NKiWC15Klxh39ml9dMxUfGcTCa3WfuDzicJ7WLkPLmMa+9ZFNR9YViq
PYgYhRWdOzOfyd7An8kIv0wWWcehqw8YjO8p2nb2FRiazq44MmrDfWSn7mIi37HKerODcKttZcdV
UZbar+NEn2TYJIMJd8Xc6XaWFUNQ08x9X1c3Zr4H345QVjTPwo1yniKGztxP5lNH1yR/rnTg9DBZ
jbeSaXNvCWI7s+nUm3b03GUF74vvRYeQxUNUug4bojS6jC17FgNQWyrqGswxlv059Z4biGbbWIOe
LTN5z3ZPxicxuHKHZzbhWYbtvucD6Hoj99rQwd8Sdq++iR2KbMqGMgOW7xpQZsPMOwUiWoHbevnz
2Uhl8y1de1wVoKnWE7r+SBvbFOS3NLauwmvFmoKv5ZjtKMU+hVp4nIAGGzy1dHjZcC1ySmhQQDxW
NoXRj1vRb+Mku5gx4RBW9N87jj5T/il9CBxm49wa/Pf3M7zasaESMOHPY/htvIaCI8kgMRNElt9v
ZjGddVK6i7QNGaDzlHBcoR3KznwpVBKPQZvFvo9u7uRcHGnuYZmMxANzd71KhEUhH8yMRA8UOgtt
RxPJSnSo2H0aAaZQENpUO5ZNAFpEMnukNEdrTRNsEpruooxTSVHom9KoX5wx5Snh1FsHY32YAEnC
F8XoFL4gNq8za1BWcsBNhsr/Ofol8YAhR30Q3efyznHrJ4OkDlkybt3TDAy4blcRAEXhhmuwZKd0
9usb+0P6bonjGz1apj5zAzcfSl7knm0AeGSPEEhpLMfWvjdb68XG00T7AgcS4JigsYuHRrrWU6u9
Z1pExstPAQP2U7vEnYArTW5juuO7EZww/t72wSmznvar+DvL4DxnN7cuH5IiNBa9nhHs1G7AAkCZ
OxpVXi7rYZj/mDZjltpeR+M4GcJVXRS3GeAVP4/eBphHcpz2eUpCVIPWBQ+g4ZLVkJVS8hidOfgM
aN6wSUF9ZeAEmiZLdx275QVpPBCfFcWQ/O0XDK3FmkbhYgWojTOvyiXWg3fz8C7svbgkDCaXvKxC
Wj+2rja2OUGiZopWlekdsY+VsKBqUqR0lnb8na1kwLagO7TSxbs+4pk5ZXBrOT6lS4T3e1B9FUEa
GnQ9eFBDvy0yimf79N1oipt0KQynAMKKsyd3cjH5tSSRgqlYckKnopH6RcrjDz2t4jjCbeKwMUuJ
ySKKBG+alVHCK6h0ApcTmVv0cT/zOElTS8xw1IJSS3YDdWprVSg2dtzTKFlrNjKufhIJfLPoCxr4
RPuZjZL7kJtdGlE+8bj+vxCn/hd5riwDlehfSVQnXMry558Vqr/+yd9BKXikLBe7k+PASjX+4bky
/+aTf0E0tgxboBH9w3Ml/qa7SOa6JXzHc9G7/nJcoVDBKdPRu3Bjm4b4tygpKGH/Q6DCaaW8W7w2
g2wcP+ifBSqg8FNoZJq1sNyRZRe5Mx/TwkgVLj1tfzjb3WcXhc/dqMU7VNpsBe9DhdiaYMJnaN5q
FW/TAYRhpETptcpbkBL11P+E4cTeV+G4WcXkqAyFXN0yqOtl9G6TpctUqM4bY05gPT/cIHFXkbxz
jeYYwcpb1yqUR8J/dEIC963ZbXOUrYD4XqtyfDWfQ17+nUXAz1ZJP77kOSb65xIBHFUWMFGpwJZ4
YKdb1DFAudrpRR3RGcwUn8Z3BfepMa/EnhI+cIsTZ2ho+c8cVxhM8viXsvS1q2sS7Yv0HfK0epzU
e3s0FRgfad3mxjKM8SUA/ov6VQzAzptDW3D6Yp1nXcL6yasp342ohEjGQlXsXmhdWLhZ/9TZ4dmp
2yvd1rRl69bZxTWbRJswGR7DKSKUUdCEk8XGm26NS0MP71oR3mE3OZt9dDfO0wPNrExKHk9fuSMc
fxVtifso+Qw6686HGGkZ3SPf+E3jTEUJH/UfRsExlnfUniSl1f3ZK16BttF+89DZ4sCy5N7wa1Ij
zUc/dGcugPxcmmw9Neeq++V9FU2bYojpiebR1pgpAfX2Loe9ZZ2LJN3YQXkYHW4+YY0nxuC0T2c4
VWpJqB71atNa7MMcmnIZRSNEChJqg1P/tu5Xol3cVB4bGxEnN35MKhnJ2n5UbbWWkpUSjuNCX0/J
+ED4d1pHdXduPLGDsDIsBq98jpLhTTdBFlJr1flPVcJ6xHCmpXWYHP3VZX0JTIpf26VJt5ntRU6O
mi2sd9Kpc9cZLfexWZ7IYe5tpQFNag8I1ZXbb0IvSgG5c1pkE3S9DqNCCAIN99dmUD3brFW8Bf4G
1pZTfXEK+6cdzJCwNqh7ifCqPTr3ga5p+JxULloZHfK+YrcOjSZi3eLE9o/OhhAeJKnUfrjgEDwI
nT9/VNDsZUVbQZUtCuK8ZYEK0NP9qWc/vHA+pBt5wE0f5sOBNRkFg/ESUl9+ykze67j/0IEQE5Rm
UdhzmJk9m4LPblzN1OGsRdDTY+a4NxAZcu8l/bkP6ABuNXnX9U+WWVGd7nUNSUY0nY5FqE7aU2I5
soIIdthT7debJnqrAKcuPTS7iBI8M+hDMDP9xorHCXeg8djpr57TvGnTeHSp/APCQBSE6wea2gRn
1cpwCc4bMRSoVGxpywOuHrzC2tmwx3fgoWuiHysbqTnEglaRmaEeJy6mgza6V4u4AenfBUvDjTFQ
3T6OL8Ls74lqPeGtYUlV8vax2HFaAdetve/NWT/G8T0m8fpcjVT9oqHUWzMuSEw43bXWlcqu+y0B
fXj2ABbAOUDk2c7imS8u5wofRWTANpxwmQv1FhnZPqAUlvEBnVNQdL+o2EcsewRC2ptJfCrNMPD6
s0RELL2vWGPERYs9srb+hgrZL7oiJ9JGGfMCeP0OoPEm0/lMYVdIWST5z9WoHWDlWzceKj+pWzzF
UKwOEvztcsiYjIpy/kQ+KpZJL01672nyVNqol5dHA+2CvVy8opD4xAnihYQegoNJmJMSDX8mBMj0
iSQ0Zkx5E/nf+CloA2pN0uE1Ta42dVo4ZQRThWUYhxzUBn0jeJuwxzL8eGCiC+lhosiokZLIwHVh
vXfIwg3ycI9M3JxSj2paQpF4QrrRgY1l/8wjbhn+rBuZEQENQ1L5grQXIjTdzajR2UOEOD340xNk
2w9D/Ca16y01pWITRFlXyNqR0rdhKz90SvHukb5dpYE7iOFsWKpF90cfRyh3UzKylS6Q8NHQA2dC
BFG6uuKkeAjtkftkILtPyO+x0uFBmlyd1wCiE147xiU3M1DuuH4Y/tDigsTF9Yiw35uU1lRDf8o7
8tcD4j9OwCeVyo7VIwJrEPsBFgXJi+G1KiuxNypyue3Jydx26QinXcr4x1HbhkntHSIWEK3aRGTx
S8RigogDmwIKwUFWJ0AUtH49WNqG99RZmGLQlWnzmAE5oslHv9rkzMP+UPoIc6DzQi5NiiOy2vrk
tExLcstpDQAhlEkL2FN315C12CY9XMbcCL9TdRL3WcFornNOYgT0RlTXUG1peu5/amvDrX2t5dbd
yDqnv1TscNSGx1W7HmoXyPjxWBVR/uaqfRB1Y9DCyPmrTVHGyqhgdTSrHRI+UDooMsToeBL7kb0o
z2t0HjFcO53PCWXd8BRKecvdIwYaYqVJV62TQNuaaoNFYTS7LM2gZEvtt0LBpos/mNyhXMwAQK3n
nHVYyu7hia6WL6E2ZaGNAuqp7VnI98OVDK3EJVg3iGSDZ9te22rrNrJ+Y8vrrlq1kUNfxuzJko5P
XL8JhubQM/9K5uBWDcQ5k7ET4/ZSo3KqhmZZkyygwmOjUc0IreWTYl1ozQ49nm4WkwJLnauDa3mj
h9F6Nnix9HSDF8XVSNQycNWOp/FpZOLRkNLu7lUGMn3j3ee1S5pQr8It/hvlf92NE5dXmbSvsZfU
kP/97yQRKwOwCLRSXCTaDVG7ABKivbSCU7fe61dsfdhGkR09uhZ1M/sKnf5hTsEKpXiYqDn4GGOy
wm1Q3God7dAYiEi5OVU5Iqaly1mSEYLBwAShVzhonfaLAuuvIDCpvamWcGrJKaLM1S0kIjosyuNU
cNGr82OiguO4qfMV+LCAdghi5TF0E1kbW0QWUp8qek796ftAFj0ikx6RTc9USD2cWbi7KrguVYQ9
ZlKgDu4pJtsOQ7w9TMyMGhItq56mrh/xmXOhyRlCDPl4j5w8auDaUsF5KPSkw8jSi1m7SrL1IgHu
7pu3LqDJLyF9r6sYPs0vR10F8zWpX6fsPlOBfYvkPqub+Y7b+C7hkF+qcL9Hyh87ur+oGuQFzSJE
mXyPJfMfLY/QATIoAd1UvYQNR1ACCTe3wmrqch+tyvyHcp01FqofgysdL0P7YIc07vjJLYFJgEXQ
fdahFITQCop+r7XAC7QSQjs9hYytkdAW6m6kUAfhGJxaPzr4mgEEQeEQ9B6kWGQc8GCus7Y65JoC
J0BQiKsE66sTpVt6Ipi+wCwo3ALvk3pWgWCgG/TYDE+FQjNMMBpAF8MOV9iGWQEcHIVyoDJgWhp/
8A5giKE9EKQy2TBrzqZiNmgUEkKNwhmMiKIHFgFG674cumjLDz5i4QIowQxOLnI5QZpw+JZkTs5x
Ij5dSBQNRApMk5D+3lsFqmgUsmKCXRHAsPD46j3dqMtc4S1iOBeSblKS2kxkCoHhKhiGWsZOio6h
f9WoB+y003dKioL/t8+uJkfOf3V0XXzIOIu/wJD+8/H1P//VX6dX528MgqZictqOzxGRQ+rfE0Om
CXbSdx3T8jyXM/J/JYaMvxn8C13HkGEbPufUv59fwXziLMN/AfPc4xsb/r/jsDDg//2PE6zvmASa
fNf16D3y/g/QomcFYB9631p0bBGWrbKVcijyNxzA9AWHWQjyg/3qKhvqqAyprW9NqzGxrqkyq0pc
qxBMeTIGVE+RTrVsq6LYBItrqsyuhbK92vhfK2WETZQlVtOnY19q9wNFOjgYhnEN/nCZ4aNN8dOK
P8ZaZbEdpX7j83iirlisg4SN+jTHjwGTWKcMuvhaL+C/XDACmHdncWxti6ghpt5B2XszZfTNcPz6
yvoLTx4XKmbgwHtj/0B5Ey5hC7ew6LRuPSgDcRa/SQZ/XxmL5cD20SiHbOXj1rYorHZKVRTu4soG
AENhM8YJKVr2cEKs6rn7lGbMeBtEw13YTFf+5Pmy6iTha2V7bvA/98oIXQobS7SfH+aV2Xb9Fv/u
uJ5FcuKWtEjwUmfKVG04kuU4R46W2kkL33WqDNgZe1O8chtM9jUHKeoloLNFD4W4GVNfrkfAlstZ
7x5mZe2OlMl7ssxtAGuAygeLZj3ASXrTLG1lDc+VSTzDLT7gGm/Vqcpxegpl9GZThfaRWkGwRsps
PuA6lzJhQ40PvVOG9LLADdg5V0NZ1XtlWo9Ez1l3OnFa9TmuRKYLy9F7QFpjMm7kNtHNg1sm7iNn
wxN2apv7ILzBXlfCncZ/0dHxhBHt3hQyu4STOuF28a5seNr5DDAHlk2stn3gfIm51IfgyIGhAI5I
jNM0YMr0JrixjhVFl8pDwrW86tkxLHTN7M5Bnu3GUbuYehbfTEU+CukWLLUh3lE5avF7q2xCZBs8
uixCTUYWn3nABKuSpkx2h/4GQj1qOs7iPXH/61CNm7TdjriDew2QPqfpTJ7Q7w+ywarTkdq3/bUe
40b2YpvemxH/ymyiu3jJ9+RT4BsL4xaYMxUr+YNWND8OILigvY/t4ZxmtHfL4tvSi88pcIetSFQS
iC8Yx+5t6DV7i9lpk2VEcdqnMvjuRJ0B7WDHEYyYTETC4jdAuVdMga6RJ3TjdJHn5DU48EiUpqkd
VqUgoVUUVMb4bG09ObyW6fxBgNaA0zR9DLR2h7HCZ5UAAfS4+xZl8G5Z7mPd01zD7ppOl7Gs1hqF
TINd6lfcsGMAntEz+dgAS3nnDLDRc0ICwBajpSnmdVxP7CxN+yrN7MnAp71o+vzemcaRNpA2PFGT
te9FbezFNL+XI65E3Ba7mj6pZWEW2xT4SJTZbAai6b5VPzJFPhrNCIxKvNMjs96z1loMFjO1VX2L
2BOnOA/7Z/W/0uqYD4O30zt7XqYGVMPg3XbblxlPDNYPFsDYDakp4I4gMjK2zSmweADWLZ+hNGRM
oLVpgZ2W42twy/P6YLDw3dlDdZC2dehGboFlVnylUcBs/QTRQ91ruKsU7rfoG34jQGh5eRewYU0t
RPFJezNni8RNvYbjSc+5u3SCptnnA68FH+WOFP4yG6zbZM1bx+gv0PyBNJJ763cR6bWc4tRFrA9n
q0ufSjB0Q4U/O4PDi/GAjudqILsc7LzQXsUhSfn8o/NiAlJDyupFNJ9FCQsQa/JdrHcHOcVIcO73
mNvvheudKtd58oLhwxsIxdgeTSrc+CwZnabhEvAr0/7GD2dTyMrfeEHE+xncmLEeh4Qrc7ngjgfq
iFhC7sv2R+babuoCKF7sY/BR2CZ6IsGHOtp5DZkKq6LSY+Krq1H26/FqVcLcxiM9NTjv+Y6CBBtb
oWRjEUSgt3q+F8QOm3FotxAeg7tRWhR3AKdkBbM3Y5YZqJTGs1PFx9xMr13ayq3mRRPti929roFO
walGzBRqZOw6ZHXifp1a3ap1Tx277YWW1hVn+/DO86KLXjSkGtjULaic31lwklZtOU2M6Vj/RUN7
VDXX1Bdid7sPZxdp1xo/gENAYejFkT7WFRRaSDYCmIMqzQvG/A2cUIRbvr3VPUAjaN576Aon0asd
X8gKMgdUgvGigWuch5dyql69Sd1KAlaFSWx8BBRwXKOCToG4Ce6CKPTXFFVBl87KVUlJEBksTS1l
ynVgjdExiuxNmuOLolXcp+ozewk7UUAnTQ4ef1NRQEuwiJ2rCr4+Q3JJ4KOkc16sJJoMoEcejCOd
cKXx7VGRsfCEsdLHOylYoOQht91QBqda7x7b9q4ZCx9WoNYcy95eU+4GJ43QP7l5Y9F43YorKSOg
CE5zqodwj2QOvwTc36MNiXvBuv3WJfIp0WFMjp9Dcl8l/rKd4JZVcMS80dsWVY+3PbOPXdetRU1F
+YxVfiXiqV1QzidA+QZvMb+SyZ6cj2BLz2gjV0P67uO1qcz+o6pIEdTDJZPJHmLWQB03la50b1cu
1uhKaE919Nx5SI59uo3C4CxTD4uxy0+zWEpyc87ZcVrZgeYIqtJhAUHBw8Mmu2Uk3DWQiLeMC3Dd
5tUNQxQ2Ib8nzxGaPwzu13i8A8r2ntGgbCS3oLfuWGB/Upy9QU1r2NcW0yaXF3xe46LPMj4dOYY9
k8N+HjZ3UTs1d3/+a/K/Z2BukF7IcfoO9Itm2ctu2LOD2CRpK7aerzql8UuUzjzshYc1Kx3yk9WY
GAfjpz5pFW7D5vxW7RKF25QKvDkpBOcIi3OEyZnG7qMooOzxYkoF7Syhd7psde+IW/0Atu3wNiXX
NnVdOtPbX5O459mS3uvYQGIAb0w9K9kXTAoeVe45OwpADXvDYacatWm4pQcE/mq/M3lsxTBHIZeS
yaoaDD/Wb2UNeDqi7FXOgEqZrTDHQfxKFcR0hGZqKKzpCN+UmPlCwjvVDfMwKQBqr1CoFGptrVJ8
VmoZCUj3E5zDqdDBp8YEAZc+RNVGoVVNBVmld5znMtjVAjWM317SQM25HjIreCEmHEkckiYdsURe
q709ps+nGaarJoG7hqz+6LwA+CojjcHHfHGtOFn2MGFNBYcNPJIhuTuyr/VPvUcg2nBYB1A2Mpsv
PXzZUYFmq7B443brLxPyBw1mgpmOdq2P15hU8flBq3Wdl35SYSojv/Sw0mDaQtQEiiPlNpjA3WbQ
topVoyC4nDhw+3GDo6y9XrjRYa6tA6kfcSfbCr4NdcwKqTsruK5mDKBawO2KzrhMLm1DBsZIcLyY
rt87zXxvuuaxI8KNSVR12M/MsB69ZNIR7nMSvXoVMX5ZTo9i7F8y+L+lA73OgwicQQbOFSKYlt+P
WUGDM4UPdrlVjwooDJBmwx3oJevoww3zL60BPWyVs74OoBHXCktcjN6LPQHcyvb4HPbewBWQwDGG
7irx3uS7tjgWPVY39amm5+N3VgjkICNqDpH/ZdLNdxdKMiirh0hhkwv4yfDYACkTqRpIVKQKseyQ
rGHvjTSn8MspHGbdhHZgQmaOFKLZhtXMzHrhl1oY3rLJgxM2l3PFJ2A51kCew9nChgz2OVEA6ESh
oHMFhSZLNq9bONFax+O7ghxdQZC27f6cjcPKVmhpH9zkYhzERwN1WtmW8QBr+K7GY6DA1NLEG8zO
31bI6rxHr2E79Rrn8qlXWGuKwZjPacdqIV4XkK/zJlynRbWZFRI7UXDsqEnohUf4sxQ42/mD0FYw
bROqNjrYmqGeR4cCbqc5s7Duo3KB4k5gco+wuRMF6Sbbyp+/pk9Yc0F415O7p2X2C62Cj5PRTaQB
CXzQ7HfVcu++UChwkvjwE6ufPBE4jBzUXtu0lFJJKWLQ4ZMO4odR2Kzyhne7dq69go4XIBm5friL
j50GNJZFEYTyOsQ6KsaUi13hy5OENUZb3crgJHDSokqV4N4Ano8Kfa6pxK9C+NlQ0S1zjCmFI1We
xFQAiQnJT3hdyEd1/AgUWF1Ho3JAzkJgrPYd7PXW5jLxRH2robJ3vvUU1MZLqVnxo+ZiD2z09FLN
EcNOdCpFcjFbAnEoTfmU3EHiEtHWpc2i8cLTUGlHZJtLkieXXIanrJmBKrpbD2g1onB9q5Rxb/iu
szYktt0A3IlOdDbvhyG4oM+ueMC+4TfcaOTVcWszAOTZjy/kjfjbzv4wJj79oZu+uZb16pOwkX39
0ORezpCHMReAvKl9qBeAyfKnTeUNfPGGutNN0le/bUE5rJndvPZz6Fi8VEH4Y/uRvrajtRNT8DyQ
gBQqCmnio1jUgIyOvf0Vmw9WPWRXgDnEJ8NXjfyUVYOylEPyTYowjoJuDVDhqnv9r6SNmJ2KCrCT
zTRUSHMe3iSZzYDs5jiCDTEL3D69CnZCIrsfSHpOKvGpop9IZ/kWntxrADHM/x56NrzSnRVgUF/P
pEcLjPJ0kODdsFW0dCJjik1YW1il0+8961WtJEEg1PueXOpgsqwcVFQ1VqFV01n2KsQKfFquLXKt
cRt+G4yXIpI/HSZ6ys+9TV0ThR3IxPYNRylLxWRL8rLmzCk6wRNkNSeKfUj2EqxNSNj6KmmrIrfg
OY+OCuEyXOxaFctFw7v8++Gk/0X+DyU6/Uv/B1GcLP7QrmX+ERb/TUj765/+paQJanGIKvkUg/yp
saD+6D+VNP9vFGKhiXk4TWDv8K/+IaXZwHfAzrg6WpXlCiXn/ZcVhJodCIQ+4B3xl8r2bzTmoMGp
Ao1/pu8YludzvLFtvpuO9KT+/39KK0m/7LV58Nje1GKTecaXN7BDzO1Mx1HrnvWe2NJA0hAuXrAo
ydegKJHZi5FkViVqDjlvRvXa4qKZNJQt3K5vTo9NNoOBk3CCtTLI1vBXUlaMsxPfY3EwFmXd70IO
HDKoL8mEc1tM/S8oRzgxywk1bs0rfeLMnC/a/N1kZmuUdk73D2GIjCYqvbkJZ3qLAj4kyFrsiIhI
9OPPNLG7VtmBhqGdivtjLjBrdZ7MqNSGWEwjH5e+dkl7VqEN78eCDmYVDnlsSvudotYPh37jBVVG
yzK1bqGgGQG9YpFX810a9D9BcwfsnO2ZyYjJ4uWuEazhKzZmic3SApKNwsaxRR4ra9OU1vP/l/1h
gduUSjgxMORTkUwdok1zQVDGZzD2h5hzNUNRSk2Kz240kNH3QNO7EmOK1K5OSYqkgMXT3fsDayU/
cGg0Ch9EStiL/OeqtHjsY6+huG9YE5d6bq5AOpZtw/MaXpiNTrqaSYuxkraaCCsyaJiFgYvbHvdG
iCs5JsrieMl6cNjSTPYrdX6kufnaxZw7TO0x0g3TcYt5z/ZfHe7wVKe+NwaDvFeyoWWbiKv2pTGi
i/SM37Gy43Xr18tQ56DQB6iLk4fawYz5nDhsORj1Yi1FArF+6sl5T2nBlqOb07cyPljS3/lmiSir
ndPazFnQHnRB+hbERVwU72Wl6+shHR+CuGl3ZG/X8Yz6S2tKCLivZDnMwi13gSNKzznWOgGFlAg/
WiZW3GliSx+712k0X7jfUCDEqX74yJJmD6D/QmbfP9BTTff7iNe8TepK1etgvcRk69fd22QPz0FP
RQ31DBVWDpZSVDqnoHdoRm9fKICs1roe21uja894wkI40kQD/EKPd2GKRZu6Vm6KjyMMnm2l+0A7
+BeR4AM0ZmOyGvXuWTbtTzU36SaNUdM13T3S+QpXVKKvex2oykQX63ggxhRE1THyHgLfRX9O+mnL
UeMpHfHtmFq4Lkv2vpPBmJpj5xU03OGTQp4nlbV3LIbferI2pqiIFQt/E4S7dnYEWXLOMpaGqSco
nV2G+2onGq4G3g+QhRwFZqmsFS2IoHwKryGVFOuSb4kFXCpc0qPVOhzyg4n3v4pxwUZ6hoYNc7JJ
2EY8ekZsL51Ss5d+Bcja9Gj49CAg0kJHdLm6qhl31ZJ4WUX6kcQwsRVzkaE5LYVffuSUI7g9XNU6
5TvUVBKWMac/fS7jLU6CVWB1AOSBlK6xOEBsFO7+z8+2fRRMmP3EG0p0tQQvGEycHcF+DvY4MpZV
3O67ba/h4QrdfsmU+snblDrumU8Bx0uvt5Zy63f0g2keZ11sJ4vKpsLR+chKoUOlAgTINuC+JqdG
pzNDKUG9j0gf10zMpD2UlusFXBgN1dKl9glNeJQGpQ7qS4dpvGp68cHlBDLtl+Xui9amX37Ce1eU
0W+VvYV80Bb5gNfHTJVZgZT/MrTy91nck47/mCp3l85cqukUPgtbSfLVlkw6yvCQfNXtdDXL4py2
2X2MIh655iUMLNUfFiy6sXtJhhK3YXFGCVzxPPmi9+y3mLuD2R7yMsgY/43XnnnKxdAVudReUy+7
oUPp25jJDTZ1ATTRw48FKX5J0U+2VORip/g2m9JdpH7G25J+VRPX7LBjSuVCD53tSJEvDjP27z6w
N4beW25UX1njQmGS/S7t60ciObms99Z4NsshZ3/TXwFucIw45YqPB7H0y8tIktEfGgGnLcZ0E3ls
mIxPy245jQy4nqivfnXT9EnXBm5XBqOxryyXWSMBXAaIvlANaAAeVtx/EQySNT5GTDm9jjVDoke4
94IwCR6k9BDlDtIcsM3EZ2LEm8pcGODDKOZ+DfQAP8+D58ln6BuUjsacIUt407vJ88+xdW+Ect5a
4W4y3eIYlQ9C94dVrPwkkTz5Foa8KArP5tDgyybRtCF5D6OU2jeUvK86Aj1Wec2KxpmznMw7mZBn
Me9rk0NOWomNLljBYJetlpzxMX2Wlc0ZBUO33fYrM3YpUEIIYYmFTdTI7yYfTI6cX0QT/UxN54Dg
t9k6GBN+DqS2WoMon5/MKHwccqDnPJd06qDiS50iijjOTyt8WMZ0kxCDA9BCr9+r1fCMsPOov9O6
TVTsnJYVVisZ+HlEpcDJcINmzirRrd1QPFftTw5FaUcrvHHq2+fZDYuN5ag6mpFokZ3ah2LiaWS0
ah2OJWdr8GGw6+yjqP18Hb002awKBAgGegbftXQuU2yj3krrJPwODxUBE4KDaGtzcrEDcgxlUOMG
scnLWTqyW/Jmpqa9t7TmI476zRBVOOZLYHQymY4Ztco4GpOlg8nvpKu1CIzCZVV+h0SntzAAj6H4
risTC+mEzFU3pncOA/EQfNGg6i8daHJLd6gvY0gVnF0ln6GRcvHwIIecRVylAb/i5zvDBTNa2XVz
aoyroe4Fe8dwBfomMoQYlWzXZluyR/Oj4QfYyKxdVZflvjAbDj/EhhdOaNkHbgcUBCP4Rnn0ajbB
Gov/e2x6co0ocmcUGcX2VOfRyr0VEz4Tu2VV1kOR2AFvWf7Jz+FDWGO/q9jYoR+W9uMgbFZaffad
EtcmyrUNdC+6n8KDOXwntsEj12AQ8SSIKpcHFb7v3+rdYiO+oBoOGi3TKZk7b3Afc+4ySS4OWLF2
HsKp3YCd0TQ2gEOsrUYmoYbW3aEeB9JSA6mkyFqKqe4PYZe8YtrDcjEwOg02CZOmvXEum5eDyLlL
TQsFHCJ/NRf2QymQvXOVZSR5sEgwwLQVfQXkJ9ReqV+OKvfW5D3kVqLDrvZqOrN11v+DuzPZrRzZ
suyvJGrOhLExI1lATm7fSVe9XJoQcpecfU9j9/W16JlAeng+RKBqWJMHPHhI4r0kzY6ds/faNTWT
x0HXYrJCDLk2V9DJBKm++NOZLQzeHkHAN4KNt80Un80ofBU1TSzeK7mip+O+eKA/UpC5QVks2KQc
1AwipJK53Hau9nXTZpdIDzeeDoIbW7E4Fsq7M4nW6uv5Zzv1pMolSpw6IR8Tx/ig7R+zT7lPcSmf
gpQGfBpEV8+eiEnrSHDqrMTaG/CqVPBisC9OOUEGofjQMn9DzATL7znsQbNrAmsQaR7iJNwzontq
k5fBNF5Ie7rz4uCldPBzgD4bN7VgOEJSC31MxE4JgyCDN6yurWud2CQe8wG5CJZlOvhy/GnWAJC6
+afl8GNeNexCD++e14qPzGTUAkUfz0lIAajDe9IeMdaN9BX8kHgOp92VrYDAmzWYvksNznQgPkmN
OIWT+FRGKCW77TSHn0yQjDVSZ2szjMVrlulXkbj3IKanYwhlD5kDt5L+f6H7c1HxwDFFu2YRXERG
M8UOSNTFKV25n4eoPyEjbeM4OyfffaaJ54HH1NkMIHhpNKf8RDSTTVR8QWrQ268WpXzLP7eIZora
DRiwM3xcvNrRYD7OA9P8PsIRZ1cd+VrT0ofjjLfpMya/YXUj3JkvI8QBXNnhRhhhuekIZOwI+OY2
+8+FKV/HuUDYLusPykDmF+xc+eR9sPDDGmRImdXBfdTy5Jg+YXlJcsNQdLGXTh8CN+PeXPjvXstY
wHR2QTXLXRS6xBTO7s4P2DtcdlWLFKIS3tpB6uExm2kJuh5/xkYA8giaiT7KXYZG4hSzIUUh3eib
3nriLejvzAEzppkwdEoVkeJymvd24q9iCytejw05MBJMgCJ1joQuLyhD9CWp2RyWA3FiL3oEP4YV
06TdOqm+mWH0s1Wxu22EpvcULlwIBpE2XXVn1o8xg9lVjfSOlhWqaZdCZGbcEjKCtwqLBuBwIzT4
xxQIDT2oOxToyOIYGvQeQ/quPIwhFlhf2XvbNaad861o8xEROSbjoqvzneMAs2Qo1zO3a4caeFjw
YYH2XoNiZhFnVVLop6eG87jNITczq+lMHAznZeo+71lFvwB/WGlJYTw2BpKA2V1MRyFDmRyyzSoJ
p2ttkfOiQuOQ+MFtbY/g55D0wc1mrWzGfdbPiOjI4Vtxw2g9+jyNEMc+ofzTdGxDUtbLOznqHIWa
+1nU3XPe2Z9oypGwlUv9nL+ooN+F0n8AYsBoMBzxNo/DyQQiu2Np2PiGLM/kYGMGGwweCwb5mpMc
CjML/WrOAUiL+SELHIaYY3dYlnVpeB+FUM+lQmGB9OFYa+9GaV0eaHBCWyVdestYElGHD9RsnVBD
jM54R6atd9vKBa8yNOoonAluGpOKhZYemztCB/mqetrpVP0SW5W0gMn3b2JJhytNuS7b7mMcoS32
F6kWdT/fCp7lCzMzGsWFRdMwqY6Ja8htZj1FOW7zxEzNXWUBchP5U2cR3I29P7g0ykNqz8DZaTd4
z/dJWT9hDqmjbJ/OjbxFM0SOXjNAdUlGZ9XmhAGYU77pRl5143WI41egliz1cAaabl5PJrtXg0s/
qnuOcNEL+hV50xO9SBvINrdFlH4UDeFuTf/YTPm70WJQqx0XdyT+QQQNtCo1p0521p9G150sx3yt
4SutVEHXW+FhhQu+EBtLxk1NfXCVfkT4Q7OoSJ7qYQKoaZBbkMVP5YgkfMSQW49mySEo6DEK7Bk+
IvEyQfxmHqRIZlVj31ArTbsRmEGJ9nON0PSk4NsPG7eX7jrNou/pRNheTac1hNGRdBlc0QmSXtNc
Z+juldXvNBOMx2FKOTHnASx2OLgTg44+XurbOj9bBTaNkd9uRSQJOs6pTtmU/PzFCodbNJYkgNjD
vi35L3wVPMlgAKWpp13neO9FVp7mht/Y4AEsMcP4+Q/W+60hef2TST5HVXacpp9tRk07E9cLog54
fDun5spr9iWaMr7cB964H/6cJmincvM8TlsxLtRFP+lwvQBftj39LTXMTxdXvmz89kTY4MVHhct6
ZDabJD+3fgRFbhoOZA9kV+GivvaUM6KtMb43Pa3pgA45tH8q8Nl7M4uAYt4+xDGKBka0OMGxxMy1
uF967nPGU9NG+5Bh1pD6JKpG6LaGJVRvHnFDg9s+2RyIwULWi9mzf2P1TTAm6m/cZkhojXmoltM1
/TkK6v0k8Xghw+63lIQNubWV3HVdBEMh8+I9bPsLqfQI2OHgrx+DsaRgCz9VUXlrxyPDYagOtZ0i
+yOJjS43F+sSydiBzSBMynixx/oWw4Rx47bQVwtrQqysVAoiF1q4uwT0oSsgAcv6TiJEvwWmgL6j
+0jtpN5aC3LTcO1TkzZvLSkUq05DSlHqvlhi+YRjcF4z94Vunw2nG599O/rRxDNarXRh/qM3dyMs
axS6dI7IYu4LhkoNVO7KkwcL6EKqFwFzymwYaeG8Zi5bvvk9Yopk4m1CLvazMtD6oA4D8hS7m6jE
ApbEeN6C5jsjYIwMFsITEk1R7OR4TBxETlHIL2bYs9J9dGw5DGpApCFJTJtRomjLJPUdGLWNLGuH
qFqen8pHOCcXlkerrZtm3rY1e70sj3mlNcNsc59F1nluK3ksvHw7OzQqigzo94iywENPqAN0+xJt
fVs1t2X7xtVzJi6NF3+qcJ7PzmeFfHTdvyizjWECjd56ViEKlKTUcKoC1kDrVjqKLKYYMkBFN6tU
nbGuI6aUrV8d7cA/S2m9BiMlZ0I+DFIeAnKy8m6Glqz8kgd2jteDg+9BuyRlVuOGpxdms+5eEYGv
RI3+OWXpb5hOjeb8Xi1Rm1FEESYLJtlgfGsQpY/GwRwpPnuONKtxJg6JrIMXAMk0X15Do43RTycP
8EF8XnZU66WKry3Ab7sgQQhfM+in3lNMLhEwCKoitCZXH4aCkUOk8qntkCycXe28Iad7hoDAcHRb
jBUMOlggaR6fUqsy+am5BkxgefsO+/EGqBgxM7HzXYVIH0FErBEyfE5tDnbGY0ADi3LX2hFQFgVi
wwGDD2mQM0gYo1TtmSWXQXqQymSu92jfqcWi7JBPQTMSlVimUybfs4s9GPuGnb/IdCY8g2Otrv03
3TDAHh16kSPE28iFDFQ7GmKn8aZNm8NYE+97SKybcra/aeK+OZN2dNuSXV2S+lVZ6knD+gDtUNLD
m+2niF3eXpZxXy1SdXBABiqZ1uXoZQVL0CtH1SZhKoygQBKeFyx9HFg0k63lCnL0TiaK3p/Q1G0E
UeX5D64l4T9kDp7YRbm2GdPCCIFAVNLzK43wXbj3YLQBVKTZvO9LpCjzbK5pX30iQipRhvblnSqO
aUGUF2BCwBWwsdCpdT97QumhHlS8IfZXaVPasyB++mz8ZBBxZmKgTXBkcbuwBuRY5adUGpxXMGBX
nsPuQr5A07HDRVPTXAJ2NtjQNK7S9CFwLPNYo7bPF+jwHITUqsmjo1/ytGakYsHYiEcQ3or7EJGR
siZlpF4PA/IaV7FC+c7Sw6pHhsJoTLb+DAHAzP1vMlv6fRbZeFOzT4jkjgRkNGZWcHpZHP0bxza9
u9iuPom+ee0Kur6wlotDM1GydHXw5Xk11vCWiHfHfcrD7uItnIIczfOEIWtNgvyDotpbQQFx1vOU
/YiQRGAZ/HRSgT/epdH966ITnz3XgZskQr9a9860tPygfVdYIIvOCDjtTM8cdsCZzNZNHZjDSTg3
ueNNDJcTzQHWutPm2qtbxGoNDvVa9l+TYXNqbfg6Er94sZIa/JWBNayXD3Gr3oNx6VZ4T05BuApx
L+TDBDCsGNsXbblsnh0NSBJxqueiKtVzXwPbqfLuu1AGrhTzSY/jeRD6BXYvfUGAzut0aDiXofIj
VK4Xm8jn1AyuYL50MXik0tjGth/ddML5KTLSqpIg/J43WLV812cBzSZqPDBHFq09K4FGjdiKhavb
C1yPCECDtTTFvpUTqnKPzcsbvNvcyw5oM4jvGcZNamTw611sTWOxGazJxW9a7KYkGVfIarCT+fou
8WgBR4b/4iWcP2TL6lRm1iaaympj1CYIt4kHKUTFdzvYlXXI7OKG0OWNdjivk/e34D6sjjkFsrGA
QdvyiFWt89Aad4BsloEWFPlWMJSux87cw4lhWJafjY7dMHJrsYO8NiFsWFtJ2h6twnE3Qj2GfgM8
OFYS7Fg9rPO+9UD1XdCKe0uCYrIj0BWTMBUKnnCbfbAWG5TNzCde7KY4K2xPeliSoQl7w7UUIxON
0X6jTkmD8q0VMRl3DfWD8C2PCYhXnXuHML7Y/Y5uL1m7pLk+JE+lM40Qg9tmszztRoIfK4dvdE0S
+F0tEp65M7dGgD1W9fVxCtOHKmqORRNfEwfbVpSbV6iJnMJN5MISo2gW7msR723FQz/6+HstaX1J
z925zfQB9P4ou8X+ktd3o+ZsRXQCyJj0yW14ZVVAXsaSCNq1nKSngUSP0BQfwhHUMT4xqhTavU2f
0wHz4QEQaSmcOLiuU2xfcGt/tJw5WdnQFUi/MHZmcTaDetoHHnZEt/7uQxzeODXKaito1oTbQsD3
GLQZ3fcKORVqt3ZbWz0U9boj94SbuR4L+4f4vow2+mK6p982IJMWan2jtk1TcNDqZ2IOa9yToeHc
56tPP/G+R3b00QSClr0r403qI/AZaudiVV14hDFTrscchXGgCWmeXVpT1D2dTJhgwQ2cMp9zUKFo
QHuQJQK42YvFLuSYuArs4TvBG8QtKZ2Texd+I7q+wVGMnKmosYnVagYlSa3Us1ysytFPiBBj7CYv
1WBl0CVjn/MITVB3rHE6smPBwwF+i7ydaiwPX/st3iX0WEZJ0nPX0Sw2nPohH3N+FpmO18S0Q+z0
aXDaD8VAaMiW1ERo4RyS0ZZWYth8olhCEII47oK3ZIXzwjxIiOArOc7unXbBMNGNDHjeEGgbSEgc
A8afNR4Y698M6t7D5b8cmfcBjr09qRn0IyKcr55L7yx9Bs/0Jnrc62Mi31GJfgVpinWihs8yt10E
HoQFpJKsv8IifeJXsYqEpFhovZteMSNzZ6q7inVjVTSMC2e0JH3AWxNDw06WUWFCfUCrZqkobEBS
3FwwcQMmRpTPtyG9bUahmOiCZsCa614nRZ4XD24UXyuYR2R2jC34ImedYRZd92TyMIXIcKzezb3E
suqZ5ypJzHtzdu1tlYbmyeifGnnXyErvsooRqBFU/fr/bx0J+oq/NWPtmlhnsfHyVXzN8ce/IQFH
VvK7L8v8z9/wX3IS4CHCN/HiQBcB37GwO/7LmGX9O/x+Kmtf+c7i2PpNTqL+XUnhmh7oW185nuP8
t5xE/rtkZViwI5Zv+9BF/q+cWYhZfheTCMtSLMJYwKTymFJbC3nkNzEJBo/ewYwCmWbp4aCz7Jxu
rUvm3zTUG4wYZNVz7ZxOw5Vkw6hSAtb0sP31iPwY/3f4Vd79p3jl3wqd35UxArv/+F/2AjD5TdPy
6zIcECceAg7lug7sld8vw7Cdqg8CLiNVwt7G7bgIM6kKJOb3dU+3eJUbDd3cTt6PPYQ5rDK5iE8V
iEB3wMgumC0rY+cYiAc6gAWyOWZGekB3cHLG5BARahAY497mjFGkrwyr1mIMXpOx/lANLevASyFd
nFBjbVNFfkHRP6Vi9fefEcvcv/iM3E4LaLFDhN4fn1Fao57BVIIfqKItorfV2IGgKMqVpltXjIzD
FBUiyuOXSR8pKzy4GromONp7xvey0QEyUXxgI8HFf39lyx/+88uXwgZYQ+WjXOePZyClgRSaAXLI
MCWmLwqPPhoMY9liXbFN1vQw/+EP2v/zqePZlq4QSvAwe9by7789dU6tMoGh2+AYgC+EGahuvnyq
/Tj/EilHcnIGe3BI/kKWSr+8OQRwjEgcfJ/TvSCX3M72hXaUX9wRwLVG//kYgQgwknxjhiclMDoj
cWhmH5/GBXjnqohpSUMosI18LUV/9/ff30IG+uML/OvH4W39/eO0aRoJW/FxOvNzZk469RYMzerk
BkfSbXaqxkwi0u2cW6vAJAilvYOpSLFA3AGZOaa7TYSxtdj8/uG6FiXYX28s1+UKlzVG2hbb81+v
a3bqqckzdhl2OxS2xY3LMW2KMZNI0PMMxhh6bHRqk9ncrjy6j25Y/8Ob/etW/nENgOiFw9fLqmU5
fxg/8YoRvzuGuKZq0PCoGuljNw0lvJc23wKpDmJs1rbTnRaOaVpW59y/sVF3gX5Ywd7Aht1eGbk/
RXOxIRgacJr/UpsjB2LawKDJ/uErM/8wqrISuYj7hO0gJ3Sw+/1xvUIn1RTFvKWATncJp3Lm5xeF
gDOZlmAUEPLeg+rCJaZzDQZ0a2ZXJoELQRoCafg4FZTsHrNo63P2nfs08w4TvZCGFO1CGmvSa/ag
Dk+0ZwJDXsg7wAPUXpkqUu4wGkeekDRUKTTT8rnf2R1VcDje9m6+OpITsy8LY8sKvcvzpW0JF7MM
b2qKgYow5sjj3+N+Rxmy6lP3GcXeTkr0BSaDH4GuKKr2Ha8RKv21ZLUfAEDy0l1oqOLZaa86lDQ4
Paah9AP7CalwMEjaY5xEmrZ+aKpHPdwlqL0uE+nI8Ds2eL941sNVZ6V3OSlUXdg1O/+SgJ3puuod
5dH3fMjP8djxLV6j2SJSofqWVM2VANUNn+GHHoNr3Ic/JVMaexgfbZNKz26PKfogJC17acYkTQJF
RJ+/8pjClBvtumuhxjvbGw9mxhMwVcXlH54CdKN/vji/PQRsj399cSpZYJ2UNeUZBl4/fHPoWkgo
vLq3HxehucPfxtPOAYMBRqROURztaxYteJJIo5BEcBD46M3q8P9yXSZFhGfaMOv/vK7CVpzRGh5O
O1D3AzZasRjmFF3+cr41Gkya1kq+2g3nUmOfx4CKMWYJ4wDT4JLMnDT//nqcf/GyKCkFvT8aE778
9TL9to4DWnDTQCBbohPE0kza8YjcNDPCZ8kdStoAV6tewxOyHQjgVnr08bSBC5jkp+FrmHvE4cET
pvCHsVOjHzGw8gCwMZnV1NHOibaMNBqyZR+T3GUV54hIi+R+Fuot9M1zm3HQin+ASdhbcbQVFn0Q
gcagrLeDmdI7vvn7z2v+zzKFHILfPu8fC2qr3a7B7MiCWsdba+kPZo81uAca2/TrzN3M+M8O0huE
Tds+JJRjfC9iVP9dco5L+gL/cDn/Yhvlclhel7V92Uf/+phqNhPinzj8R3O9C5oCDabF603iHlJM
ScxYzZ7aaPs278UWFtJtwnPrwP3+++ugOv7zbfnLZfyxm8spCQZ/uQy3qXfCqbd0CA+95dLq6dZ/
/6f+9Q3470/8x07LlN4fMRfjUUqJMEb2RKQQhtl/qoh+lb1/7FpKIjJkxzL5X++PBUBQLplZtXyk
jC5hSMdrIBGr+aJtCfAS0vPQkt9m7OaCRC8LhpQ53AnSE9Mj2p57nJVXR31OepF27sZk/IdvAWn5
cgF/XCCYQKANPO+2QHj+11tfLIo0fBILwyw6lR2JQ4Unxr3G3byjBZZgsYm+MUdNfedKOcqAxp6x
g4lkVzIu2RFUeufbKfLAbqOWRluL7rMc3EMO5nfdy4oEPmOOtz7FU+xgaeMOT4+4w1AVGqhUpFUV
+19Q85hl0LdBIss0A7QZhzxg2cB7aM27wkBY58cfUVWhdAjkfaOaeWOlIDOn3k33lsijTRlZb4n1
0fcJoxQmb2f0q9Xa9h68Y5d36bbrjG/EijArhyUXd7k4QjtbGzk9ZisFZCQY4gIi3TDyZ0BnGIRs
9AOpnX27bZAHBlbB+CsmXiZrKnoq2adZjYdhTp8pyRjOMQREOmXBFzB/RAMn5tmyDnKUjJ7oZGzT
qmUx9fA3Dx5ClGq8C3PEP3P37AzON8yo7zHhfUZibGndMePkVA8P5kcbfBX+IgHWIMWHfAMosd6M
BR0Z08xPbLZKBOUuyIxyHWi/OHYzCUdjYPh0Y+RXZAwMTJJNPUWHpqlPTZkWt3nsgVb71g1jsOuW
lKwwTpDIjalk3yXZdTamnwyWqrMfuBZTiYSuJuIR3YjxrIyHOaHm6k2iaYsaGRBOdUxXDD7WrY/y
o0PpwEhCP3iWq29QDHtbkbp0i5p8iYsFf+b7eXBupV/idPaBudTxc585GJByQor09C7DaUvIpzqT
9u6i/8h5Unxka/2iRJzjhlCBYc73Fs9ZFjMPqjGPdn0H43uw/D36Z9NOAVE2D6OX+xuiDe772Glw
XP0AzvyjwLnHuw7oqI8A56Q+rckZDnwM2MYVzEsDF5KtPW6L3FBnM6Gl5D2gv2lh9xofiSC9kNTJ
NalCH6XKnY0R5xbta/YMjRl0aKdPv1Vym3ZY+8ltX7LUS+8A34IsVES+gRum+zAWS+fWc0+QcGbp
nxvIPqsGxcUxdMfnLCu6w6gexqxkiIkuh7mdOKMZ8Fczc1QAgBdjZh6ZZRONo2A1ZS1l4tKNs2R/
NA2SE+bAOZvawCi9KEvAMBpjhnGuiHY8NmSKyV7fBVIfvYgxVJnbTzmte5rfdLBnI4ZkT71KMzD1
d8gNH7NRZRc/KeAFajJyzfFMKznea4LtF/izWJttMjOK3VSKY6dKq5vUIsGgK3JclG16rAv5UQCy
Zc5uPCLUugx+fCQs/NQCfF5VtcQXOGcPHR+Y+BdWBqumItVxfDAcfRWIwk92fqxmBxcdurcEF2nb
KSK9JKbMz9KEcRyTp8WBLK+386JkGpQz7UzGErOQn9KL2l0eDhBGAgOgiLLBL6oeNIcCYWIYNc1m
91HGBqgzUf1AiZoimmzak6WaO1O/BMJEGJ8GckUW2W2q/HdPDBKSYHynczPZBAWH6shgTGJmd/Nt
SatmRbs025jUKGrOP/3am3eO91BUEZKgOcoPeoBDBmd17ZIroOuzrkiQV+56IpX2mI92vpW5V4FM
FMQMJEDNu/DRCNG9pEnyMi1gjD4kkKNRNXFilsvxvnFfFX6YK+1rXAsQwrRML9zxYq+q5Gc19oza
VMwsnZGl7hMfvhKZGUnd1+A190MAbtj5JQga7fJsa/eiUvuRjOth7ZjFLRmQNBKTXDOeb6HuaFjW
dqQX9sF3uOE3cKPKnRupYWWFOgRqPK/YGKqD4TUmJZ2HYSFiUDQt41v/ISIu8igGsF6iuZEZrU+r
y66sWWKPRnVtkWW5EvPwiSp02vRFm26c0foau4IvqKU1VKiz0GHBnkTjHsHzSmu63LqqvE3h5j8S
nE4rolI8ODqh/Jy7ir59+G71DRoSySiqVeU1x6ZLHm54zIETxH4QrwgH/DZ2qN1TVzi7fKHIk9FW
W847ijC9SyN57HX6kfU9SwxtB5gqXIEV3hGvx0C7Ma2N1wZvXjPSZO18klKSGmJIN0M1GZFAoDJW
rr7N1U088NYGNviEpLrGCqcT5X61nfR9WSevXq184heb76N1L8bymilQCJy/MTV0TU/iJxvTEJq8
fwDye2gXSZaR4OSB+bFlVS6SNw+FGXZXHlwOa9W32LDutZGFG8dJ+0PpH7MsZd46Qv+bQ/aZaKar
VYX2TZu65KWtkD53lM003nPtxGvGvPSy84u2gmM5OMUeEji6xAm7/OR1j42AGWaACIMeNj3o2iTK
qkKi7UQA5xuPEbpUFZpN78vfZ/fSD074aPeGBQQTfs9NXY3THvE37twe2yXCbp9dMUI2AgfEccWu
Hh8JVFrUcLJaJ65DA6L6bgzywZeDg5F3ZFLJtCoXBW2ZvqpoalcPgZnpTWFViOvlqa+ti7ABABA/
yrwFtUoDSYIB7XTK5IyxRcfXvkfDHSLBZE4WXpKGASc8JTYIcW9lbC7MYOTGsorkMIFkG2T1OccE
HFuZqE62OxdrPijzaTFSH7d4cDLruz2Ln3brpAec/x14JqprRQwAybo/VOa0HEeYb3QJmgYq/2KF
8vtVvHppUByjDmmDdD9jQ9y0cVsyzmK4Blt5RSWht4lpTnd18JHNFIpFVh3rBg7sOIabzu/fsVLc
yM4iFiVGHWiPncvIwJkvBlLoVeiEV7B/O3LKkuNYMGQaUueZ14tDl4LuL4iIikMUD2MzLe1+rLxV
iOxr9Jp7lzQti1lQ3AqfY2LJ10i9ssEO166nkt21oMPaxYD2p41Ul9hdzNqLdWQMoCAOvbsEsZ+T
ANO+FxZ37fA4dPIQznO2R6Tl3UbWAHGL4Pm5fetc74eXm7dTHb0VGgcGBiMixK5QPemOBM/Ve1SV
57QimgJS6cXtdbzF1Q5LC6CpOzT8DmScVhhime6Hx5b2SxqODE5j1Dqzlw7rIOX10tUH6VZ4GN3s
wTOGezWi6OkdIOrurTHzaLA19fwym/iexfTQIMLLqwLVQZM+tND6Krd4UWn0WdD37TBw536660IG
Orn3Yel20/e8BNpq8AgNaloPDHaZ1IyHULymMnGh8+6smnRFSGP3TJXQcJMuJL1qj6KvuYgc74xL
tIbfTyhTzHrb4L6yYbbs/EHgA1KnpE6eKlC6foqC01iVkwFf0K2I56hecFlTfeUxnKQF2FFbDQmY
k/7msVluQvKpEoZbSEewARnoLGrkto5t2ARj4Ycb63vwU5idouvgGOfZ7rY96TpDCg4wlice8ksq
o2sYBzexkP6+FOgwMPXFm5wUdbCPxg/EU9QuUK+G7hIZkq5mmVzsVPzMI1b4cPC2xNjwvlqoWNLZ
u/Hj/jBKDgrwkUqW8uKuYbzpZdkTRCFmugTZN/NknEMzybdYIAhKqHiZpxBbQjpaT4TgETk6fqNI
PA7jV4wUl6jmDgZPzkYcCLrD2tj0cfjOEt9tjFJdJpE069ypb/Bjb5TC8Dpn4lYGPp44Ou/bsJgx
8IdHCz2anXXXQYQfOuV1Nx3KxMRFaRArksbkrT361941rw73lWm6vQ9ncxcN96NR3M40l6Hvzl9m
q3BwVO12tOtb0DAnw0I0ZPnPYVdfKngEHCfwwcJxDTwFZRElzD7L5X3MxNv2uAWhF//gwqBSes9T
3L6auXicDYu8JgJiCH5xcuwMOSC0UrQ/OwekVZXX33QMXT27twVOKSO+SDPNuPfJvqZWo1evz7oF
x5lOl8J1BubhwRPp4ZzX2MQ8tZDnxKjXaY+c2Ag9m3xzxvtB0Z7rBl0Q3ox7oiByRL8TsZjGQ16b
0IkId5qLYyYrBc2OjCVjSIAKJ+9DET5UTv2Ro76NOEeuRqKy8DeAho3IIO7UzdKnHJXkLNxSL9Ah
bXS0dXN9BgT71rCICVR2qy43Lq1hPNnTueMMk5jeU7Kgn97SQR9NYm7NbN5gltr62j5549VLSFcM
eWHmeWMY8VqnaGnj/G6cyP7thl0cGZcMix8cpsO4YG0q5DfLk5dfUjrEwp82iTIuxpOJ+0+b3ouT
QXKtaYsk8oB+l/Ul+ibH9EAG0abqaLvC8C4r+krNlaXw1gngsgYThNR4a0YdVv/oESniTkfxKUmc
A1wddi4EvB3QhmFltmSHTBoTFoAl6FxN5j7rUK+dPNqPDVQu596x2cSBpXltfvTBtsg1tNo1gn83
USeEKBsoDdvahm0/kxMfRg8WbqDSwOFV24fCi09TqdDS8mMeWgTdrTtj2lTZtI9TSLhIQksKYQjC
OSIwOmrj7dTdmQytM7R5oTAeatyEkb0xpTy4DJ2mQbDAq2E7CvcZ6cRehpCYmxO5PZveCfcm4Tyj
cm6WK+CL9cxmV9YvmReuVATzLknWTmvv9JYTxcH0kWhCLJnycJeN5XuUxScvi2A4GRdaAPh4cIxx
acuXubT7p2bC0thvJYHQrG0ipTGsu+NMSwH79kbJ6L7l6KCQM7Qjze4wfBABadHlSD+5grt1oku4
B6d+W4/GIjLaNuX3BEbJ1BmXQEQ4yfhcGOWqAFVe1zQA9u2bkaDiBiEx6VF3bG6xMEnFhq1E7N/V
dLPLMpOao+l2YtEviKJnGrVrapLnQbNHWh58jyBGLzotty7F1JqbsPnRyqiYRzFqr8v/X+yFqYPW
tI1OS9CHwCIKKw5RXI/faBTxvaUjCPLlWhsw2mLg5g0Q9PHT0g1+4exgUIuHfcPyjsgoBlONoekm
FN5LqizO+0RNQ6SY3XafdiZnifem+UwYbpUa491Olj69VdiQGIbcjpFX4K9z892p6RCKh5Eor9H5
KvWDoIBcOu5zAE6HFC27v84RroEbUWJVhcmpF+cBelraImmAOAFwHOFVHduPIazdXNb7iREAbYBV
xOlJAkCJupQmDV8QLCY3xjHt2puyKcgGQryMlqhHlhCie1GahCp+ZYrjFIeZjuVGVWKbZixxyPdN
tCU9Nf8IMjhU3cqPhjsIfVRU7TGxqoe58q+hcje6HLZWD74sQdBi9htVFze0nvYyohmr0fCo8K1M
wORAFjl6ucF6ItBn80fUTYnmNgdlmJl4VkRH3AIJ0IhRhrm495HW0MFbkJWtxq0QoM7f2G9xk72Y
M44cZomVbi+9Dh9F/gitzwA3lm6npnO2SbGkXRePLTVmYeUH23kZ1afvQFg2NKmK6kj619IOSfZh
aL+N2t70lVQryrJt0JpbSCsohtC2MDaxW3mLL1Egj7UIuyBjobuANTtYXvTeo6NDqHSbDkRkz015
dTvaezbRCjh0uMCgIBi+Mo1Di5PMMo4xS1UTUlwG2Ifa0dinVHqVpFULFtki6wK95mYq5jPmjKOP
DER1Prc9x/6l9dkg2WGqjxGvskF6G6z++nnIbJAMydmgvdzQBzMTNMbagMpDuydtTrbPHEvp7IRl
gA5FeDSG+VaHuK6n/0PdeSzJjqRX+l24JnqgxYKzCB2RkZFabmApbkILB+BwAE8/n99qjlWVGUnr
JRdN66ZZVUZGAi7+c8531FYE9rkij+G40d5NQaTlVbK2fA4vFU8fLJedlZTfWT09Qd0544PcF/Rf
cwrs7hPSufoUS7lzfN30+SUFF23YFJtk3nZguiXwN844g9oFVHJL3svwTgPxsJqpJUeaQ91P16L3
ibB6dOSV54xOpC3tp5dgwi3Up7XN6JwdUCBWhtSZrLLcvltCHHildG8MeGHbGDgtPp+DohoTCvze
0wm+xOHwCAXq3hrxydkZucYkIS2Qln50M3vXuOfPKdXTezE2nE1lcMwqFpWx2JZpsuMYNCIndql4
qAK+2jIwJ7Q1/GhizmKu3j8Vk6KZ4qWoBEiADjaMd0SCWFym5jaxqx/yOA5I/2VYsy4laU57YIC0
G/XBo/DltUXwMump/wYTwop3vaTxBw/Iduiix5GKJ4Zy7HuszUaB+mbdUE50bt2WYAADolW6Clrj
qnbBFpatWIVmextHs+7PrM9sB5pjUHtHCg+u6wjMZu3eNVN1q4Zpg4+xXOVufJq9hNLZsn8e7Ie+
i6ECRF27b+CD6o8VNPxrnabAshg7d3nkXCfKxO9rlDwkHCz8HK8JaA9LBPfCLc6qzN+Fxcer5aXs
z7oaSySQdmz+ar4wtioMHyUJkCKD9jFZvyqPuVXgfY7+jLRbWPcUx1/yhp1cDP5NiO57LttqF5M0
+EO4+z9/Mbj0v7EuX007owGlw9/+5//9X9LzreuFEHD+66bv88eS/aXn+5//xD/tTu4/TDuAnhOG
5h/tR//f7mT9gxG9rvT2oUrT3I12858gaqq+HVyfuJrwI3m+jezTN3JI/+PfXBMaD8VLaJ0e3eH4
GP4lu5NWxP4km9gW9DHcU5pkYhIY9rW+9CfBktaupMULTJ8p7wAnZSPegNG7LV0PCTUiR8ithFBJ
k23oBIcgnMrnOlOMg13+mT99a7d//NA/e57+Lp7+/ix0RgWO63qmhbD4188CEGAS3QybQQWwVDtj
BjEQIESMOrjnpkR4CcULlwuxDNszVNitE3PwDp1T1IFTtZTF/jec9cvbzFO40Qvi4BLae2FIIuRz
FWJIhVdWLhxMe6++lfVEEIQz+nqeui2+9Wv9/yW0YRJG5vcbqgdLKyEmkTdugDXHoD7ZwV+8Dcby
3dSgjP/+K/ibzK6/AUd3r9s8MqGuy/rrN0AUMfLaNrPQABZ/39oLMEr4GFQQMMkY2QWwubb/w8+0
vL+ruPrHYsXD+OuHVsRgSj8kf3oIAndogQ4v9gqtY2OqjqabUHDOa3FhJhSPeOo5U/MpDqllUYuy
13G3fMreuyo0vBCJbd31VCZW83vRJ8GVLrOFNsmYp1nmfj/QB9GAwNibZUXZy7YcyTNZGWgJqt3v
wXnfK29sd0PhXZaBSsQA6TwwxvZA6fXBTdRHnjbRPhuHEBJg8Q7cptx5S33rxxHcIqd8s74Ifc8b
GbXUxoJAnZYPP+HDhc0+sLAy82IexNy81U7ONY1WkHkXWdMvaXIBGFuNeWV+TLI6os65Z3ZXVfLT
D9KHJsqIdIIkVomi1hN1u+FNZjeMD7aybnQ+gSdz3hjML+Ll4A5AW7jziSxdyzlsGLxZZD66h1Y8
VkvwCNJQW6a9p9Z2r+d0vjezWO0GnzNWbFxjdH0vMnFgWqRv0lTemGjHuUS96y69bS2bxCCYH7py
jZJHSgIu7lqE/tFJwo/ApGE1GMhR+G11lM2CiNZcqTF/qRmPcPc197bdXbwxOi3YkqEjV5aPhxHs
SDvKh6LCqr0A0oiy+q2Y/XtnhJVselRKyE/VlY+q7fbScZn5gSQPiNwQ+ydKX4t3I2LGUkbqcwS5
Wduy3hKGXvsmV7xqnppzpws2Apo2Gl25YSLvydk+pHXw1Sr1xRegSzVWdYVEFHbBuvdItBMyrUHs
cDIkIAHF+Hmm1GOV2oBbQI+YugTE8MY7s2++TG98d6tuM7PA0ehk30tdIFLQJGJi79qHxPqJaXL6
jK8okcaUFH37PVA+V42vUJtpvQF47lnxxtOFJaTHa4rkw1syZOEG+heIVQ68Jj0nlYPfk4p47it8
1M58MHUlCmlpGmUoSQkT9z7UtSnkc5k+6SoV2dS0gk1Psy4s7HVzoa4wHOgyLHSpYRHi54t1z6Eu
PAxmwEfee6IrNzPerpXv4lCLdE1imVGYSDxk2eMrOEXOzPiWk7Kl6xV5ye7CGfXYDbPHnjsaw48r
MmPPHRKyKX0KgahqnOlsrOXOUVQ4ZkN4W+pSx0XXOypCHxR6ZYdWVz96uVrBfwLm0pGNsXpiox5z
myQ4jxwlRQEdwtdVkg2dkom+3ayjjKLJSFdOdnRPzjFpuUCjsYIgRDPTFZVAvOkWiMEJw/Fdydan
ddUD7t+Waq/lRm5rCgyqiEgUSG61ugozjLunpKGKoC40bpS+zIQnYgXXdGvSpJlN7XOmx9jAfWBD
YYkMdO2mrws4Gx9GgtKlnOESPSuOcICCmdPS25lUzxUtnhlkz0DXega64BPxYDnmjMDapMN3yZU6
Y4BAcDfiE6KUpdN7j0zwaNR3mLegMnY8BjjRSfX5/ks5BOwW1I1mwLcTlWypZoVR2Hp3cxov10E7
XTkz2i2dpaUuL51Q+BzaTDPdagplJKu4g3naUa+LTwMaUBlGZboQtdDVqIqOVF+XpYqauTp310/M
/Tpq8GLpYlWlK1YDmHO6cjVgXNBa4qWhi5XuHN4B2lkJLuvnx9l0uriVUASES4uWASpdadDFhKRr
XhMHb4QufqX/EEsmdMjCphTW1vWwQ2rflRXJgUBXx9ISJlfD7zpZXSybZNZLYkVUOHE3zXX57KJr
aE36aDNdTDvqilpPl9XaurbW1gW27LPhngFmr6ttgYs/9w3nWFG1n+766JJLc3UZrjCqm9jeB6E9
7UMCJ2RlHT5sw+QA5bGzqNRdEkaxyVl18XU5HDoGRpRW2VtyTfeiaZ+tJnrKxv7SVZzmiwp0RwhQ
X7qwPDrlv9S52ti64JdVvdnkuvSXiNYOLYtirEG92hQLrPxw4s49QgCPkgxHG5d9SxcJKxqFuebR
Lpwag1oLReEwrxiQSgSkopvFwaSVWOl6Yv5EN13A6NyhudjXFcYN2DVmN9Qac+8V0Lwqky4zagg6
DixmlJQ7oAd20x9LXY/sK24C5nAJuVCtvbBzrp2ku+vM7rkevSMJTMSxkpS0rl3ui44CZpqY4cz/
9BazV0aF+wrW9W76XdtscsBr4/nWjkZuc3Q7t/j+j4K254nWZxHBaJW6CDqlEZpkz7LN5/ySlRF8
LsO/dWiPzgXTWl0nzdSo2cSK8QRJ6+2oS6cBQ9FA3ZCMpHeIGlhdTi1a/kWM+6ishpUPxWLAtunq
Qmu8DgGRxX1KAmgV69LrkvbroABBvTxMuhSbFGOYt+Eevy55M/45g/5ssiMxggaV2v6c+xvhB1sc
DPwmAKB2E1QS1NP5JkzpTPqjnNvbWLquW+m6MCqVmS5S5T3Q6Y0f1DoIGZEmpZ8CAGJO4fwBdPO0
s1mtmNk51WRtU+0EmLsyOUxRFOsORUj6uaQ7hWQv4ob54xe8m72yT9mV0CXkDQeIBLKOgsqSOdSU
+yE6ImfISbwYMnhILOOU+T6vFGNu4muPPYiQXcjYv+9IpvgjASSsKADI6EdPdFE6aBsLGXQtrR7b
6mEkBjPoYvXCf8faQB19l3MND8XbION0HbZ2tXcz8ePogvbCw/fI+rtNbDoiwoangmKvAWkUn0Sn
S967sT8stL7/fjcCeuDT0Pq2FMkGbXvdVveytq+KBFgCbXW7DAZh5lApH0/GRYl6l0zWsFEJ+J4+
d8ROFrQBNtchDuBVryvqO+ZjaIbLc5gAlVk00Gewnmw9p+vSc8jYoZMMqHXxveHD7ejsYmWTgN4b
jrUZbPNZr+jr1qm7jdcBwh9+VyXLi1It0JtIXY8NmIwqv42NAA1KJbql+Gi3otiIzoJtW6vtzLVY
mQGsubjd2F1LfBL9YRUnzTYv2+CE3YP8M5BGVEbvS7lOtE5yInNMbxFmx4C/bzcywO2GhPs5mkSC
ScMw+daNBDC/oRIKGSrzbNPpyfx9qdaTmSC1soDGpZ8fhF8l20k8d9I6uLG1n1sLM3O6Ywcom6uy
LK3rsECKSGUnbrq521Gzku8ki93Gj+UJb60u2uOsOmbdOmVKUw+YShu2lZ1kllRE4Rn9+x1d7drP
+f5kTfaKjeDHHskmDvZF+EYAGCLPmDySpGokCQ++Alh9bnPTF+yWCA14Ne0NMPYbMtiX2U7CK7MT
+zix7KvMjWFbpr8MpukrwyHh1uvTx1yTWZ3Hxd7NbvHALAERLigOCz6bc2SGRPc0WKtoIOpkxnAd
QzQnh+AinUBgUym2VuArV547pDtfwywsy39U1owBK3tKC+tXhLi+8SvZaHTBhs8/6t98QKRP052p
ech+aA874XcbaQ64tAJOCcIQNvokKCdeiX3pj+9miAjuggfh2tJ908UFPnpmeyjze2nwl1G0NO3G
RFH/NsMblmN0q4z0W9ohSnqfvPithy9J9vchVbqbPqF2CddYtqJhDnNr2u6czBXH1u8vU+HvAw9R
AoSjY3KxGH1egaqGg2TnOISItff1mzvFb0KF5bEUUXmqe4GIY3K4XOp+X1Xxj+iTFG2ISnNULGDl
3aZUz67klGzjHCN4yVupk0E9BOnVb5Io4kgDNbk111+URsHFgzykyvAbASQkeTi+EdOVq16QdY8N
+5ecXsOFGa+fxZ+L2QIBaFYiHzC7YxixJDp97ZK353CJc5nrEgwiOngRFm2PBs7Zuh2XvCXMCONI
8kQKghvdhwROv66C+snpFbdro1+nEVY1iBVWKPfozDYTf0aoQfCwZJGeGFsH5kbfcLPgIELIT/1z
FYHDt8yN3STYGDOuWZLCQTbRo0xepoq6KRfIpqzZYYIHwXkyNjO6YobgGxbD99nJnQ6JueHrgaJq
rg3Kbde5APYF+/PoLFF0NaQYk2eZfySJbs0bSQVH04LWQKjZ0ebpgtFxXrW/XIfpA91NG07ITBvb
/USQEIDDQ5NF68BgAULQIvj64tYe3UOQoNwkPsR19avIsc2Z+c/c2tdGZ751yfAjvUvjTY+tsPBE
5JxaZTNT444I1VBAL7I7gmZPReGWZGkZHcNO2Qr/UnPIUhC0buZ5wTI4+bQfNA+pS1/O8GQNNvzE
njeGTXyS/ae7FFuaWCThbHj09vQZBKO3aVncToNu22lGQFWM6+mL9/cChdeU9RfFAFDSLEJOy8Vk
cLrzF7SAsKNQsiRU3VFQ17jyTnjjGXzWevHAs/ml/WLn5g13i28RM1NO1TUsfJJJ1Dys45iqvEo1
V2bv/6a2EEwbOVYJQ40n6d03oz0cIpOjUJrjAMrCxoDGmNyRSFswOpS0n0TIVG9tLhGOjeGSmxMM
xcTeWYbbsNPTdJsQINwMSH5chShEVvTnOFiL7Zx6nLjN1ZZXbDOn07zhIkIbUtul1D81b0kFxj6F
vjZVtnELmeIGEDt3orDeyGQ84NM0TwuhFLMF8NQBtciD+zlusSbyoLrMpCa2DTalq46NlFfCxQVs
3OJkuu/FLDeTqAyYvTRP1f58Y9cFezTD38WrTn49grC6UGB52zkIW53gLB6RGAHzbuwoJ8hya6b+
8AXfyBcqudz6ff2L5bPYxvpglqRiy+oVn9zAvW8wnoY6MxdkwY/BxBhuZMjCxbnwpIREL0idX1XH
oyDr/gjQ8XkxC6oGzOWGIhVy4Sk0ng5jFWOXszC68WQv+RbhZ8Q4eoGEYa4qeVlksKsbmC1eIkyQ
+h+DtC/Q4ycks2BdOvlwHlu7XgeTPhOBsstKb+KsBBlWQtQrc9mflnzacCi6B0Nz01bNmt4cwGZJ
ka2Z6zOsL3ZBhNFY2S+LLydGbPgzx/q7d6GxJcqxCBT9ostYbjnk0qkDRV6wyQBx/OUWLONFM31k
vviMTepFiqG5B441XUuAL6sg86rtlP7qy/deEjmiPOAiEr3WBf7jUjSHsSVbHocUkPjOT6bzRmhV
RDMAnm9qA4ch0BSiNAV0FZXvVFHjE+Wbiqh8M9DnGBb1B4L2nCeMnGpel+kYyBXgSfboc32XOGEz
bROGpUrZzfLQRRNdykC+lK6aDtQHsfpDjm9kZ9Y3IFXpC4IYAH3cZ07AdLJ7dtrxoqyyo69leJMu
/s3XIqBN1c+IdTP0969ywbvB4Zl+JUseBotdIINOgyeGt1IXVtsVu21gfCf1qyp7bN+99+lleMTD
aqKlKgw+TEej16YEqIHtjxu3qddDk6HVl6ENANhod1VQYASrh/FYlLroo8ETJ4lyASBgh7Md/LBq
4f4lOUyv8IJuTE7RGwrkjsZgsv30LAqFdBn5Sf+6lUwyZww9R8iiuGuAFTEj7zbxb6jo5HxANSAa
4p9GsvZTXNbnyRC7ZcIm0Abq2Q5mBoW08K18GxmYspeE/qM8PwlwciTl010LPuuUgTjdgLnglhZM
BwNt+jyO5o5Y6bQLQpWe2nzhagi3uH4atLQLThTogpPuDS5cu/kqSIf4FNN8RodcQBdJeFeEBega
AeXYrcR3bvfPhgERJk/I5XYQvLrM/pEBbyGmspCwG9I4561oZQz4JaaW+0SOEW1JmNX4lIdPMajn
IdJ4XX57ylvLkNxrBthnSyq55B0ZHuuMETTazxCzQPeqKY9uYp6QnMAPCR0T7RqB+zveDLSIbFXk
83qM+SF4yL0Ek8lo4zuuOvKBo2QnowY879xoJQ8qtdtL6bK8hDG5oMK/8ioVbeo0Pw2L2WFS9YCS
efR1lzSoI5oyKykB9nU8XubiOkeJubcmM9d5Cv9zkPQ7n+KsDlYoz/GwLo2D6myXmpHoPA1k8bxI
uuva4Aqh9AIJKe/MzejI7eMyEfa+Ze2EuZLl+5wpWZa67o3kvhfUrgO/N94pj/UiHif83lZr0Tu2
Atsw7+s82VIBssD143L9e4o/TUHImUtbaHHBG3zzAt7IVgzM0THewL7ktN8k3UFiVj7TqPjkRZyU
0d/17wtRxqv828jjXF9Qi4MaIY5dcF7CSjy1I7fQHPGgwk3ExxfnGKH3NvC8/RAxCcycOr2J+uI6
dOwbjkH5sQnBScYpwz0u5kByoPPsBvi8B/zue6OLzCMmpxeeXujZpAEOsxFuMgB1B1kWD5KCp108
NocshGLcZO6ujwZvJ0wYMplARXUbBwMM6M591gZ7HweM8vL41ITQySHUHaBQrgYlyI045nIoA6zf
YfNse2axs40xXsdpQzV4a/K3FWKfYpy4GeKfiXfrlAb19RCPtw022y3urxjUTfhYltFrbeFWNxVH
f7x/WzYHE8cF5prfD+Dvbxmb/E/PerH11Xlkcsb1u3QxX9nmHuJ6RuF6Exxa5uDQPzEhzDaV9IJH
Ks2/cpxt+7qLs13/0uH4fY+ZlidwkKCwnrLBUAfADnQfDqtpCpc7EaZ6ocveuTDxVRmc5HIM+mdO
QaJb7n0G7Hv8F/rMw+vJf2MIO7kXeyS9YAMsxKTB5mrQdIDTY1M4lClIi4B5WfS/+in46Vv3K4xx
bEH3LQ4iZGWOe7oW4FccLMPAdADMpLO6e5e3j+RDdz/ou2aVh5hnhuyqm43mkMzmxWXX2YzLDrMg
8ZHEpCEgxdLCdAyDRWRtJZfL1SCFfWEQzN6t1d0SSXClxu9lXBbIg+omDBObxczigAhYZ4ONp9u6
Su7s0n1UZWuvsQzC4Szi97kNFS6y1uFcxOTTeJu6tFrDEZ625ly8zU4Fy3ti4YmcfN7CvdAk+mfJ
AXN0AGl2leMAEW9uiCmTLC1+fv+rWDO1vdA8/3vbBBLft4OEzxyHIWrlbB1q53f/vRBmacnpb7qk
bzsRkDQiMi7ssb9KUovCSu4HA+i3ypMbiwPc0o5q09cj9fIea0EfVGJF8v0xqq09pXSfAtMFIGD0
9//ho+gI3V8/ioMcadrosaavi07++lEcE5BFAHpn1Y+8PT3lbQ9BACuhK95HqGInjmvvLiEoUCH2
tXQ8eTZK7zXNxA0gwJSpQ68uvz/Sv6Se/y8qouFaGEEI+K8V9NvsV9XUw68/M0P++Q/9IaJH/7At
Kpcjh33Ttzzb4W/0BzMELojloqH7Dm3NbuRafxLR/X+4JBY5poHPMLkB8hn+U0RHlEdmhYGO1hpo
wflfEtH5MX97RphmOGGghVR40GBI/pb4FIhG1BF52DawCdIdqBi1TtHG73rmCyw/UzFuypQJ/Vft
fOIJxVUa5+MmKZ6TSUGELMYtZ5BDXY9sDcxXFUSchuK0ooNuw9YBC0kBinXofXIgD0f0zwjDUHtb
FmS+LA4aI12o6xhMHUcyO7mwUzzasUGiQTe82c50C9j4SmAv3ku3ZaM3oOJxIlch8kBBjdLOEi5m
ZaO6XYq0uFQtBlafHJVvjg/eQD+akzlfqs7GU+MZj2ZbeofJHtpVWTvR7Zjh+EyEfy+XtN+EiLBV
Ms8bUSX3GSMxXVRcTFhZ9P+Rk/vCuqegAqo7IzSHrWnBAAZnV4G7G4I1/QlQuRncHz2FvjNcMd7m
lDwP965nP4qR78c083Y1mNUbtYrfC7aZeQ4fmM1yg2yd6VBX0ftY+6S92yrdGpX5FXT+V6BwUBYY
u0MftCcdglB2qVFtWwBzS7QOU1jiFV4fTPR6QPjY02W97dVdYl63QBgdpncA3bpNHUenArAqdy6g
DfUHkDDaxqjGjLjKxb4bbtzR/kk4ueUl3K0OvCG2fEb00CulXLlm8mJMjKRUTwVbnd2EJLdMD/Rq
Uwzj2uyjO1+KG9nFv6KenL+6FktODIU2LRl4A5EvBpVmb696N7tJRqajOsRaRqTkcAqh9biq3dYd
iFzh0rDCbObYuwmzPts/T+GH44i7PgtT5HL+VNPYnUecWVPBlbPnakFFSonqSWxbePaTHz9Usu2o
MU3zXRJEX0XG5/a4WYTFlFwTlKT8sHgf6Lvcj9gj3dn2cS7lN+4IblG6/oYH5bGS4WMz3OJ14WKk
lWGglBV3fbao17KITwy9lnOFyQgi3cAlcal/GsvmN0HV3nGwIgJ6ibs02ovWA86ddtjUKHT2e3jv
MWa5atGp2PQQFF24zlPFqRsu4bmDoLhmjs+T4ibXtgh2cgpvJ0QMwkQ9TvqfXK7zHixeOvK6sbp/
JEVzW4zTnTNEVBjXLUx5ev5qBs8J8YudRLDbZNR7ByYzKXBzT2PFNbRjqxylvjjUs3E0xoFoBniL
pmOCEZG0XRG3eO4C9cR7/FLEC7HRub30E8cko/XemDmB/Es1a3UgBtAMvdiYI4cGIoa7cvEfQT0w
SUkYu+ZqYgyCwyxOD2bQjQeqlZkMOdbXOFoE5jp/u3jfgPqxZRjEUIg215vIbQc+o3tvWsUjoXeC
mCq69+yHpkCdGqbtWNWv0rLhxhFMnIeDCqen1J/0pQ/prXmbS/BH1DD8gL69FcL7ijsIroomcu4K
80opgPhwwQJio8uzbOQepCIqfgBSbhqcq9ZnUpfHec2t08Zs0fBvozT+nV283KRYzvh1gm9LdMeB
wqNVa+Z3S4SUTqPqqlrkc4I4sI5z8nF1aLzZKRB6rrrMoZqeV8JRV8L+xMM18LzhBoq87Dh2w81U
e/pyPnxZJgXRfQvIVBoNg2bUfxR1m6aP6caMBCps3NzJZLoNSm/rNMD7rO5OWTsXTgwnRYArsw7T
JcOr7PAxuOvOtcNVra5G7oUHFK2D41TfLjCDUFbvSkWHoSEwKWMADYVy36ys6tbcjXumQj4WpglZ
KTKsT6dgHOq2t60H7cTxMQ6zSEQF1P+qxk+DE2fqAjLIrJXU8WBVsLsIzCzF4/kY0nBpBvveyd0z
fHf8Sx5pVGdyzmT4dl7oPQC2A0CwdhecJqD7ghgO3HdRkIRNXapza+o+MlwxnnFT65iNS/Z9O4fl
xTSN7ErmDmt36x6tmL+v37mEyMg8embCB66+6mr+WKzoO3II86XTfY7/H/sIHsu+mDZEzJeklOcx
fZrIyGL4/WodustbgyYsn5ly0jQNkF2He2HzXQcwBUIzbbZ0nxLLQimrDPITZu4fyaG+96Hk5RrL
fkuEirwS7UKQr22M5s9V0o4bc2JLBLT4ijX0NSojZqtQlL2BRveRLhXuyMS+CwW2RUOXp/bgMv+g
rEGGa9qAvw3yMI+xRjVzisZPEfMqFkawXSac+3SiJyiVhB7LJXuc/XnTRLVHU1v83aRgqBxcM0VO
7CqJM3wpGfJ5Ps9HZ5hMthLvuqmSdzkwQSOQw6RX2vdxOh5NgzE8gZWrvqa7JZkYicb8CjaLataT
OAqz4lGafk0Bd3POFvc9GRjRZPopmtzxYDmZ2HDNw1ZRBQGN99Sf1HZ2xVXumEbtHWWPER6ZZ2EO
v7IiZU5EPPV6SPOt6dhneMWX1C2rU5X4SNd9dGbweG93fXdVULMZJzkzy9RR3E+WV5OPlFIUlMY4
UMj+CHzN2aWZzB+ZqwMp/TvXupK4TPAV0h8sH6ReDiqXXmBABeRoxltoEtd+X9yF01qWcAULD2HQ
9HihAiVf46G/RtX8JL/ZhDWqTQGifsp+ofIWmG2KbJep4UHllzCCxcpyi92kPFbC/1U0ziGpjR8/
s29wwTKhFdY+CYy3qCQg7LjH3gMmVCzlxp0DPH7KO/klgM6c97a2y4+BgoFVmX5olxlEMTmY70oa
bwkXDR3q+/L99DkKpXuhjnTt7L2SnH1nMrY0BuLPMxztEtv40h3m2vN3AhML+qj/wrhjw0K+myND
p4eNG9zbcBMmuN9zx2ZWgYsmx0wHaptNuyruqNmdJIhJrC/KRoeLk44/C2ksbIBkhoZPqBUMqO2O
zqF62S3WXJ0mn8NPWxi0PJM62cyGfCihKEbDCJUDvtGOSeg+y6hVTsisIzIwS9YPYRrJrXVv+JCn
etQYTlaUdKa8/P3M1jKQ34PkvMLJyq9Ar9XIGHBLT9c9IbddDrFvW5U02dvp9ARIh6rYquSqPqBl
xfKBgDtW9Tsmc8Z28Sv4N4LRkMWIL32QFVBvhnf+8Ok2RHP6jnOAzdEYT/ItBNPPydRjYonKpodJ
MM8GggADACRKD3y6ZYgAyInCBFXvSsj+EskPMyaJTws4qPkVYso5ibGIqPAm9sURT63cwOMunulg
v1HciopIT0y7fQEpyFLzYwK1xLIew7K40NuGEuvkL95YPnONe/RheiZReVl63jGJJICPj6+5St2X
kp86xNYtvon7IvNOTcWDbAac5ps5uK2F8ZykjNX7lrs940XcREDb4wK6c5KHEHgJITsNJL0xviZw
/0m3MNOrRJztDK543qCEIHdir/xdXUxRBvuDI19ddS868dEnNGKZFFv2gtqgrNDnVwrZVYA5zRpP
PXjyzv9V2d216ps9sFIXDZhoEGs05k3+3CxZoVk+5rQ9r6mFKxmn9LZzosqV8Cn/I29x+qIZHRpk
V6z624wBVhg11wNIuVq6J8tIONK+c/H2V9xQfgkYYKXHoia3tTNzhvEI5uw5AT8NPVw1D2RIK0hp
mEyXKVnZO3p+3AvvbHRYBMmQ05d+oA8l2yyMYuPF/el0arbETorwzgzuoygYmPdIFYRiPUaEtb/2
5mLeprx9+pCdCZ/2s/ot87gL+RN6f//kdzFViA6oLxtjKIzyGghxKX/MigSMa1HzZppPi9RzyaV6
9vgLqYXQhF14h0Jo20KZP/dDfw7d5QMcS7PrJm4ni9GdUigjGyjDu7lATBDkRVz/KGex1VbMwHZP
CLLscwCc2LFeKnjk9tgDsOc/c0yvMCm4CQMG9T+w1wljRIMD7N6hWMwABKf1w7ZiycX87EAOyTE2
I3ZUg7p4DoazWlbPQXSd5uDnAcjOK+oCj1C8bz1mmZFDe1gbQmsFO/vqmvJHgKhvTTixKW3rKxMK
G5laSiCq/DlRb0UR6o02/+lM1Nrac7inkRZphkeBH2XlsySsrZFZYh6EwQYeQp5GzVpwJt4YHE8m
CLqNbKEPJMPtqOX1kkNNQDNB1dWaBUIWkoE2Bdaze/KrrNq2pBdQlLu7vB9+6pLKAytq3kcjrU54
zQcuff2uH5uXxjW3Ya31LxB4K2zQ7JVos/6YAKBLnWfJCRH+x5nhMp3pk0TQycM7lLfDQgOKmQzf
QTL/0ICGikcBi5qMRx/qPO5C1CwwjnsvqN88g0t6aEElsZeDLcRyXU/9vMPUtvb0L6PaHzGzZOZj
yQDVIhXUlNBiO74PGGxXKLvFySnZeeda48sZjprendlhNqQVYrT607QgI/vZ0+DnLIUobkVwVIN7
ZzbiNaEjk0sgIZZC3VmNtSnC4KpwvDu8Aj9CFzctFDCtHKF/dtwerWHZt9kbo1kWn4p+sSjoX7FJ
bD17oDK8+rSd4CLa7tWzm7PTRJeOS4KfXBuRd6xgoIvx22zbt3Qut4ksntPII/Ce9thA6O1YCZLx
c71dZnKS4/K7kcZCe4u2oey3cT1/9SZPCt6dS0rqlbNg/kPdIJ9f/mDF2bgt7qEg+WF6xmA6iB9L
Zbw2C0yotjpbC79CkvrHJTEfR4j38HqP0xjy7pQ/Lt0iPmaHpQWLpImLNnUJPhat0Xuf/J7Tw7D3
nPoHy/Fnn3evswof7Z7UPC1BJq7+1eTxI4OEk2VTvGJ1TtetywLbepiw/LKgv8ZfN2BTuR3/TIV7
FxTDK8ODV6atTh4wgJEZ9Uvz3eLSKDrbmN6zSCKTp+SqEhhHGEsp5HFCxOTgUswAYUf7qXBznKbI
LBz2Pxd/usYSyTsaVGdR4FdH8eb9eSXudZcN2aGW2rdpm/rm/vr751jG8OpU/EDCCpjxBAurqLBY
1zfsAZuyzH782HhspMiR1bOfyd16w/DKzZtvlwLHSmWf0RyhKvre3bhMEL+GHR7Ms02PbBFmn0nq
/A7+XxJs11ZQn6Tkz5ea2U/uVZ+F/H/cnddu7Eq2Zb+IBbqgeU3vZTJlXwiZLdqg91/fI7S70IWD
2924rxconDpV20hikoxl5hyT4bjn7KpIx9dbW1ATKiK566Z77nJk0l7ClifbJLTh65wZMXSo+eg3
LVE8c/QCScjEuIUKNkAQBGkxircVxWA0Vfcz3A8glOkx0Bk6M5RicJRpR1ev+hctqzG428j/tJ7k
FBvJBlNmZyFMDlFOJ60LP4jJtIkYQVVc9pa1zGut31cWJjqLFxcKjodU9MGmYabi4rB6j+E7mx0n
wkRr3lsJHWQFqNolGrzKjfuky7M1lAwS76zmrLXRHa3fl83nsxZs8DtPsMCVEzEyrLtKydRuerDm
l8htk7uKrhcWOaiDbSB8yRgvYbcscvwFot/ULKatuu/30tLRRdr6NXPltEFs+BKnyJso98dN1eHK
9rWtUEbuqhteaq150zJwC9ZsEdfLu1UMmbyGGmjM3hjPuXEom3gzzKLdcKyplCvru5l5jDqRPbCl
22HEj+kH/XnVW2a6EjO9UO9nnOIl9bfBrn9d53ly6PT4pbfiIxVdvxNmPK/dhMFRkCmaFZQCguQU
Bx/uajtKBlMEL7Vup3PVuh7xV52u+qBi1j6g8/Aao6MwDwg5DcjiI+1pYQegOlFXPw4FNnRpu3LT
l8WlSYz5kWyh+xo1qzTthHXpcKU15kJMz1PfldfSQZw9dW8x9r1TOMTPiLbakYHDmFMM1eM1LDj7
nSq46gLhmGF+xCMyhxQIgdV/VMoRMAVGfupee0PfF/AGKN+pC7yWjUrjTbwK4iY9FT1WIXQFJO9l
WPejss82spr+gGBfkQlpnbpGA2ZWvxs+rH2QPLBhyM9b9EbwDUi/OQ4JV8qfO5utHb7JWM+zk4GS
/e8/uMRQFEg+CyfiyDoZfhUetasJOcPK/QzdZUQkJSx2zaaTi+FI7/JqmZYkhPq5E7Gjq3dz2VwH
s5TLGj3UAnz6S1WbG69h1ops5IMcJ8TrJjQegghCl2S8iRlOT1pWJoPPoYyUHClfA7D1qIB7WmIc
wWwDUTgnNvizFoZMGqKGwdTL8d0xETTMrayw3nRVuzSqvNqMkr6waaI7J8zBeSkXclZdjz4humin
cn/DzTPMVrov2/5idsi83YpeQFafkPuMvPu0ICoE4P5OaTB8TI7DUAEbojY8hWZSgBgaPsYZy0mx
Io4OVSVpZny00Fj4JuaBdZtdoGMom0/JBls6qMEsl1eqWw3bjvqQOFi3ZliafxRDs+10XqLG5DvL
EcbhcpTiPVARC3o7mKD4pv2Q2AcPtSOxApl5QdZ4bEqYfVypfG3FyVtoU+th1f5jpXgOCrhzcaz3
KOeEpDuYHxEv4lgdyyNstyPbh1vqVuEhxoK3ZP0XT8CyMtO7F4DWjkGZHy35Z7a0I/GGKF3IT2D1
czDq8iUp04/JnuR2KPFcDBXerRBS9GAPT2lO0aQPFLNkuDy6urUwEtZ4AULwZeEN4wHvBu/I6SnV
4j9TzlEUmGQhtcaetHo094r8C2Io0vSDaCR9heZnsJQMb1sQrraAjcI4IONxc/DmLklXwcYO+8rz
PNAVUbESkY0RgiNeY+F3dOMcVUeNUJxxpmsQeWRNO1Bs2krT/W9PD97GhI8jgjvCsUy8LrI6CZpg
YyfvDD7qlYQaA4vuXHkIu8C9rTXfukGt8zZh3B2cySEsWTrrzJ2eqIzyXePWt4aQW5AyHpoMzzuw
832fq+xlNBAyWtY8rdoSW5+d1hePx94uFWUNW4FlM1Zi/F+xfsjXeSs0dI5uu/Hi5tkJ+dzwafG7
SFiBKIpW9QWt2apwapdxknbFiLtwC/lROgjyiWqlOYzZ43YOZ97e5anreI2m2rCPI/xMTSNx40zz
GcDQQ1TgAkI1OEomGa7hIsNoh2nJOp6TzYY70gQ5g8u+Lz8r1KFT/NrqNR5uj7QiDWDJCq0ZD3ec
bXsQo1Ljz6ZYm+gieZX69L6BEVMAeDHB8qG3cgG5Q5kfkQfN2Gzigdg3PfEJLXRteBYj0azsN6HD
OIy0JWwA+mP+Ri8io32yHrKB8jlxyIktuheJpqkgP/exLrLdIAj1oN+SSxbDFF8W4uTB30eN1sLQ
q9Jtl73TgRG9FphvobAkBB4TuBSPs1NPxm4eGAs0iWfBEmTIRDGza/viDDWdi2nDMvBcVD9U2NxI
ACFTkLYe8ikKwz5mki9RAQhzCTMSeRqJa62U07KQvQFRD3MNA3oPAtp6KvibXJdrEJIjvJgN8ah1
+bdfc1oBs8gJqWCrxEuBeCJoYzPjpnb8kkE27nwWFKgh0DQ19ovrewMtS4cMA1j+EsUKZiZZFcuW
iazEarcanJqJuMi/Ems+6RXZZf0AQAXjzrqLo2rpIV1nfdDl59SFUmlNSJkE4q9a18NVP1h0H3Bs
Op80wqxcsHh8mE2t+EBqzMbswSdM48HJLJiPGe6N1DuBFVgWusJ0C1D8QV79YJabl4IfiXN4lkcJ
2J4lArxBX/sIO73ACs+Y2Pd7ONkIWaGJzUcRBo/4an6dVNAn4TBb+AtY3gUweoTBUYyRZ6p9jmPd
PUAAhFjFemX2024/TJwR0eBAbVUv+jkn5k1+jk7rr4OU7DWR6EibSeKSWuBfybx4ko3ZbScdtSa4
yMlIagb3KRqF3vROXUDDzLkPmbS+aZZ7NJzQYZrL0iXBK7MrpnnJfeMdyOppcOlM9GfFQ1lFDgB9
nT1Ka76j3UKM9Oh1mrahWBCbntVP3Tt/us7SESfQEUTSvvcmPDUMQfclh2pt0TWVrl8f51IurJZy
0gjFuI/jdNtP0x/DxkE1O9y1tOCa1ownP5+OEsXKuuqnta0cQn0vmrVELNQaWXWYeuPiNyVhyH1+
syrnbFkeqrCBYGESw9Ml87o9PByxjrWJbVWKXl2fqkPYWo8IoEZAqCLdwNAkQdI9VjbnsgFV08kt
5gC25FEYIYTwbt/Z/fCpdxLIWlkUJz55+EoMbzIkdis8Jqs15Mf5NEdgeFJpbSgooZaRl0XzaO3m
pyxnNins8Rroibcd088I2MFd79SXOv0as+G+JZH4VDpYkaQ9H6wAAa/pacEmtscDLKNuQ++LOAas
TwIIgW7vbShQ4BCwMy1acgmxWjo/bDcFO+bozhZjsHVaRj9+bTxpiX9OE3k26ER3uKA1ZHXeQ6iV
5ziJazBN7rDMdOO5V0ntE/4NdIJ/uriREBmYEepYvubmLRIB7FbLH9Z9/Z6nNWUKlIfZ4RaOs2hY
+kZBiWF7KKGRsjgzobS2/6ajRF+b1XRrPOwleYt/JM2pqANOCrrZk0kzvBuYsJSFxyo9FMVOWvMt
CCP9NJEKPhHZ2iJ+isoab2i+MuyQJODQyDf4ApdoyOJLO4UXW2Z/7BykOjK1d61QoBcGniLX/J1j
hrfZh5JVgSZcRaipKRzWFWWzOa4GzPSbcMixG3XuwnAbfSvibWMG3qHkrsrI4TpOkOnbSLX5SrTH
AB4eru8SN/nIkAoH0DZ1teQRSum7n5KW4M0VlLlUX+W9nFcQl9FOV8kp6Q7KLb6xxp8sxWdtdlc9
RP9TcTvjmKc90a3wgaAQSK13mZagS8Jbo4OIXRg4I1eIE4KNbB5LL58uVLtsuAIAUkMVbHSMRkFn
5DvCXhl01c7OJltiaqAvWRL3YWcxZ6jdZO10sj95ujEuR0dbF4lOQuVEc4QbudM2k9Tk2tTQUkUj
a2jax5Hw8mHuP12y6xFmtwUUl+ns9KW+jTdKVVzaU3yIs/bI/cbH08/Zxj24mg6NazKZhvZD/1dT
9D9VNWN4joCA8H9XzZwAq9f/CNr5+2f+imYM/V9Ik9DG2Iat/yIk/kpm3H/ZniBkR3i2oZLdkMX8
Gzth/8txHUsHRQE7HYY0X//fihnrXy58bYIgGI/+/up/SzEjvP9CMSNM0npMz9U9R/f+AXvQpKGD
m04xBrTZj1VaD33ks22pXiV+TjOWUJVTCAjunczsbajqUasKYiLoTk7h38lRyfgm5vEpauspxsts
dzBcwoD+vGS+0mbQsjt7o4vmPnZZ+SlE1O/cSLc8qD/2onbkh8loB69bznwm/Wm9cNf1AmSt9aA5
jYnTm0lXUDkbRjGfAOc+Afuiqa7Cp9SyF5UXX2cb9ePvPMfGQJVM9qYc3Q+2mNzQSCttD7fcc5kV
zUpBKYYgO7eNOAdtwqBGu+WOf7MDNbCJxY3IeggWeJdKn0Mzw8k0owlhGUW7r0Y/QIKWjVs+dsI4
yqC9S21+qFKyWdLhVxRuf0b+/EOA163S7IepBYLYkfVaNVuzNd4x+aUTQ6SSL0kNfAEOvLNNsfEt
jktgdVzHLEUFiGAETS1VqABgg2dobD3er2qMBT8w1MHRZA7/wzH46WQa4tQdMMB7JwW2Ro90lCXf
FSLHJ1oLoqH5y9WkKgz40o4NR8CgEdbs7Sz4KK2Si/f7kcxcNKMKtnauPZemkvoz4hqi7xjyD3Mv
8XfeZQ3y0+jEvstwA8cNexJw5te5x9ui+ROzCb4nP2pfswSPOFeMEmftO03NGyoqlnR6l6kB5mEk
06uZxtnaSVKwJyx0u0Se2oqxIUBJuMoBqSQ6R1Ojw3KTqf3Ca/mOuvWRyeKtz2DuAZnLGAtKxk78
YExfdqOe33QyC7NazhvUqyzi2MBrrfnhYwRbVy5fSrOoFbq8a1nsUXBnGDRx+n6boUFlaWC+DeNh
LVIlr2f+nXQUyhY6hbTka4ROSQjbhBe6qIeLZhpLNpk9gbTEWOA8W4xR9JML6I0ubkzIuKREMcok
r5bgUgaUyExuVU6krTo7qzHlasXp5+9Y0XOrH3Is+JR1DxAk1nB0bJeobV7L0n+2fFV7sKkbR3M9
RRIoV1ESSD/XgLISnJ0RSjfclvgaufqNxMQ8Wi6sX2JCg1MwVF997N9E8Waa5bgCQSSZoi4LQgsW
ZT3+IZoeFEcB2LhqX53Uv+eBKysd4wZHiXri2o6VY+Zgv4pyCv/mLRwRC2vBfja5g35v/wYjV8DN
TULLphkMZLKjD7mAipucRawNXOXfe1a9Y4q0OTdyPkdGd0Axu5UNt6s75j81VGQndS8JcKxFykG5
IDDpAWO300SIHwrxoHVc0ZmkSZ7efa37Nw0WwoLcyncp+Wm43xnoX9Ja7n8/wmHmAVR/h/qtFpaa
ldmEP4Vm7PwM20ScN6+/SKuSJnPpDSwDA3lyMzYAekdwE6Lhpduw9yjjC2kDAFg9PoVe6A8McciR
NHliddd6GGZ3z3v005fzK5P2tcLs+TWu5szo3qfGuWsc7dJnkLgAPx7MaDm+WaDXMyDnbi4QnLsP
YcHAh559n9CNMq4/D4T64sxI10OMu6IwHuonxhMvoH9MgA/Jjx80r1X50qmyR8LRhpnANSbMkm8p
V/eKq93UZ5e66Md/P2oDAQ/Dj6eov81qW+SMLUKd6Oiy8UjsutyYzX3pWD4UZEx+Tq4tA737YqVg
Lm3KhMUUGivklFyA0oZxhosh9zGeDal+tmNIWkp1ziQbNkLGtFuwZQEQ/FkL+yGK0pK+Gm6tTqwC
5gekHj9lwfcbl8xme3kYNO9WJ85tmlm65KJXVAbzgZQqvhH4hSEnLiIljBDMZWFQsFBR79DOQ7YU
cEDx76mIP3PeObZXvqprI6gFF33m3xKkSQme2Hy4Rbr8UVuClPnPesBljiasP4kSigaWBNuuyRnj
ZsR3fNOFhxXY5T6kK0VoBx6i0WgOzLThWxLdl9sCbWBaqIUcHQKMM8+dPHmxqMHeZruy5qdzS/7v
0PJ+ElNfD9YAnlxe06HREcwg5tC8/IyInmw4D0k4V1gbtT9eW76GJXe5pzkXvYVDasz9sh1s9pPs
CFvwAVkR/xRgqgGS83rvtWmRh3hQmYqtjBFzRGQHN1b16zJP7ms3+jSNsaV/4l5QexO6DxYfGQUh
LqtVhhHLcosNDUVNajmKdBy9AJnjOwaonBsJrzXDKncJovbMmZGJppO5HIv2rjewh8RMYVahsB9r
M9lPamOmnrQWBKJh4dWqop/W5DOUmcYsEt9pIi+xz1qlmqYTV5CkzsAkFKFhfzTBqmanEX56fC4Y
GZFGusvfT+D3V9yk93FsGju+z85KDgkjJodme1lOlBQaYgw6hAyUq9oEqodRsfF+b9d8cm6p+ZED
ukDvUr5qg3Mxon5VO8abnUd7Yv3WlOpfE9j6vx+nayafv195LNNbFOa7IDa3sR7saQAudsudMYYM
uIWGiyD8cq9ugDWoYgrT1+sgFsiEIE6S5OBQSGDe4qMHKdmYcBnNE/X+LvPs+1I/C+K7Zqta2Qa3
nNBPdWkjPsyfNeYs0xjgTJquWlz8kc2lcYyda9Rrdef/Gig8cQht/6WH9tAZyV2qrCeESKMcoEPP
Gq51kqkf04UBypKiwWEbfjfmAz7zda/LHUYlvnaOBM3b2655HrBF15JwbVq/XsiVzVI9yB2AHPrG
R7kIXfwwwogc2QRFECwBN1vILjARmSPnCVKLykh2MXrTadZByYAo17rtyBFZkl5YkRiMnHyFG2gd
MU9Li0Pi+iuBn3QwykfbxCw+WAdFrHXafFVM2MspHceRYABCe8qp3frS/P31SX/nP0EdblQ2YcZT
oxuYbVIm+Q09nLcny4v1Frnm2YfAI2NGFtt6prdkoUjMX0IzDvxOHPgQ8Fk5sPQMVa+eYe18i3Sc
lEycoB2sKtaCBREQsLqWON+wQ78PDPCaljV20a3di3eeSW0vXA1dDL91QF3Eir0XBIgU5MKg4BVl
swVha2fTLpTAUwP5UNQ80eC4Yq99ZEm5ro10pzIFx8I8iYQsBx+ZoDZdMXw9piUKj1FlTnFVK3fP
Xwt220Rlox+DRlurywdNvzKDbW9N1zC5WkP8VnUbH32WWWNpnpttEQmCWrJdBtt30Ku1J4I1i5Wj
KFFMxOax99x9NgLGR6liBcHOcNhJT9wQs3Umt+mEUHbNwhvpwLdvHrFWL3ukUCLaQ1Db9Jr5RaQy
G3xz1Wr6pvUtVj7kkpuMtwIORVtcpq4CKemcswK8PGQK4T4CcDw2s7+nf911rYbbvN4Kr9n2+Gv7
eBtV4hwm4ZYYLnVpJpI/5GBfIkdjEGofRJg+hMI84ts5xSzxuFq9S58Rmmcnc3GYJw/EXXw27gMo
8GohU8jZHqRgHOKWS1p0nOtXZwhnaDnFY2LwNuTzHBZx/Tx55UedMzI2cJNReaYTW5Sa2AYPEYop
HmWQMnCspzXzg3MROB3shHTLRG9pFt0OK8E1neFRwLj9zVF4bgWSR53HnNijnqgVe7hLh/kHcyu7
ogUUOUsZD6NtNlkHI5OM+dow5RHkFguZ5Uoi8BD40qZzGFNZd+tAsgFvfUaBYYCeZT658cQLu1Py
BlTUSUhORMULsmYou+rF64TcOPnyfDhiiM231BascGlqCJJjK6smbgWFFZS+O9swnoeQKTsGNhqx
FGmxoyfbKfOBr7r6PgjcW14Xzioy0n0ryOwanbsYLQ7FC+sHx21WLHDgsBBoSvGLZoCJBTIVl6F5
EgeSRU2nkDvmOnbmlTHIS9bJF450Jbkqt4PBqYyfD+HwT6njaAO4B5LHR6FOmvuuLdFBkzF3w3JI
BixDcKDAxtXthuo0MuVlUGHepZmg/xzC+8SgWmjLl9RxEB9INkhVRQsTsPa95024z0m3dDAwrMSQ
J4xqnNewj0/EqXQHwqWcpTMNlzQDVkxVDtKkxYZerue+e7OKZtxAJl4VQUh4ABPkAn8yWQrZY6RR
N1gv9BRiaffhyzRjChySCYCDzoJ43tZe01xL3Qzxtuf0shE9t1sfMC9TumoEidv1zsDLNeoBvuX2
BY2odiQ4eYVn51jYQGgdvBET+lZOu+JgZsW97ViHVOfjNO2aVBdhvrgluXS5Ue6d3DuHAVK2rhII
7pTg0XY8jPoXG2vywjQp6K0SPWguCVmfkHuu3Nd2JkJMq9zvUaNSRpL/7MysywvnzUvaizO1HsVY
bLDzy5gpBpeCuEjdjmjPPMm0qhT70UBoPpvbvOy6VSyKfYuKkmae9pCHM4Lo7YPsAHwarHDK2dwn
bH4FsslJyUiKmYFtgNSvRarY9xFZucTRYtYcligbv0Up9YWpvAlOWSJx4LmIp+4zn/x9a80j/Uzs
QqszaL3FTCa5+dOgtcezynphauXb0vCxPYdKrZl2xGt0WGqNHla6HHZDznrXi6FI5xx2eeLHPG/M
6E0PKWQTQ8y2oq8QWdJT0TVPY2hs9dZ/LsgkWLoOwWqNzlKlttlgF29JZR6MgldA6vrl2g7e7QlN
qXJWQKQwP+2sipZWOKxQobApcsAwFibRYnTQ5S41QAezMLl4SkTtoKZGlvWq45ZVRU+/8q5mMgn4
mcHIkcDeISG6fu3ZZbFCtPRuKsF2jnLbUhLuEi23/yvqdpkCsxn71tClRkr47aIAr5QUvFKi8AJ1
ODaHk4tAiCzBU5Id6CaGlc7azwqtgAyHR9aPiLnQmxfozu2g+MJDQu3FaaWE6aaSqNdKrN6jWk8N
pNAzOnahBO2Fkrbzde7jbM/ichcr6XtasKf8Q8IZHgmbe9ouzxKlvCgY14gr0pXNEBXWCVXxidvY
XqaRY50aF7l9jO4+VwJ8AyX+qCT50N0Q3kKFX2iJ2eGXZ83L3Oo2ouUH2OxsC3FnB3eUqP0SoMRn
3tVE9daIQOD/oOhXou5ssN96ZRbolG1gSLydHiTv4YCIFV9Bh79gUEaDhMWzC64XQWkQtUu97V8L
E7WyUl9ayqrQG5syfEhqBi8eToYu6u8nXz6kVtawEe3vqpQuKK5TokjxQdTKEEHJzo7brL5alzSB
AddEgHvC5Idd+MpQUZufPf4K99dooSwXXVayzsKFIVMez7BKYtgd3XOGU0NXlo0K7wZWB5oV3BwD
mopY2TscZfTocHz4yvpBOYXGXtlB2lZR+Jln0ToGIOHCeN3jHhlxkdD1uIz0UdsIPt5RWU3MBBBQ
jfsElcy9gRuFsCa+kJe94coIlV0l1HsWRu0Oy/JZuiQp4Wup8LcUBUoH81rhekFPAzEbH4zWm4+l
UqnnyiJTKrPMLEmuyqtvOkqHkCkGNtH8ZeZoZ/FNQAchw6Mkw6Svhg0IiwzKRoxdF3+Ok6J5kCmy
BodFNWUaJh5l5xE5suPaMd88A4N+i+cnU+afARdQgxsIysVzoOxBdMDJSotyBIg0hJVdavuhw07U
m/kKVg7en2548pTlaOpQJSURFFayGDeNMiahhF+VPd3VnLpPadc/MFO59zzAGMrUlMextrYom749
i5XypMxP5ujc44TadLiibLbZOCbYw4Y5limUG2jPU2xUXbTLla1Kw18Va4Jjy2ap3eG9mjJWEJqy
Y0G1SXBngX5tNgVpX0QopD+aQXZTl7g9uHZ9PonRO8zPBstIX5m+ppwnXy/meVG29zm+MGZsNynE
qrABboXsn/gXZ9HhJWuUqSw3oveo6Feuspv1ynjWUDCFmfsFeS7edAmwmWm6ktnwVLmdUjmzmZ84
JydlaKvt7GjgjJEWkIUUm9UqQW3rtx/EAp5qZYoj82rPi5up51/DHBV8YfCTlBH6nXmIN6EgTqjx
wjsDx52vrHeBRy8a1sj3lC2vwJ/nsdfGrQdi9s6rXEwRGHsMZejzcfZhmbwLS/sxnJSytAyeqeu6
xcAy2BTJIzqrY4xLUOOvsg0KNGUfNJSRMMNR2OIsdPOPYORdkeA4dGvvQAlfr3wosbss2YfVuR4e
sODl68AW8IWwLqYez5HnM59m8IcC4h4Qxp8pRjHjOt2rUAZI6gesqc5XgDPSUxbJ2deHlas77/jG
AWaU87yMW+fas033cVh2OC3TjpFDDFpgCfn5Rr/5WNFAbVrlz2QHqOyaPGfkKCoL51wRgMkdi7c8
YN6Z4/QcleWzrK0XU5lAf/8R4QtFX13iEs2UXdRD7ihbPqpB2o+DspRKZS6dlM00bX17ZzPZwzAD
Eg0vqqNMqcofoiubKnL3s+WZyYXAunuQAogplakVYI+1apTRtcPxSvIlIl4ssKhGjxae2FDpnC1l
k6316mYp46ymLLTANlAIggFlwBUgNrDtYUu2LGYs76PoOBLh6S8I82rW4EUJxcCpWyrLrotFhLCO
bYSXl1hxwmIw92rJc5xjVRLK9iutz8L4Kr0lb9IOHNtqMkGQGcxNiQB3+cIIX1K1+6rVFqwS+rNB
0yByBkD6ALatD0z7ZIfxs+/0BSoQc+P7oJdqA1BX3RcPY9ufoW8kT2V0TsvYXFq1F51lEPmrMMov
REVA0Rrv2jyPN1qDDtBuRYWQ2tV2Ws+eYIbMfMXfvwz5wwtfTYMKqazvKOAaaPoZYRmXsIaEM+rl
oxXi2dWRsibAkI/MZu4NQ+WhWZQyWu++kSVTbWSIOLb1lSi3ODlG6Z2R4UKXnvqLVnZqmsDSE/kc
QCjvT8WpqoZofH/4IxhIlmP9LeIPNdBXUlg1TApKcQB2sRQVSimPqM8FlpLF2GWnRLV/kvkqeScj
FATkelnPEM2NLqijAGepCUoh5oXuZbBnHeMBYf9bjAzk/wMN+CfIWycmTXcBlLpwzNko/QPk3Qbe
pBN8r0BKFmR9Trw4Ym2aG4SgwO2IzL8BuP9jd5u+of+/mfqF/Pyov/+x3fz7p/73dhN6vkn0pW9B
w7e4xiwQ/+43vX/Z7DwVLADUjuV5Dh/Ovxec4AIsfB++cC3ftUEA/J8Fp9p9egQpG5Zpmeqv/m8t
OJXh/z+gEbrB13Fs4fP5e5AJ/nkDFEJC2yOnmr0Zc+1UvMFNhUoXDpBAQ4ry3um6Hd5mOGthv7ig
uA3/NBUi9v/YCP8XTH3zL7z9P74Tk+2qIVyTQGzdV3x3FVb9H3D3EHl+VTJVWMyTTTbYNBs4Ypz7
YdJhNnl6sbZNJhJhEB6wDekZBS3q6aNe6Q9VW+31DhdHlSkmQWur2TKMcJ6YSGUnMVnixeB/97X2
ycHFJswFYOLmbnZH+7kjDLbGx4+3wUBlrbPMdLX81EayPfRRfd+Y9rftda8DdSKBIfhh4A6XqDTY
gQ0GzRxFUe8YX2MyP5bDuPbrbTtj+bL7nCk2jcmyzSz7Mk8/cZnt00k8hQ5aQH0Wa+UtGArmGWG0
00Fyzbo8RLnzHoQdPNZgoIMObo3OBaitYWsVRGIEWXcx8/IZmMxNmfsZ0+5Sn99h5CU6MXnsEObS
8/DRYSRFGlVhbp6QS8tivlYmZEqmfBwt9V3tMRXP80sdqs4ZY8m2cY+NnXzmJbbsGZVqtfVTsMkZ
8g4j1nesYTOnoxtwqbsbxnTEGnj8nPIn6rZ+DJkMI12h3OBgvrCcjll8GzVOJU0EW4JEbkEZQUZ1
umsYzaAE+pKOTCMllu4yLqjT4zwlD5hFZtC2B7v9MZVX14vmdEnEtLcubZe5TUB5aMXlu6z7axIG
x2RGN9nBp6kDDVcDI0/SUZ7DqqdCqlHvg3oCmwZlQJfnflZmnDZ9KYX20oyPLY7olU4KVgSXY4Hh
lfdgZTaY2dGbx6Xc6uWx75qb6xItNpJFaAbLyvE2uTADPGkDkmld3ugN+cmZoWWxjEg8fLLYP66z
sQIUTe5NmSkFZW6eWi9atGB+cYScfMg1edN+AOVGYJRaey/r3/QYRClSFYjhfclnbhCyQxxS4wSc
7MI+zrBwzaF29jWYykXdkeE42OM9/kgSqvn5jojUrAWyCAxGQTRsMJ0WOzyq53Zu94WP86DQnSdH
A66ApLg1x3YngdL2+vxYo7lnLyBQWin1b167h3rQWji2rBwI4SnIkYxWepfi2hyHAyt06ivaOsYO
WPQD8toiCcyagxew/CFrre956p+mMPjOUBqj5rs309zasE5E9htn3xw8VC+jvFtZPoujtJ/ZDYf1
uA37+3Qa5g31HRAj0jPjLtw7gsCq3J/v+Jaxw4YmEjcX0HyjCX+tzdP+F8lbYW+mcn32pX/ReIpH
d5pwC/M9JROLjdhx9/zXrFvzNkDRz/zkA60xSHDAeGOO85mnVLbYdpohhqnZsvQoPtyRRflI2FUm
ERQXsVHs2hThrwF+ypgWcXefQHldzB39I9XXmWEP28faPFqIuFhkvQhU+OUYm+soDQOMFd2ViGy4
cDpLB3CRZ/aoXzVSB/US4A3xqlGDLEsLbyD8YgYPfCu4xXZEB5Ig0rDwbcPW3vt0T6suLUkbULmb
ic88Y5q3hot7bYhbfGduuEuiqb9PkqfZZ1Zdh3dk5vnhfOhjctaCJWzj5srEjKTBWfdXkFSvuS2S
nVEjt3CjfgFVio3y7G7C0H31y1mAAxRkhwF4wdq7aLAibS0Irv4EYNVOknNpAGIOm3KbVsEDWVD0
oDWeX2rRnq8y6FayD0T1QUxXuJCGeAGW9TQWsA6jWey8WFILzxH0KzANeM96VGLnLhPDxV2ZLmWY
3y7NsmWNm7Lm0VTAWzgYVzolzq22/JYqiJrhZbCpWRIN7vEbVFu3LkX+J4jmx24kU73Xx3TDlqUv
3z0Z9sf4s47jDEMBb8KqP5Dy62x7yeKNZfMmQqJGYyLvajvKcaSPR02kKr+YCXJPYKct532T+Q/R
OLyEfvnijMz4/cnTmL4l3yOtZgsgY04O9Jb0aFiRKgT/S0iJA+4t1Mb8RHBM8QqFjuHQhopN14UP
jQ2UgpHRmpgDpArO+KG5ELIbQgIRj4aLZv7BrYQ+Uow/lUs2FkGgrCGDp6oySFbU7wJf4qYB6430
dj04zolxMR7BWI6r3NaoRNvwBV30fW9oz3XyLKbxxvR36+jVrmUBrnVjtxLNU24wsQOX6U4mdgEO
RcNZ8iZ/DtglmYm5bSqmBroFlZ9Xw52psc2teveGJOIWuMjUY1v7aHRxjf3YOBAJDnZ/GH7GaCTC
LbgnWZ3BtV5oZ/CscGua7AS8tpBJuy4Iw0hVOCrRYelSzYYbhhwusLPnLJ9ZF9hlj5skfsGeeQxz
bw0X+VV3Bm/7HJmpudJzSOTzxMxUBnhZWQqqRo+4OWe2L46GsZEbrJL/i7szWW5cabfrE+EGeiSm
7EmJEkVR7QShUkno20Sie3qvrN8Ox3WEB556cE7UOdWQRQLIr9l77eE2asp3iOYAy3p7lA1eorRz
92hgAAo3M3nGXNhVEzzhRSzW0ZODemdgELg4allX1vA6eHzBowf8axIzJpjiXTXLcGKXsiZcmydM
OzHDnv3HMScwckwNsMbRvdtJqo8iIniApstxTrYJ5a0Ig2edMBLTsTnlvWNRjrWfEYT2LMBjD+N/
54s82KaeBcJn/DvFJ9jVycWs9kB5EOyU9d/aF2Rb195zBQSZdEQoEou7DQpKI9hl6y4bWZ+lRM2b
L0kxvDR68okQMmFbxdNKEoK9axgfpHZI2hq6dTTA67iXL/GkTbddyrMbcYhlufW2KOeniTXBytNZ
JBW+gtbjHQOwJ5C9AAs0I89PynxNKZMzO8x0MpId76yUizVEXrCeVMdHDei2YWOxHudGJ66zp5DZ
H9OtHnpVH1iA/FqlHa5B4xnrIgljtrfIW+1aljSMd27vIgFrC1gduXFy4mw6JE7PHCrwXkx/SJAp
nJXBS5BVQWBmM6K6JbJxZ+cGkQd4SVjTRmoOHjrTvpOmU+xtzswVC3eO+GDcLrb1+W8igd7NhtYI
VdCPyKwAH3K1IutR1c5PoqEOdfWqLK1/qz6dZdx7ZT2e99bs+jdhplqwIu7sBACHmm/QAFH/BaBV
jHvoGPd96f/VwaG5Mr9YeWqoLzO7VMyQ+NJ+L4r6gfqrzuyPJi0us9d+AMokYZjvjqiBQ4XsbOtK
H702w5wCn8Vck0bjBzW8pBB3+mDvbDLfV2k+HuTs33dJ8DdM7Qp2MYMKlFCrIdn5E/Op2PDRCpjh
ZSlh2ouxxPWlsGLjO2ntFFF/SZ+YM0shle06j5TaqrHVTvnKOLlJ/1pyKDomwjQX4YU966BfWb/i
9tjyAHJR++PzheUytikzySLuNnGacj5PT1U3mWu8MXxj5BmaI4RnrD2d+d3UbA76mkAsBBegYJtH
zlBc301mrqqCO8Jkf8GypILPVFrMAvw837khxSXrbPC27oqrjUN3PmCFTA+hSh4mm0CKwmpRHxRH
hRWAdh/4S5ixrc2ynQ/+diOTo6r4Jnoj59NBOeWbvdpRQ4JQkvEBZEe4VR0jM6tArWaBcwB04E7y
TO/0LVB1tE3dcmq6F1ULXBM61Tvt80+/rU8B49Vd0jrpzu7VoetHGE75b9es59HetbwvDGnJZshb
dmx1yi3PwHf2QwxZFtqYcTdBjPXUA3LpB2BtuBYKdHRAa9s5vlBSPBkJU08CVhjdmekBjPFZDCwX
qPEOGYTcVUHsyoRKc7LuK+Mec9RthKIW1yydsAi8tdl0TNxuHY0+eUPFQ5Rgj/b7kwF11DHHY85J
mKTeYUC3knn5d1K4h/wI+A141BwDA8dfYg1vTSWR9Ff3sz2/c7SU/NDrit/aHq6Z37wtbflJnsc3
1RilKRcDQMQlvLiwiLU7PezUa3QfNuLmmjxAC3KIOU3wbLf7Gs9mMvPfpVf8VhYxa5xaXiCIt41u
TiVuqemz/XcwltaXquAKWEim4bjNvoO5Pad5uC8q7OcN48Zp2o3V3ifhWVku/p0OloZglMYwCVfa
8JHbxr4ruldPeAclys8JfYMbq2uK81nmp2nOdnY4XVneser7Yr9wiuCn6mBk2AJ4HRleb7wCxA6S
zKpyP8sFT842DYdXMSHLXExGrOgZB6e6d9rg1tXlxXCSN1g3hF5t9Kv1Vfo7Ztm3dIxbl6jT4mYP
TYsksGwuCY7lij7Jyx+dgz+Uzz6KMQNkH1UlR6bGEQG9eHcdqkpzYP8c6bAtBzD0cMXFdQpYdsDj
3kSef9Ci3yps9nOt3nIN6fPSh4AjpDWLzzjp9novmbXB3qizB8dCTqjfhG+dXENeTEDsKydoL940
XKupvNR1cylC3a61D1Qu93aoyOca3tSQfkPDfhmT9j6bOdzyHhY173kY32Z2DatcFQ+gEOXqTEYz
t26JvYAiIdJG4nkuHpTkk2DQ50VwQHJSwxN0CMEQ3qyEck7RvPmuPEnerxkXv8l0N1bFJQuwP02h
pmNHmoqd/gbFeNUvNRn8DDFPqSEuAMHGVXQO4Mj9+w3/3k/UaveLMVz7zqDg/rIbsFP8yVM6vimy
oPtUUIxGNtZC2GxITq1suSS8uSxi/OvzflqJGiCf3ngag641WVYP4Gp417CH7nsIJvqiyRKl5akb
zw1voVldXOvQt9Ep5s6qfbiwPJVvlh29Yaf7d7EOcY3TAgO+WZxN4r9KTcI3g+mL1Bp0fC4CFpqf
0Sn5pKfjUi2HKQevYTfepw0pZR3TT49eRaRYo84K6jpzTBi3w+x/Iek70sSEtHa5sXHFSC4Ja3Dk
wfEeLNYph6/HbBKyOwOOjXL+dl7k3RmS6rIb3ps00rN5ctbNLY3oU2/3H4n2TdoSJlqsezkTh+hI
mz7b0tt3wXQtXKzcPD6uhUopz8n/nCMODoEqBHHFhebP0eOLN5Zacm1mkQGKMmdE3HjgKosbnJai
xpPGquizVfVdXMxf8zQ+yAW51egREjnDH4m8rQTItRsbzFWSjte1hcSMLchSXM9Qh0IUl+l4IgBt
2DhQPKEWAZLhFa5eXortCDMf4K9WLvnvPup4dq3L1yJNl1G2t8HVfYgoEyBj6rQ52/tu0+rgjcl8
jGzC+BC7qFUAd2ZJ2INye8S7uacFwgu4t/PuXKuI4+xVp1Nx7jkV+si6IBUdkxGCKWSK65LROtNr
Fjw11XxFBTXVCfrfwPjMxQKIxKK2GBPQu2jVL5kcOH8r/ydu2ll/y0c/7fbS25VExGwAm7OEQR20
rjzGu+RliIPrejtzGYorNux1Z4gfmOzNqbBbNnY0DIYdCMKTfnNr+XJdVCesdo52nGBlZGLUghCU
sYK3ODinyJd/CN0gZRiHNoG9SF6BbNZ8aOs54LianRQvlUw+hc8APbe7oxRJup4TQ21FMLhrqEjq
EobFOcuXQ0Vj1kjkpGM6jKBmWq1PAtKwJIj3SbxEZ1vsZgfbFPm0GC8xUBbLkJ/hSIq7MB3+mCMF
C82Tm7Rk3y3uRRInMvQt3ttSn6lB8jeIh73+p8q6U1BRmvi2K+6IhFunef6N9V2gcmZ/KX1COlIg
SKilHvOWiWHBgV8UD4IkZpLSBHfimF81QpOwLs6qbY+DZZMbkmBp6xIGfMmQAKnvFtqPzMnBIHfk
242GVdxxeZPPU8R3SVzO+Mv7U9dn9TpYmmkrHINksX+Yl6BhE0OnZA4CBmXTnoZlQoyY8ehuW+eH
C42kPbXLEKbJBlI/88GuDeR9VvlP+QI0pCyUeW6tkeQMDvTRNy6Q/NPHFtdlGpL0gD8XbVt0kMP0
FiduzhI8GbZlCFPIsvhBM32F2nKLXLjbp+GPIxWn+0S6HH1ZXwCnT2sEPfSa8ACEdZEhv44ChOg0
9ruNN5ycQJ6THDeepyJoa/VbWnQmdMwe9XKPCobbRESQ7ysBEqJoN8Ji8Sx41DRCwR7HKrQOiI1E
f9OsZj/zthH8rdZSgvgHcsUGnSHF9M7flL4YTox8CFh57eAbEHNdrTIILvgVUUoNOFQiZKCsdONw
oHRHB5O6o4NXlQKqz7tPJwnFZg7zR2bwWF7gEZxcC+MED05btEd7KP/ErXyrSPLemaoJ0MSQRTo4
BDzP5NDMcFUQpK252qIt5QOYE34wkoTwRQfT0/CH3ZaLikamr48u23IMz9aDPfPAHuYWjE344tmx
OqLD3IxB9CeQ6tiwj4XlzwU/moCXZMzhg22H8OiCew34Lzgj4VZ3PQ9o+qq/MEqQlEr6Lpyy9ljZ
e9b8G9uykdUsmgcxe6uch4ys6rOU8V1bIk43Dbe6tAQ9GgZ6YjcR+JHyeMM6CuCYWTn3vawgFnTN
T91XT3WP5iCI3LsMYJHBjAcI0PJRQ0TjMyNEIGMvHemvzZYZG3HyANPuanj2wkzTYuwiw5Vyzfmp
bJJ9GHg1jwHH3dolc5rAPSjSKeF6Tcku07LztLQ4kkbEwHe5ssSB1gP3SSCWTWclRMvpQMj2K7dB
Jvn9UK4m0IWHkoTBdMF22jdQ9eJl2GXm+BzZIqSUnV+dxZu3nfGE+P9zDpwnhi3LXVwm+S6C54PL
k88odUprs7g26hufh7aIyOl1v3PbG58aw3+hhHHujGV4Nrv31I3xLoYBQ0eHEL9ueHMqTK6i6FKy
0enPyHwiz9LioWSS8GJmrrcVvguMZX6YlFE+oMZgLIeDF9UyQaO1mWxZLLG6zN7QYLvbUVroISeb
dcfoJAy79NTTTBjlzg/FlIxoUcO7LuAwGCeXgWqTenvL5qtUhXUXj3SNpSkvyYw4KS4JkCcAjwiJ
gY60lGS9yOmzq+rnkHfOJLEkccqRDJw9ICXvDLjnbXyo1xJd7Fb1/c20UushmaeDXc7pwXOSl7Sh
ZvHc3tkxQELIAKEUiMKWXIddaxswqVrQ/K5/BR87Y+T9s7AM2ibYlliiV5wm5D4oxaQ3444mumh2
3O7qZNMKFzIuAlBEDBVZt0ZifEm7BgEMjOLtZBXVDqcEQ49Sp9A5PcIKGGQIfzfzED8jbnPuiv6L
kym4t7CbVlG3g8d8lJOs1mEVttvKjh6WBEdU48UnX2FBiSu5Mf1GIzaoAzV5fszaj0bJVxf40Fww
l5BlpkCidI8MDA1Q2UA+fKPZyxRm5JBYh9rAvcTi/OTYeMEckoOAScO762zwg55Kn1XgnwSivYnF
FwVCcJe2H4rm86Tc4dsrsh9VONwxIWrDbiJHqmBTnkpY8rXHhsEttmFh/hSjfa0dSQ/q2tM+EsFj
1Wd/6AkUTBm8XPvCFTqJsp02fU3Jyvpl3Y5wmOknhpOn8pc6Y3NRF+ShWLmPTLajckoXxS3Qx2cT
OETjo58I2pkoGVJ++sL2Dn0VXoAYrxUhY8wbBgIJY8/bZhN0hCBIJgz75Z6JZbBPPAcVic8vGDlb
OotdS0tD1kx0EsSTtoS4VJ/aG6IoklEVYhfxh+9WQkU00QuwC0zOjbGTdfmpBFeXX9LAUurr1s03
5LnOJKPpcJ9pgiGCzL2fub9gPFF1EgVeBIzQbZ8XJQtkO3Xp1jCWn9DCD1F15t8IIYnfMOsJ3HZt
klK5YXcVgKdDWg4S74TTcsRoMYf7aNC6/KSvVpOpM58aqnpEfWRvZnr32Kh9Nyz10e7t93JAtRsv
OMQs5xsygnFw0mcKIHCi2fSameJvw6IA2YQVbF3E20i5SgqPq/CZhQZ4w4jgtdZzv0zQ8ML5Ye5u
WfvgSK5BFXNXJAWXk5fa2nEA7sgZ/0yLxCVuIKkcswSlOWOSymUZiiZuPUTI+Clf2HQOGOOs/ilq
Cc9Stth4BAtSXT00lWfemWh4bPrvoKH38G3rzN/9VxKzSSRUjse6RZJB2C2ikV0VoU+DHfvpUYw2
VpJ+TqDFJLZrI/lgZXJd2PsgfFBvaZJ/iil7GAJ1vblJ9KMb2rT/zluM1zr5qubt0m8aff6NGY21
Qo0k0V8XGVXDNKe/rhVd5z7a2cBXwkJwKAJmmpyDZcqT7puFbx8bE3QGf8jYNhdMHg9+C9BjKL6j
LPzrpQwfguI8oo2eMQh1tnuL5p59rtEchigYT17pwVqolw+occnZK9E/W+R+VQbPL5ER3j1uG5E5
PFhhJ0IO/Zkd+3VIDHsXuRV2AOQuqJO8lWVPCxU4qKBwOSMajFaG4h7itv9Mou4QF1y7SMtkfczs
TGKfMOj+WIKCm8ij2Vmboqe2s+YvZTZQLUC2D64JPwoC3L6J8p/Jaly9Obg1y/w9WTOmVIy5hfEc
nIosJQsRj1eNHpOp6gVgIWvo5tITVeVgukgFoxWDTKLx2hfGzbbKS4sKKQFMOcVMjUkEJN17K2R0
Ixz3t1XVZzIW97WnrlUkr7GxnrP8XsysnGRafwJaORDny1CX6aMVffznVkuN7g0+43dN+RjRsE2M
Z2eRfWJ9/JQ6sT5Cxs4C1FTerUb1syIS4YaDJnU+qoascI8/0BP1i+0P11kkx7AgKFzwZ2YUJAE9
vB4aMR26JkqeIvMNefcm6ZCX+WAO3OEqgVySSSJPwsqo36qdz55K/7jmhMbJln7zzF17DTjTrtxg
N2SSwaYzsZ/tcXjzkbNildjiVNtj8Odz1FeR/kUTcYue71+tRb2NqrrPLT6GgeuMfLUduc6MDn+T
sX8jufC6GAA+EE6/GSYINQHte1pOkiddWpYXS9D3841YQ32JF0Zp/D1SSt7ZdvcmY7Y+RxULauLb
HLKHiOFJVHk3x+7fioQSbq4uiHA33syw5N+VvwR70keeW/xDJYZHoGe/vjyRk7lua17RJFvQceJj
2fNR27V3cBmUsdT6NR3MsG73i4DioY+MZzN9lIyaTG94iyNxU0v57y6qjf5eQvnBG3lrEpZrufqZ
NFOSRu2uBTJZadqkrbmTiDgbtM7smRyglC4SwoEo1iUo5p1q2OOVACwDqjJXEy0R8X90YY0rEdgl
+H4sLZNxW8BgchmzPQOMuQDIJElpy+Mf14h48jRBM9UszWA27pT5G9nmq6dhmx7UzUXjNz0HECei
DiCvsDnRmAEYkvRAQDuVxneiov1cMgPXx9z+9rJ5qjXq09PQzwT6Z6AxoLSRzBs1GtTz8bGDj6DK
mciIAx9awREd4YlGaKd5QIK21ahRj7el0aOmhpB6WqbXaDDpAKE0YWlSes7VyAH96o890zBTY/iw
NNwUBP/rglWMa8pnL8+EpoGE6sCrbCCj1gJEqtCwVGwe9yP01KpWx7pgDB8WAfX+cl7y/NXXwFU1
Q6hFMUSxiTuPzem21XhWdxEHRwNbB41unRZ7bTGvAzNUo44gZJTBwLpJxUdTcjVBJ6ngwGbpG4Io
b9NqQCys+pNwobVM6Alq79hAkgWX8SAgy8YaMVsuwGZbqLM5gsUdq4SvDh5tB5c2FywPXMAOh9gX
Z1TfPMTyV1MBOCvk/MLWWLK2pENVvyXU2wnPR4GIOYOGm5agoyb54kHJ9Sf0jKVdfSjsKlp2WjCC
7ydyNEaN2E1h7UqM//QnEQBPZj8SHq8Jl3dombGp4Lcawg0q0XQThv1htkeSxmHsJ8G9qxG/Yhn2
uYb+hrgVwkBtiNsi5TkLXtIKRTy2dm5NJPFon7xr55EdX9DxMugz7A8bxnANa1jBHBZFdW4DY63R
Xw1M4irDMkFf9A9d7Gtssay9U8meofg1TAWBRmW3XnOOM0TbrSYfNxrYjL9M5/cVdke8gYPPlTQB
hr158LcHoNzCLABWCyx+0XTlLs5vrVd9oeB3gC8bCRTmeED2k87o54lTyXAnW0zvVItBQIQzCvzk
DwPDsw3a2YdASoy8RQwkNZODZ6pitbHqNBF6lPyrBhJdAYteAsSgiCPQaIzOqcbHKgFL5wxmItN6
q/4Rp3viDExNoYb48xCApXb97OYOxWsHrnrW3OoAgHWTvrhRjILSvGXSWIUj/qqGo9OPcRBRZKxq
Up23s4UeIAvhYzealC3mdD41wLMnVo1tjps8KncItQAWEbcx1XfEnlrb3k0C4ldZI/gFlqyWbCzC
8NhW0XtTz/X1H994JOsTowpOEwZv3owq6csfX3vN/I6fE8sPcI3FxyFgXhlqOrgJJRxYeAM0XIbx
p6Up4oXmiVuAxaMJR0CqWePkju0W4ONLKtxtX9CLEQ+0AZrFmAQDmyaWDxhl14LQdZ07wHbRhzd0
9TTl3NO887nEGRGLA0FM5KEW1Z6sNnfncerjW6MzMNTzoh05tSapj5qpPmu6egxmPdG8dQoodPOk
SwYee2KcM2ocRlzgXArtPMlV2XnqGPn9oxnV087TVPcCt9PEBGg3Kob989CRT5AmlxaI+x0inp1O
m4hc8ZaGJNu0aUwiiSEPtk+3uLC26NLxqjRlHn3TOjuWrrdGMuw+tDyRAqD048TlMijjo+/NT19j
65uDN39OiqFECdQ+pQ33NOU+jZzTGHH1MKEuNjSZ9z5IfAEaH/r7B/TXvfePmV+Yj0Zp/Ga1c1CT
8+O3S3GUzvwSgNvnoPTN4TnUFH5Mezn5s+nPoAn9s2b1AxC1JP7u9ixG9Z6HTGABZgIJK6D8BzQp
MoeMZoE2RXiUIu4r3PKj1/kAiVLPujwqGfE61l1PjIDtKDKTOXyIF5h1zkCsEwdiogcWHrjJsLxn
OpNA0aat5Fg+WjqvIMmsa8NSR+FTZENLlLLBsbsQciB12IFOPYBjzzSQIIQlf5U2wEzkJE81QQkC
CtjdAsDZ0hkKFfvi1SQAQ/Y5m25tyhn5SeQz7udECINtJ/U+SHkujBA2CVtwVvS54C55eukMh3mq
7had6kCa7DHuuAh13gO8wJg7PP5k0HG2dSZESjgERjeNS0xN5g56uDxDGuMYWpe1+FvnsO9aMW3Y
K9yEzp2wZhIoiPUYmN4gfUuQGLQUD6IQKTaZwuCOHrxd1YluHVSwp/2FIXQXp3vDAv+BIdT0O+vQ
jPOXx7c0myGk3Hz4MBwsKv+Epv+/CpBtCBkQif7vcKXzV/ed/Py3QLL//Jb/qT52/itEKOyDUfJ9
1zF9VLX/UR9b9n9ZwuMnXJ9J13+4S/9Lfcxv8kPHh0JookCG3/W/1cf2f/kCt9U/xbgrXEf8v6iP
0RH/d/mxbcFW4tVN1zUt23Lc/0N/XgbsB6qU3kkhk94lfvFBxheawJKYaTK0gW3yuI8KQN5VeF7c
+n0c8LPHdN6tn30h1Bfoksa/yI3/jILxVinPKoI8QHDyNu4hqHmusc9Q8VYj1OOKZeeqsjh0MP/h
DPS4zkucQXk+tiso+z+Vs1x7vHT9BK0sE5yebuV+EzYGEQxZJgkBGDBwPtQzrQHWLbBmtxEsbFNC
9hxSxr7giP7pbfKW8IgxOyxh+9Al0ckhj3035J9Ta5BB4/AEqthu4K4AmYK0v3a56zHcwIBJzGPQ
I11u3Oc4Psu8uBgBdq0x5E7P679zkQBV8gnpQudIRkVPqnD4l8GPsYoIRcD6MX81uTx0GDS9diJR
xT66IXk6g2TG04nhMZKDeUy9+TqFLJGwuhAj45kYQ+MJdxxZVZ2j5k1mxz320mVf9uE3Q696E7V4
T4uWqZ1EoEZFzq9uOk6EvtxV8CtWZhTHpLDHd33OYNOeum3oIeSd+A+i1m5LX2WbIgZEs3hiFdVX
q2BcHcJ3LEsFeX9GjxCSgSkD2a9B23IOifQ6RfTlbobyigSAg1O7Ea6idNwMLbvPbIhuXmcjZyRE
pkY0Ucuh2gSKUN+6hPAAk35jZQJBrVKcfXXJUNGU4yasymF9swrRbFRpEQSVW8HDPCz3Ru3GrMHl
R+NTgHcNL9S5RnAcktHaBnkY7Z0xtV5EwNxUYdRplvuuFK+1QF8BDBUlld5OCPYop5z5gJvZAUuQ
PtgQx+jvvNYtbkMsB6S55An0rkUyqHwpeI4+dnWM9H10riEyuWPYd9VTOk1XH61eTA/muYge/IH1
PgTHNzLm+T/0xurN+J6G+X1BPonKdnqPQomGnV/GQNZcNWMtNnFUPSgwHusp4KR23eRZhNbZnDo8
ZyyZnBxxTWMZUEQXQClyOiLsBVYRutV907ZPoi3ujlnJDIJ3lm2cPipweLOTFyTBEpXgPTHtzPzx
fkAjYZjGj3LVtA6Bi09LgRnOH32GsSCIEMEC8xmN59ZynVWnrfgJJNguJOTDFPIRICTVaiOJiU2I
IiBY4ALo8RvS4U/UW+l+QO57GwKa3rYfN72A9RDVlvOeKTw0NvP1s8n52LYjywmUIJmRQ8/pOFlb
gdWrZlh8Z2W9hRYmje6SsHJfamFv3brrP/o3g2DdnadPvtgf8mfXVb+LTe9M2lW5SwtURLGZLUBA
iGAyyvAmq8BbW4tDdhSvPlTu/VS3zTEiJ3DNaNHcNy0tndHI9k8PQjw31LkDS3AbS1zvKKDuUBph
Y4e5hYP1IJQw7sseMLJJSbEGhtcwLS7BLw99cAQZKZ8Tb4Lapr/ZzvwilgPuuYuuPyE7B0A+lHqj
foDuuUoCYAM1OdWko6YEX3TH+ANK2GrsR4Xe3noTEWyoBo9qg3g/U3qPZtNZyMK7LwJoPDb79dKv
Wd0s+A19xtRbwHDYKbr+MGbDE2Ey5jarmA9Z7MEZwjHDMEuTxYaJB7xWO0eGhzgZnroJTkhWM3tK
3M8id3+YxqB5BAtdzQdhDC++F/O7Ihrs0aEuA6oH/NdLgW4svyw5HpVjvWE6k5o5Ii22oGnvfAZL
+5J64Xvfow2ldHQJ4TFLH7oURWfL+nXtd++jpP+cfZHhzixu9DkHfzqC/L6z0Umt3E5kJHnHT6a/
jsqNpDaB+qtReWsIGzcyMV58cgqiBAIkSAomNygsVGJecy+6eAHkvcxFo02g8XHIdQGTew2BqvnW
nekjZfLXbwkPzMPcPLQlG5+lyBFQMeL0ciL/UOtBRMAuROht0NVMskvY3BYbWNYMBtBDNqese6bY
PVTdzpbuY+3xLDCKk2X65A648esUE6ICeZOXAShg7VMsP6xq29+2dl/Gxt1VQc4X6WgBHPpzMPW0
mTYQCMM1MJgAl3MSwVvp7opo+Kkave9aWrTk46HJCXCHv8sMGIlz7HzRun7O7jOZBPSJrgkStZHI
VFX4aA0h4nn4g6VTI49diAIzs3vHH9kJTJi2Z4px0ih/ynjRjDe+K4SajAA+rLZ5nZIU7ejgUwHS
rC1Dcm3cj6SY9GWkIYOEpPirJkzA3ZCJg/CIl4rbRwM+EErtQzBPIBH89GLamP89/oooRqosOHjJ
eFocsSaEqX/IFyjMLdrzooMh5oHXyIrq0GRiOdrkA+79KbgOudHcnIXpFU/OdnnIscCAqcv0nYTO
q8p38Yw4zm+q17qFaSKMZFsvOH3bIfgcJoZlEWlvxA/z/5CmsH3q2hMQfa4wQzyWEYYTGHabmqZ0
l035cYmJCjdqkTAcLh9mc3zLp2rb4ip2l+pCOne/tcTy12qSJ0t157xGclNN08sYYUAenZ88da+h
cVkI95rDlzaR1Ta2AyiHeFEAIpQRI4Vedh4pg9Uddsb68GFPuVrPKWB0spTvK9RjbIq44eIG6wU2
5vUMilY7gY+V575n+hHX5OXwsLjdXZbAdcfPAvV+Nkq08+Y+yZA7WYBwlMWQ6E1l4r4t8/QgxwX1
f/wWzRLUS4+7NOfSceg3fYXunaQ69kHttJ/M+T0ogWyHSCc2cuR3luaXV+bX0Zpfkjq0NuFo3hr+
Zn4B4HXsXhMk6VM8hLtUZO3OdCMuQ889qoWdcB2Z98LD3RqRMYY2fD1KpF9l8ky+tzjkQ/gC4I1l
Pxeqi6p2VfQPiR2QfpVZNxxpbHni0Ge93JLolbvnXCCpYxqg0pZj2oPfYSG8idCQtmb6d4xR/pPd
erXhuWuReXLAEfbeR3Tqrn4MA+g+jblm6gXuT+4S1F2aSByh8/Ic8Pye2rYZ1m2GhapRwc7xBQZc
AAxsVMtTx0loCyRLuAXYCPt0oX4rAp5xJMrVf6x0eJaCMaW02HGh0Gk0+SaLOlgzUm6btkR3boRM
70rnHJk13VrRvvre0j05yK+4J+D22OOrtfj2nRkpBPDJCWMRWqs6m+i1CRU/wmU+Gm6CG/jb1xv9
mhbMBmAIHevZW8It6+LHLizIKPSDHmtb9103rCU8hV/bILSi8llcLSn1tG7dldv/mW3nHDfhnfZ3
lwHpE7PNVDJl9qvM4lp1Bdt70f/6I9x7h/Qf06n9Y89QcxpgWCQM4tinXuBjATUgr2SPMvyYJf6v
TzIMLve3rJLJ3i4z1BVF8MiEbIukttpIZAUrHoarsIk/q9D96V3qC6q9Q8IfEIj8sxYiPZoNMail
4WMRbLF159gYzFSfjA4DFLMFHCQj1sks0aeYSFIzWVDHFvWz1wFnRgV/CCtYBVoBXswJvuM5PSpi
pleipfj3CZTwPNveBeLOKWIEv17FdxQsDy0avWYQq56u6IHv6j436XLiIbvDK3CyEHass7LfN05+
Dpy2X/H9LM5HwGvBHGcKBUnkflS8z8ZX5yDPL+zaNEmvW8UOgW5ePcTHqKV+sYMP2dXfQRwS4jV3
f9L5l50BAaNljKYGgVg1BoA+OaaAA5EVyONp5Yapv5JH1KySE4UQEclIq5pOvq2XdgYUvaKLN92Q
zlrKXLJVVgyWnQQlFafAaoq4ZizwD2tcPjdgkemWN/XOEXDxZ2hpdsWcJQUPgs6PWlg+dlL+LTpE
Nmi1QGvVDryX6K7VouPWcbA3bVr2N3Y5pKdWKXyHdfUB5cY5uolCLHcpncLe1IHc/Zsjzr7NSk8u
27bhkIt1XRDeF2Y0rwF0AtsvqRKdrj1PkkjqRT0kRXdENnYAcfTYdcu2CZqfohThrmnabJcutQf2
oL4ghuUCE/r5Jy7KS3SzJ/d8aHeZWxN5AHIzc0BvFAHLFTwfM9ZHGY1bQqMP/hzdl2lK7LPdTrs0
HY7sWp6RSfmbcSawN1fTCxvss1f3f4KhO7Nre+ZgZ8WAKd5xuNvmUBAsgl17jZcBjn2DLGmuN77d
pQjbzL/lhJBGYMBcjWH/jjwc7COTHss04GJBvt0shUXwaWNlp8Ho1alCrEm3a288X1VkDJaM25jB
Aq/DMBuxBur9h6gAp+cLVsBK7JeOOE0VoKshvgfT1K7s5TG0u58iwmRoxBPGqcncskH5C+BN826K
wzwjG5HhGBJnYkCuWrBw5W0Qb4juiazi2zCSR1Cc/rohCGYjh7gBtDO/T2F8Cv4Hd+exJMeRbdtf
udbzoIV76Ge37yC1zqwsiZyElUJorePr74pi93sgSAPtTXvQbQRIoDJDuB8/Z++1VQv9m+vnmPSJ
z6jssoAxwmTcqpKlmitPNIDbuVugZFKN4TvhHYpD/k7NkV34G3K+zZWOIWTNUklJMcKPwV/1HkBJ
wKFocA9ieJaOh5HFI2kJlpwyl05YLDzVXpjkuQJyZOpbir3Ii2hRDFuW2nxOePWwikN0/ahIXcfp
jm2Xn023PXFk9/ixxsqeKC8ODggldfcjNlhBwz/wJ2YVovnf7fv/sd0sE9zAr7pZl8aL/+ill7//
kX91s+zfWCxxw1uUuoTXG/xl/+pm6b/RIMLHTmksNQub4//z0svfpKRnDhDcNBgoO9jsq6yp/X/+
Q3N+479U+Z9lSqnS6fr/6WZNBvUfDeyCeZZNq42PptNaUyeS+A8Gdqfmra8LSnxZ4kD38rVois/S
Ls6FTwTLD5flL/zysM//+LP4KqYhherwk2jDTVyHH36W744WdhVUj6j2lk0afhu7jCRIygGoyGs9
QSakmsXDr3+omFjnf/iGXz+V8YMh+PH0bP74Uz38Bk7tFWxuJhZSXyvgyYA0MXwMJOG71jQ7gywM
Rn1bJ+8PZbpBTP3cFdpL6YDz0BAT/A02QKh/+YnYTynCODFZ+h8/UY6nKwnMipzrkjnAOKxU6WxK
E91AHxKEYSbVGWE5QLVWfqQINf/mgvypfcmlR1RF39ISJg/ZT8yCDMhJS5KpDXmpsRYJ43CgTbtx
THb00fFrVuPRMgSlTXhNc21DDo5xbFXj+68/xp8eBtvQVSksoXFb6Mz+1ER1HBk1SRMzybEMLOZZ
/IHZtSeRb49l2h94FIYs/ruvTqv452uPLFHyk/XpxbMsbbo4PzyDkeykH+ct+LrSvoaOCVmxLJx1
gQN2aeRBsnLLag8Ns272UOo6RKx+S/hGPhdZZS9svWF+6RBjJ40njBvsETH8aLjDKkPjfh6ncGzw
CXQbrDoFCMq4qp2VToGg+060K0S0tGXuEzGXVlOw9T6ccFbVQJtLAbkNt56EMxof88xBK+XTD+AU
MiwUDdoQ8t4Gxct+gIjUDNq4iQsHf2GJGbyV9kapqZENnwQh5Qi3M5rBouCA1ZU0sTooNJldVove
f0XXCWTAMXRmS9o9q9apM2GdikGxVm270uwCSixxSS2s1RA+90ozil1BquIi5mCzVBr71Me5OHQC
TICeohIgzrsCP1fsTY4q8AXN7xR8JCyNpbXCsBPgEsQdZBT3hLNxMO0yB3L+syyiY46kaN/HlGyi
o3MpUDHPmdcRXC816gWNFQgR/M0YkUJHuFBnWUmFNKrKVfSxjZmyfcbqMR4z0aBuL16pj7H/qV5x
ctNsPwTGrfJob/KKlRezEKTS0PtjOrvvZAgGYchoBgn97OEFXwf+R6vY/V660OI7MnShGXorM4rx
VbHFl3XTn4oO0a2mpjvdDu9a2R1dpJk47hRtVwkX2fpYLB23eTdKajhK+X3BNr83CQTiKQJLad16
p4l2uVRekyz/jvwCPzXYqsVkymtdJA06MCUmfUAbkDk5uBZzXSMDGIQYNwjveP4adqY+mejHlWjC
tR0GoHHt+N7SQ30FDorSw/QB3arYNaZAh7pcCh9NaJW3yANMQU9D0qepk4WT6Ol6JL4BXEP8rGgd
udGOQwYNZTLgU748KVrVzJL1eEeXPZz7hUIfctDwnZN0Nu8C3d4meYSHWFooNTVzSoMh9pDn9KCq
oE3Rr4KyQDvpOCeQiSNTt2uJaCPuKPvARAMDdDR0xURWr0RrFjgt688YrOBB1y+8ZjMts4yLVdYn
EwjH3ii66FxZSy0UzkJTJflkLob1Rhp71asuddA72zZV3zno7FXTApQIAmPTjkhwVdO/R9pEc8bD
6Wj6QDYNA3GFiYCtrHC3xv436Mr1TtickP3JbuMNoLQpJo9ihJcsPEyCeh0FKE6Qe+dlcdFDyA+Q
aDBsFxjLGRZyXWyq21IOZNrU2cKWPpPu+kS73N21nkS44NYH6Mc4wFI/2iQhjCYGASQKovbJ4rUj
kwdf1mwMhXLwJ9R20qA2HDwEV2mQbUjWRng+BUr0oZFuSyuoNyoJgVSB3TXws+QOxyjKEg/Jss3w
o1Zpv3Iij8BYy+aY9Wt8ZJjeXJ1L578VQtZrq8jqVVm5mIewjW1YAuGuoU+ahzqhmIk0loMlt45e
GSASv6HPUbbGEKGMJ+33DTlxQJgVK2PdqfUi788WxAxEEVm9rEJ4kAxKmhnTH3MVBRxv+w6pvm/L
OWbWa2OpiBF9VAKwzvIlrGtg1wGlvAlnlPNGdBkIJgCBy8G79OqjoM20JuyN0ChgiZ5CunDmHACq
2ps272+E/hYYNFYA96JVlg8QVcCWDtmjwLFCKlCfzzo7f9GEddMMbAk1VorWxqdTl5JXw9voghNA
ElVy9hX0KnsNhVoNDdxr06022fptNY8B6KQvOA5eRTZils/QXkU0fBiSK3DDmYunMf4XoW0Dclbn
LcLOedya0d5shmM6cBUNgWu5zMmyl1juY6D4OzhoTyP3D/jL5GOr2DjGABEZCYP0xozF1zcwDADr
ocmpCCcKJjAnvButkuRc38s3tha9ZFbJyM77hsM2W4DqRJyi09jvEQ0w2dAztOO0bHxSvspOXxca
kGZF049Ji5FV+OY5Uq19OSQOjz7Yw8J3TwPkyk0b9qeo9719hy4aARTaSbDsR89g4eyTZp8RFauN
LPNexw1I2bm2Gh57ojVWaHODc5bxniQIDZuGFkBTIV0WFmUOgj1jzzih8SvAe+FwlEXtrLXcupsc
pL3rvQFQ7894eyyn5ZULGnbJOrW5Bm1y9BT5wG83u8FGt1D27HBDmneHXGBY77FjGxxtLA+VFYg8
ha1yqas9G2znQy9Hr1lOSNqeRlSAxYFsQoWYvOTFDAF0doAqfVo2epehdGirdWdLxhttf1Qr8/dK
IZ8ksgg+j71q8tOnztLX32Hr3+DBBIucCAH2BY3mVC8or0yeEiyCbFnABDVGZJcqXoaGmq/i3H3I
Ion5BTYT6RUVPVo8Lhz+VkmV0+5WrU89Ym3RJ1f2kPJ8QMe/jtT0qPICMmRVYtPgQ84ay36NzWBc
KdJuSE0GA1Gm49oj4GtBNMchkKDM2T/xUSEzcXi4nWQK0g7RYWNp3Zi40D0aGziz1sim94nMu30O
hQ+ADizAVoKHLLthM6pkquflgMrUvAIIC9ecIXaiGM3NWBHhJ6s6WGnDUTHihTk2WEKUXMX6kzjr
smmUJXfXvDeIU1yqkb2JycVGj0axARQgngFIKWZ0xIjFVDFGAShUzK5Gq2fuvL6+T3DoI4Wk2Zgi
ooYLCXHKem2S2N06Bb2B2nAPvUGjsQhpGrk6WAiDAXCOUcNv+IBt5Z8oM9t9Y7YLxLn5IgxJzem0
Jl33pfJS6clHEvc9PYfmyXMT8J0+jbLOkG8hejNuWYwBUA1rOnDtWotMY4trAZdInYxyaQ/JwIjf
OIQM4nMjw/zeBMewGt8bPFvM1WJnaeKvHmyDMVwLsKONspMKCH02eK/9JD4n1IdnG7iFMiVv5A7e
MzF5FxUOZ6Pjnb3GgmRmoiSDB5TRNTd1f+2loBWI+1a8dFcOzRkW/De1oilpBManWtXQBgyfVSg/
1ClTAV+xu7Uz9VjYXO9U9ujcQ8HbkL84N1Lj042H4mwVFnHswp61NUoXWQDU0R1gBPz5vCerzUHU
H6SLDoqp0TOuBFiI3URjgAXXLEB7QPMj2gKYoq+Aeq+2GBz1jKxqpk1ezmhPoSg2q+El22rCZMMM
ieRIrQe0PaMmmCfX33hkHrMaabjS4i5uq1PmpQidg5a0cZr2c8IBgDzSrB696FXHHOAn4hP7/JvN
056q57x6B0X5HclCMwPM3YNuoOHuB+k2oyOVglr2HWgKaDTJQTbRBy1JK76ZbrbLwmhlnNKQxTyq
9lpLdUg7L8Nguip84PFKctFpz2edQ5y3RD4oqlOXlq+qUxyquCL+llDwtc7ocEnUGoEhTCGzDGlk
YzjMzrqunxdtXazI3nZntk/WX+WMr518oAGgo2qmEytQqVpj2p2dgQanvlGVEruYyhCbxrmS1/DV
QR4pMQR2rV85hrhVBBCbrbvRQ1A8iLmYuZpYhx3oOGWdXcF09nMkkRSHznC28MjSI/Zx5yrtuleE
uyZGd1MULhoOg3dE+5w2HqvDd6248Dqlvon57FD/3tADroIIobjZtDgYWnD3zq7Xufe5padzU+Fr
l75xZVO+Ypx60jP60b6s3qyJqz2UABS+2ZpB5l/CiLt3mMKWLqMDisqL36TKwowhTnY9HqLcoDkQ
lPFVQTGJ07qkBQbnp/VfQkngbRZ8AvzSubEF0GebHFQo/90+NYoLROqIEpiGpxjLI2xu7MfNBp03
r0wiAO3We7VX1vbQHosyWkKiJXgy+8aQFUxXYV6pUedtok9UuvIIlTjF7tXTDnAzeG30C2em3b2m
HNJg3OojKdFWhUNSR68zNsyO8u4RKyZnFdz4JeNuyB+1tldt9ywJc888/RplzLeIGEX8Mr0gET3B
FpnQ3I9GJuhPeZ4/eXbjIl1ANxvBQ5wV9bLuNeR4Pu8v2KZLD0kux4OOtdldiQhWkwel2o0WiT41
oD3x1GKbm9IZeNvAaFfNyIShDse55Xu3eiTEVYr+QF71qkGDZFs6wxnrEqGQ38CJWg1FUe8LOCXd
4I0LWyP9o0rIFKyMjaeqJHIgQg+hdUVEKnAfYXh3nH2GiduiiLVNIMyaDI6BaUi255n+iEcMMGhd
ZyHjMpZ6UKI4o3e9YiOqCMni4GxVzkPayn5IVgJUArbFptiQr/1g6dhxki5+jcjKzHzGP6HbnNgB
H6jkp3Sm5CjpW3eB3W1tl7COCKlP26hyrVn9Co10t/X4y23zW9S5Prqi2l/0zkeXeOXeq4eS4Rv/
JCUSQ2TNI2X5dGxFRV+duzgdOKlYJZjbdNVozZuDlcAXKMbdFQXFa2Hu+zG9eobxmTktIWyYy1Cx
lE9MsliqC6Qahk18Eo0EBw+rmsE9hxGGNzOGMaWeFADmsgan7zvLOrJPgefyzaJ1YtvABB4dx3+M
R0b65ZRri0Eunbfl1vjCeg3nepojk+Ju99VWH26W1TERdputtDio+Wl76mL/5jmZnImA/JUhwjfc
YNmYTfLsyjYPSY6Ee7B7e13D5cpxlAvXmbfhJbT7t9beIrt4UNSE1xjNiGqH910SPXbzvuimQQ3V
kwKTcotAcgEhX+DUannHUeJnk4ccjP2h6FNnWdX7XG3uu8E+ugO281KCwrPNPQq7hWVxwI4y8dF1
K0tSvZfTFEDtUI2n+L9Hc2DKiZ431hlxMm058a4d+yLcZbLgsovguSoDZ6EO9tS0ZlXUe/+QutlS
saEBpgyKETdlzDVIPnJ8D7x8ULpAuMaNQyb2leyDV1JNkA+wXvCf5y+k4HpnihWOggiR54VXbAXX
nVmecuzpUhCW1ryFRvuEYdXnRcu/SSJlVUGOoi3wNyp4K3JCVho0bTM0q6/KYKF9i5T6ko1ojEQp
8SMGzLGqbBjmWjWwOTF6QLnskXeEKN6y/bM9TofpIofdx0y1so6h3iyoN1GimvbF11GNaL3Xz0cF
DJnfXFzbH3h+auY7WnSlmXWIClM8ysBONr6nbvPUrZkz65OBh0FV39VrQQT9GDrjRSvNhx4s2sqU
g702rZEA5R6xu5ZLbT3eZ32FkR7hNrt5to+6Ti4nUk8PKy5DCz3HyoCGv8szyCretuns+rNxw7lh
2HM2ebwacc836xRwfkL/DAzt2a+ZmDcjE7zEy3Z9d9a4p0pM36pOz1ZHbkDVj6+FZT7glD4O5NIz
yPywjUko3+2KkvCMDHHNUDRviYOuvbZR/dbJq4n13/HQztUu3YhuAfAG/1qXLtqcCVrKEqc1kweh
OcVE7zJoE+j8W5KgzgajU0u0Z9MX66jTn8yxm+P/2rithY7ALcttSPAC7xf2pBISDu6bQfmmJu02
URRIi9m+cduN4NX0FOfDaCGMozBgNvTAss/hOn1P9NJclsbEP2XVmw6wiBF2k/pAhwmOgQH3U2If
8xrKhPRCtC1oKfQufCgK/v00324JjGZVCxYi7Z7Rn7yqwUtEXx1WWUeKQQ4AOf/wgQQ+isCWx+lX
LYb1Bu93ZTfF1taDzaD5H0rZI8qJh6vpDxcvNvDnh84mo+HAvhMSpu4gGWeAi0T6FlaB2GKq3NJv
gvyopP2BaLeLyvuJ7i58sDTj6hdDspJyXMo4IkmzJHCkETqCQTpwEjxF55J0X1i7zrHHK25Szr6g
R2qfXTlvvXGp6da9yNybXZYfQx2TqehTKrQeo2lzeK11WyzSaHytlPrFa/BaqBy5GM8rPIGIKit6
BjbCAQKTjIzdB1nQscx8QrNdQi1DYFZUhGhGcIjUkul86n64av2QxOt+aGl6KsYa9f83daAHOSU+
9Pgr17T5oBekH2HczFlPsXperOnfp+VnVCV3CU+JL8VTj+JwYfREAIw457us72cImA8jOMtZD3Ir
JSapLPU9ER272qmPIBI7haY38dRkGmfEKtIRhF8/HSSo1jjOCqR7dko3wuddgF24i7wQ4WTULI6+
ohPDiH50S9IfMqlThVLqEnptchjmXY+FDvSHOCs5GpthDLd9nARzkdeAGFHZ7zRdo2lDBM5cqIWy
af3qPDo7VS3kvgDXX0ZDf0qCKICmmIGn1JV8lRhduU1UM9rxQG3Vqcfh5ywLJaq/MXhnDoqypMSC
BcEpYIa8UxzN3SHrMOpghxjmjcZSOhtY/paWO4GrTO2Kk/+7lOLekA9mTAePY9yr59DhxjbDFllI
Z5eUwWOZ6zvFoF4Le2v1FQlXKsVcs8gmYTcEuTD667Yp6yXIF3vuSu/AoQ0wRG/uq9h89apwXMWS
/HStIyXMvY0aR158MFujJpkoyiiDas8gzbPzOJug2weAgDjVDnf7eozHle6j1CgELUSM498pcRBm
OjgnRsu56mHKUHj6AT3xs4hzk7nZUCDAUrNgxZl3hM4BLXZyDJ8J6AYxEkIW0rvoZPESwtXfsl3v
1DYf9q1MUe1B6pjMA8neyPwP0cPviU2OjLnH4b2OVYgy+OxCQwP3j+najyRUBxgBi7KAoJEp3qEk
9PEryM9RUj6ol07gn25AwykBpCRvqVnDgGcIMAslQQKUG1uf1W7e2gYKOL3PWafHFcpKqrOEe+EM
5slv62TpICP0xasOa5nf5BbabNaO5FcoRkiCUiq0u2354oGBHY2c3n6s0QNQqzWLHkbUjZ5W5rxO
XzPKKsb1W6g22NKzHf2fvQ2bf10PNJfLNIwpj+RebwR+ljYL1nYASx632Epw5Rasncg7zH5mcXUW
4cBnL93nsgtRYg+0RV0lOmPF2xNkXmycMNYxNANpiX1tXU8i2CQy30yhb60ku4N/J1Eejc/piGSO
gzg7Q++jekJGv9Dbu4gcl0yg15pj+s2WmtNj801ITPNseM/FHJ01hrYRrTYiBYJibRv1ajpxOrWD
rfFY+Jb74IT1A4qGT9FuA4/fGzp6jVWiVHNlW+baW5HRq0HVhD3JqdZ1ihg71zmVsewyhbOCYSRQ
o3WPKVymKCOEKNGKV7Uk3Wj62yVJukupAZUYShoTGgOa3yEE2NPqJZM/Ttg10RkmbZd4pAcSVEQ+
sgIhg+w5JUYa3UStNY5JET8Vxoa256XIhDMXHs0mNd2mKZ1P6dCQ+pr7/adO/x0StLGh/DDbXLzW
r//1mZK9MZxek89//uMelv6nl77+6Gf5v3/sdw2A85stGXE6CAE0XC2qZNL/uwbA/o0BqK5jXXFw
k9D4YTz9b0eL+A1gqsTNommmI3SVT/FvDYD92zTHNB1p/Fse8D///d7/H+8z+9ccvvrp1/+VNlDs
grSu/vmPP43IVWb/wtaw/GJpMUjy+ONQFPo1mKvIg2pO1mtpJ5jKNEKvMKdnVnzoNHVjdvpnwbyo
8gkRVrrugiuOcuEGveJQwAD84fr9hVBAmD+PyL8+EaIEkqQISxfiJ6lAabRKZrnsKvHQPVs60Luo
8FaR6S3oQzIZpdwHsMPxIF51QXxLAnwDBCLTxULPb2p3JN+cFat6jgLIThbTwgl2fpsoitQlqOts
vPpwA8kLXLWK86BU4bIrV3oRLEw/h/ceVLuh5qtKH/91xD/ULeIkT+uvA4T9Ca6oIFKParAAiMoR
9HzXsZEqtf/OlVp347UvfcIjARH0pFHnEPHD0VuPLeV2xDxKfvXR4vTSAJioRPjuAJKe2WtV5Jd0
ZOw5QRl9XO1Gnl4I3fuOZ/paGfLYNK8FzvzUmrdwzv2RTOr05jX++wTEtPL0lnnxrclWacSx0HOU
JwLJzChYNOVrVyprJY8msCAI9KGisRaFWCuQpFbxOWnDW5vXCz+LFoQdTABLlI3wDB4T1uUhuuHt
9KEQiGLOjjF13DGxey/sPbTfvDuvt7ZBX+6i9i6W8Z1ehLeEO5cgcAic8ORJ5RhKvqGztmztJHKu
S4knGdTWBWjMNff5yysePM/BC1kFG5hKR13DsQlPdGq4ngZj+uS2BUYC5gxNj3nZdQvFsy+oz9GR
49UlmGue+EypIA1A+pdLWS1bvUNrB7jRJxLQHldZzyqo1vm6DNtnXBdXF0EoaFzjrnLurcJYTKSE
gn83gQ1LlRBbpTrDe3oau+j2Nw/5JPP4UZiiOqbFiMucNCDSMX8WplQBbUM4RQWpvWz1HJJg+YNC
acy1m8QXvY+/c80JQgjFMiwC6i7lU4u3nJtusg7j35flP6wJP64B5s+qEBU5Cq8OzSb0QLDxftJj
mHZOBlakNhyAu2ejgbihkdvWoBhTGX507hr30R2ciGcRZbfc4Y0UHU2c/DxRdl3pvOhZvcv8XTaE
jxP3tKnDE6X/QScRselKXMC8Z75ZX12ju45Gti5hQ87yod0Kt6KJybub+JNyDtC7wFkLde8Tges+
ynk9G2/txCjwQmuVD9phaEgnTpSPPO+eJ3KKSDlPBxHJWcRoCPWh0GJOdTylSBN3yAfvEAPOehnf
kCTGAfb56qYxDJn+KKqCt1Yk77++t3KSTf3x3nI10XzBcbGkY2ms9z/KTMpxdAd/7KAuV97K57AW
Wt3zREflNHwLa7JlPy38MV/velGyvugVl9FDlFN0xtbrIYYUFWfE5AA8Y9MnLMeYC4xBPP36g05K
tj99UM1QNUyNDi2hn/VfeK084MoDTauxBt4AJ94EmmG12Y1Z54mBygbV8gIPwGnaF8BOuH3+UCdY
zZPk+wSJ7RPz4vUbjVtdjdFpgtTqXnzKFOMzUTeBpJkD+sEBsMv5jDc1lfUuaJMb9JsbwuJLrUMQ
GaL30tU2QQmjma6xzzxVQh3p++TB8TDa0ozFZngjYxGreqo8TMAYs5KrnsW4YaIdgBatw/RQ5VBH
pgem/ZCuBdfD9UlViE6YkL+oMRMkBIPU+9dzoeiE73nLnj3vCzbrskwW2bVrRDVznfQ2QWZ9Mzrp
UCPUZg0P6jQ9MaO1lK62gux1GBiU/p1E6S9viMNryN7OE2T/JFdj3+giZeCGNHSE5m0AxaQVmADQ
HCWELSV6oKMGTg5yDG96o6+IWD+FyNiLXn0aoejSbga/ULV7lfHlRMQpo/D7rx+aSXz4p4cGAZVl
U7dw9v5ZRNVYlSlTvEsoixDwgXYC+nHx6uZ5ou9YNOJ5WKtdNnZXRlI3yPYI03FQOYSLgb7axY1y
jhs0zFNumhYdECEtA71YT9xmfJQ77DxsPViJgNe9Q7g66sO3ALA/gqrvZpJdcgWisEVY9Ri+14O+
cbnDIWRGeKoZwW4h1P5py2DTAW6Q3gyjussAtyRaB7CD1xHvVzjElymT2cUVN6keo5BWP4fkA9K5
tRLlD67rLm29PdcDdI46h6CAPSKqe1KMzcUIc76zhrPv0fDyylPjbLvyxln001VXkNCfMjM8GfCQ
pxtVFeUuT4jZpfsdxv3Vs6PDBKwJDMCrU/FRWvqmYOI8c+4nnnEWNzhMvfQyMYjBFCzoB333KnBX
vrkZVHc5MXxCqd0XRfY3m8Bf3FdJbWpZUjd1S5eTZu8HcZwTp1hFEihgRBjbEHTiLwASqtGzbdb3
nQOH8tdP0l9UnrYmqTgNRKGoYK2fKk/IT64xdjxJtpm/ahDchYYZ602L6CuxG4ukvcpwqlSaYxV6
1yBiju8pDF2QzghRzv7m4/y57OTj2Lpl6SzcbITTlv3DBQgdLC59L3Fc8LhmRnTniuZ5dAhuSzwK
NE9mLzqNmE6rnuET2X9z+eX01/+0a5BmZlKIS9XAyP7T9S88taZHyq6BV7CcSUaeIoxOTmRuuDSQ
kapVRapj6QZ3Ay18bA86dW3VPDdl9m30HOC6onpUiYWhssN+OxCCRLE+4kJQVvgRgSL3sph3xXhp
G/vvFq6/eHgI+DIQdBqSY4zxU8mu2qmtSMnUxYbfDmfuQzPolXqiXbfSR3IhIX72TIdmdAoCmgx0
QfOjAQMnkRY6+CfBqzbvIaAXJbv/r2+s+ScRsER7L23C4gT//4Un+PHGMn4eYtPirE3oDsAkX8y8
pxR3KgBig1nugB4K6zkN8KuoTCA6NccGu3dfKjlgsG0CglOUN9dNDkrkP0H04ztQjaowbsdhhwVe
zOkxblvYuegp0NPoKEbaBnmiByC0Qk8M4HnG2g7gFK5KpAPlU3mQFAXximWE77hjwF+7sLPClMqI
/voYchRju7MKGsFNVcE1IcWCxyEruKEJCkAgFxxH2pQBuWItSHdiBJEob9KnxO1biquwdO7Sxn/p
p5OMD04O/Uu+DinmiZq8YWqhMrPa1zrEwf/r6y1V++cKSGicm5Gvc7CElyC+9pAfXiXRVb6OzwRV
QFKgjksPYwcbT5GMkl3CjC+You79IH431Fc1HY5JxvkFjlvAZDAb6xW8qGSOWR/X6gz82ndY3dcv
hHJrcN7S24LWl/Wh3xW59mg12ksLmASXbI0kg2EDnL+YTmPOCSty4ovNjdNYS+iY+uVS84sjJ8k5
CbqmyHGRvqjTZKhkVWSkPUkzurldR8SP+fZbwphkzjhOZLShWnQ1tnFSybzabpC34TQulHff4phA
gYXVnSlbr4So+cyegQaok8GagEnUomSrFAQI0dGZtz2zx64qNZb6SbWQjegkuhzUKeNkB87BIkVR
yOwMuxat8K53HOZBMgAQpdMUzzMfFQJiJtxCdONQawdmGc9s8lT5GiPj7Bw/B46dvnlJccItRhMy
uJFFD1pktPPaRoJnwc8C3Xw2ci9YtaZF+9J0tuAA02U6iG4ZBM79l7I5bPnA47NlWoRdagZnfxLj
VkyBWZ0IFf2SKdtjvNZoYy5TPw9XluFAq0GavGRSe81im9CBKL0LKx0jkQl6IOSOtuoQ7czU2Mc6
o/NAKo+mpb2WZvE8bTrTPl81JVALFoKpeLZdhWc7H/UZc5rG4DChK5xhxVRPmvX4bAf9VUbxzWjT
gzdomy6DxumLlAj2gtY+iURl14AQTG/4W+4mCaqsuWdhAcxOGi3zQASlpZgXebuLJ0zehPkHh8nQ
YMonGP0V4da49Z147oDAB5UG64XxHBTAkAOxHnEa4o18z0Z97uePjRkiuZHBey39BVA0tALBe6IQ
G92OO83HYUwS9FwUTCgcnkx10jn7QfBOmv3eCBgzE65gBZM0y38l1mXXGSz6urGRZfQOafKCv+7G
+f3KLPBd5+Bst8l1OojHdndFU3ElMahJi0kt1pCzXOdnI0sZp/K9GiW+DSXcyxb2H5Fes8QY1m4Q
nyot5U2FL0ic+V3SNFc4sTIe3+PokQ9MckQ5rEOeOiIHmaOSSF2o9r06FspiVFZqp7ZzNQJtwKQx
iHrUXg20rlGSV8UddCSNdpa3iCR0UAnRe6MOC94jWI3oT5HksRTyTBqZCpVMMOGNK1yChFdZ2XKo
7ybGaqHZD0nVPk8NFXV4RxgPwqOfQsSokaws/G61zkPy7LgO/OPkYQIjwg1aRxp4VDytG9TZMLXD
JcTXZxwdG1XVN0PcvYYmc1T/VJPyQFTVVY2JUMwJoRmjra9okzzrMv0e3f7nqfw3B1CEWckgJVj7
CJSEd7Ds5iYGFnvs1fOpnYTC9ppMLRy71padrx7UasTSGXP1Pa25EoBwMvBNa8pEisQsBsRTjV4S
4CJa7dDXBoc5Fg8gPnr7wUOANn3czh14Z7ypXuzZ7ZkeGunwjJ78sRwxSRcs+IqgEVPWz1rTLZU2
XkxXjAiAK9FMD1OHbMpAiQNU6xBnWfynbJE6o0k9ouWgsUwYUvdMBPysFp9TVMj0U+02WzdQa6fe
Cg9SqKg03xUeqPuCFLKESSL9In0khz1C5ZI6GYbVfN0NMUexAbdAxDlFWQacoMKsu0oukhjUa2wm
lykUo7WwKbSLWKPNbtWcabz0RfjJxVAi4mhggRJkQIUG/rzSLjXMaxboCTJlMm8oC/7eZGAoEHD9
JC05FoT72BmMvSSqYqVGG71ERhPWlPtZV5wVWUigeHBuXMbKc6PHxZcikq1ca2FV/uOQmeVWGMmb
BgkakWSN9TBVlj0qyYc8flTEMPD2keThB0d09d7SL9x0C4rxLHjy5i0BNpP8dE/RSIiMWklj0Zep
wAOPrtxHUV1Omv5Mb/d1YkuCD5Fx5rgkFnkB2rcd229p6BFO6OIo6YIG7akot70NlVlYdrp28wLm
TRUdFEZ7q8j26oVSyq0iPDqzdvgmg/al6gTq5Yz5TVGhZnVjiFkDSVm6oyBKqOtlopXjcXis4PBt
vz6Ai4GZJClv1euZhpBQqdZ2vmdjinY6YFtYecAWdckXQFkWxnG0qIA3gsIcIess/FDTVwH8iK89
oLGJdxdtd24K4w5WPcJWhW+sVPE9c7cFV7TEd2zTauvJHCTOc1iBaHEWlpJzdNLevj6Q0VefEbbt
hWjtOXr6cTGUH+nIBHK00FnkmctEerreGIXp7YzOqnSIUsosrdy2pvc+KCeyiqehDKQhWdd3/8vd
mSzHjWTp+l16jzIH4I5hG3MEyeAokuIGRlEKzPOMp7+fR9a1m6nsW2m97U1aVpZEYnC4n/Off4hy
DisnKrJDoXWtS3NOrdk8tEHzWILPbqOsircWzFBYK+PJZ0fYMX5S6wRHHhhrcXporHmlHHgCizXv
8fgHAQdml54Pe5gjLlakbnWTsZZ5Dvc94drCIoKPH6oQd1OHwAUT0bHftvc1gMFjKPx7lxwdkdIU
ptDcNhXfA5OdE6EzyYG/j624xapaknMf+OauY2SnD3pu3Ku5XyrEwSDiOlo+/AixT18EX6VDkmpd
uqS2BQSS2mhA7MHsaKmpDyZ/xki2XUfaC40tdrztfRivMgwRLZNnB4pfH7xxjrdVSvZYJfsTJ6LH
uH34saSAkoGdaA8fVM3+Op9bVgwmyJsuwgzPne9Ugw94lic3jZugoxHtNutSzeyrH2D4Xsy2pGZl
tZRGjIDIDEogmcw/ku33FujJ4TCob32H7XvY8WyFK8t1ZDQX9eGj39rEol52FlPI9Wjy7Xalw0nu
w46MHLmPB4jB7GOfuaO+tQ50Z1KKkmPpRjcTi2Qf8pWD2p58DVcHgQunUjAKzpyf+Cd+7zSwrNN9
IuyD5j67c5rpKU8fcBHHbSs2fuSYGEcqgbefXkjBfqmOCLDD6C2pgDfsCTuEsHzuiMMZOzTOnKc1
uTm6PQuKGrpNvm6W4hJx0ID+E57TLN3TwD7cGdmDKjgM3DI4FgJCVht+YZ6OiNgw7wJcqTSiMc2Q
K6o4gc4zPGnkC545dw3C0s3ZjZ1eekAd/QfdgQM2r5Ov0c2AQe/mYWAywe8TOPSs7IpWYSZiQDAg
VXCIbY7LK4i2UFKUVD+Ze4XZxzMCj/sRhDQuqx056dwqb07XV+ShHBC1P3Qudi1FCoU4vrQuDkde
dNHIxdWTvMKZExYXC4Ult/QcbPUYX7CFp6TX7tL7ZHCog7GTDeL4EmiPfNPbTbUxrZlwbSa8SM2k
eZSqwwkSt2c9dkI987WUFH5RQNPYYT+IEcy3OS7usAH5suf47DTliHffcXJ5Vw7ns4ag45L5DvKb
dRd113wrF78D+o6GjE4L6vt8Kqiltzqdyseum8aOgIeYuK1MIISQglWQAUMU7VfBxxbp6jMGie9Y
ukl/o8cGJCi/BTwvZlPUfU3v/qgxGQ+9cp9DSPI5pXMSVuY5uw5nypwyUhenXfN9ac0XDYJd85c0
nuqr5jQIhE48baO4F13rMrWhT2kwZLUoSIbwonDQtFzn3uJI1ixY4Zon1+Dt6iauKqKvQU03iuY+
AnVPpctxH36DdfwwqOHeK2McjSsTUszEZFx1znFx8uc64HYmXZO0OES2xq9pwKVnMPlSTFpIoSde
BfYIPZR0UxHrrud8VkzCPO9Xg6f6YvRUqM8tmID9ra6iJiY+qzaiLnWLB6cB50t4SG5E1Vf3M+1A
/NlhibtgfssZhRv+sLxZ9inuKIHRL2Bvtsb592Xqw4tjvSWTzwfPBwsZCQ6ve+u4433I60iX9BZD
fMopJ7pAHyRYOT+y5G57fjh1Fu4t/AEr2fdBfR6qCN92A/Ilaygy4q956T86lvV1EqYna76fbhK3
u2Obg456I+v+zepC4q6p2lDjPegPS8Vch4XURjRnvV51M3p90frD0C/0WqTZ97nf3gw1MZB8tb1A
iTFlN5HsDjDztnIGrAmS/EOjnBoADxDcJS1zlc56rsZ6o7k6PXzRq1U4pqEZHbEZ0uH32Hkq+dDy
yvO22SsJXNlXFKmveoSp/5OuOdM8/9Dfo4bG9OTQsnhEpUV6LfRfBkofDq0Mvs1PDpI7vXXoUrLy
uqeemGLdfaOK3uuPXc8+ObyfNLiv4+X0/Yk2PWufd6jfuM1mm6WEcVRlF0rboygeRJKukgHikFiC
F8Op9h2roDP7U2pj5N7e5F6DmzgdlxWJJz7YmSURbYvUxxJleHP13DZP7hurv4l6bnjpnumdXzWY
f90ZtZO6dpAniGSrJHkE1IkfGfd7Ddkro/YtBB4zk/CmIKJMGdEXXqGncaYUEsXOJZ3ViR6KOTjj
vLYScrOo7jDVtlozeT/oTdUK8SC380NDs65YACpwX2I4lfDPdN28NOUtDqQn0/9oPXkTL+HOcNh3
655X2vjjW4eegSCr22uInX4J2jBQ2s1J72FT25+uFbJ+yI5wXhrMl7TXW1XzubkRbnhO9qDxb42g
4/fyRfb7ebH8F2PkyS/ui57x1vGrZfcfeswbs+4L403bTulPEaY6K7t+aXSPRBUf0WX49Dk45VNd
xC+G3qqKMHvwF3Y5OwVwZuxSlyNSWwIiA2IWAjmfA/NZJKgIccJPyEgMmJD3FBZoY7BFhp9d+RDI
x+dkmV5L3w43Vv6urEMH5EczjFx78koQ/uXVcsYnsqKpVweH5tfbJpm28/MGvCSKHVE7NIQQoFaQ
UpBDnjrJABQxerZOyCKFnvI8y6JeBQMlaaRG5JRuuRHR/OklubEuUurSukX8OsXDPWD+maJtOyp4
SB2fqOtk8zZOdEGjdjM+xvhmchKTd3IsghjSOiBco7LPQvzwEzhOBe2F3X+DfUGqTLhNOj4Vx47R
EfPDVMOcUp8/U6iLYW3GL5wGdZIeeDgDVNvSzbfXqzUhQ65sY36NA7DXvH1xm/Qz6ebXFH5hH7ev
rsFdesSIzKjyMoXGCRb+qxca3+082EYYM9ocPAWmcA74pEjcM+TGbk0JjZAlGhhCzzcMQXdq7O99
QkBXlfcOhy9YVWjuVraP6WhovappeEptXKsaOT4BVm1CFLgoCdFxtg2tTxl/OinPNcDMNiDTim7O
OaMqSleI8jaOGV0q3z7AAqeIHPodkNAvn8szrP6tTrlzjFqCTcSHOTJ56CT3bFTeKVZ8X4v4nmUV
KuAq+xxt43kW5Pc4WA/NU+9R5a+rJHlPYQGvDFJvNWV53yCmwxh8h40+kKwfBHiioB3tME0zQ+hw
10sllm9dus6iGXwskYU30YPzFChmE7zukV7/SnGv2ONE9a1lyr6ySfMwp9RGWYDjOiLjjWqI6fJt
8suk0xxKi2mC75JgKkzIyJmxjiRz7AAbO1HjDUXQIY+srjkhlnenHlKqRm7URV0WtjOsdvx5SOdB
sxJ1VB1WlAfP56yShxL9/4YpdnMIJnHCEbBaSUUTxvlvIkdVVHyYxMalD00jK499Nn1ayGdXZsoq
ypbqJvadenX99XKKHyuVvRfYE2w7O3x14UQPOTclAkREmd9yKENQKRDiJEIIZP3BXe3X1jo17Gld
UiQk0kH9TZTk9TGYaUDLYRaACS2j5gq9aNiWSDus53rBqMaFmuHPqUvqK2nOAD5Ut/h/YwU1jnsB
pXMVRekrvrerRDjZfikI656zksCZocGbTAc8VUlwe/3S88z+6WNqOhNJvhmb9jarETQj2WG7VNMZ
mQf9Hzsqc+aJwtk1H5ISikZsJps2xmonNvE8W2ZQLPIKoduSWUNUb212EGJ6Ppwm/ymNOsBWCNqz
hBiwKGb+PDekWFkEbmyd8hDGC23DZ2Z01mYexdoVHE5FS72D7dYRPiSASQycyNogBATHyQbVjEVe
SEg0iADCIMZbb0kAhMJNipUJm8ZX4ResJEoe0I5RgzF/2GlCQV/7W8P80aJ93lZzcd3gOGjybN70
GCFId3qO8NhrwUt4YsiO4e59MBDD9giqXVQY6zSM5y0OioewyH6lkbuZkmY3ufEnCY4EyI/zTdvC
CKo9E9EmcgaXXhz7OBqV4L1ru72aEvg91gGq0quyzQOhxzdx/OlPJCZmPR9LXSJUZ0rgkm9FqpE6
28XN7Bh3ZHrqSEbnJBFx0JPwCVt8In/8W7GQeIvkJAnn+0AkH17mnAftElmkPBxG469N86tQyed1
v490jhmZILjA88EA63UcB/gJw1emOiBABOs8877o4wPk7lfTTy6eRkakyD4tgy0HX8Vzjb07ZMsd
huuvfYqqr2HbcZr8Mvf8EC3iiNsaI0hrutnUKrzYiv/so8yYmv497CrMVXM+4iKdSHOYME9znlz/
HOTaTCUSr9hZjCuUgYDm0G378RV7q8t1m2rIahvCW0//bS8enmJFxFXv78KF2nqK7vrS/IpML99e
H1jlzBuC0F5RN31OZvLZD3p35NIwDFCbQca/Yq/l5VscWWGx4PfPIw2JQ8RuL73o10meDNOnk0Gs
4SpLWRIVumU39fkI8Eg0W/WCEO3BD8RrUdJnRfK98qa9M/KcJOd7QXYgnmMcrlsoRpfOym8DdrFJ
zK9BAHiVDABGRi0PRoxpHsZaq+tLcRKWmf6hnse1DDCJoRzdzZE+akauvh1fxQTIj9KrBvrOLrhF
wYHDkm7wF7yUR06ceUg/CRumLgeR4vJaF7U7Z74Fr6NJ20e4Y6gxGvi7tBZAqKP21j3EAWMU4Qb5
djFNhbuddTcM+OsGAd0P7q8khNjyRAYez8ninUIHJhnGQI4jYV54jK4AvbQFRfgwl8M9pNVfyvBg
s49bfEw9KgScSoLW+AHvnbOpKTYlGaR8H/C7HReNh75hncZHrJi16XPzxZqNDZkDT3xpwXVxMCo5
+CXWe8wRWas4I+FrS96VWPyN57HzMGD67iKon0PedjkAd7vOGO8TgRm0YUz46rOS4/IZIe03o+IY
8eoGLRhYo54mmm3/ZJoWJEI53Sq+JMNLPuvCPQPzwbm2snuJ3G4VL/FJplxe2XxljcM11IIem2OF
w8LHLkBsYBwgDXE5RrF9oO6I4LA0A8I5j9eDuLwgsIboIuETPhZiShFVt5NrfFdUbMaybibOvFmi
HO89ZpO+mHYY2s34lNXvHuaReO2vr0v5+u0pGrOu5dCwnPyiaz8GePSSnXgSOJj3NloCNKvF1mw4
mY2ZHEW46rnlsKMvbDIINvTxDWG8XDa5XufXYyylB1rr4J+QDCLV5xRcaDdNZLyl7PFuhtwZ6Z3I
V6TWxsELG5XJyJREL17u3PJ/+XHySTa2LhdGbGFmEI8crbTDTwByWCFBv2T1IPAzI8V8ii+9iy1w
CEKaxRQoKcrkoP8Agtl1cdRqR+DXoIHXjqgnL8jf4X/betW2HLdLNoIG5ywASX3VLNEl9yaE7/wH
7LWxnW64iGnYVx37V5F/YhHRVeTfthhwkB9QS8/A3YNDAhyQ4DQkDEaVbIggfFV51FB5VBulq7Iw
JKBSAL3ZWAjuJ9cn/MffDb1p7gq2iHWSAs1QxhKRbeCwPb17PtvL9S2VeeiucwZsSZZepP5hhslj
uSoYhBleEgfYwWmPpMpsg8qKCZEps23ukdSWY7qRFxZpJySAyTgmp4QC0g6sO3KtIP7lQPzXqyvq
amcbr7YBNFARJQJiSb0b4nHRdgtjoAVYdqYPWAZyySLTl+sF/sy+Vus4B9Ub5/zT76jnWzt+Uc1w
Z4Nx4dWLWKAiHGLVPhj+8vO6qnUZe72tyTIPapqfrg+/s1sCVCpOgMW+NCaGAXXINybamG3H7deR
AE7MtcrBdREYgO+eZtls3NQGPvdjREn+S9Ixdwtj9qdAirUizQ7zpQIVrO3+LGZPlz40Ln4TfovC
uEVnXJg32VAfXBb1ENQTilsLY0E8evp+H5A4+VJiESUFCWApjPtN3xjEfU5EvTk8WmPw5p1bypsQ
bS6+Qe7JoQeGko/ljlX0Hw260nWIvfI+tcR3uw+3JcJ2jDyNmXTAiAai+LImmqcZr7DNUrlv7pLd
LoE2jDeZfcgGvUqbIibCkcTXI0XP5EaLBp2y91YsUXqsie9brQ3Qkq2Pj7weBUeM8JAcDOkf3NjW
w4XSrNlMKts5+h1enEbTbGpBGrjLFNrpxQ0BfNr6cnjDXhb70+Co52VT+4FjDobAkqNoAfEJg53d
YbkbMjdYf2B0Y88nYU3Yufig8EEAFFvBxeOrxiskqspdXZLzocQTwCEmUj2Hd99P93xLn9LPd1Fo
Mx4eseHMJjxMgl0fSFyEmDRmsTgz6rrNYKuzkiOgXgR2wsR7IsrxJhd5erLM4XNJAY5nt7ozEjaK
tIshZ3TOYzohmTLnO+lNBgp848Gs4xu9paY2NyHYcpqFcRuBZcD+4eUPgy+TJdX6JtwbQWsxmvhy
o5Pz9DHLNJNyWQzfRM+2FwcsSuaOpD2NjNYwCIWZx0wCFq27cn4mlv8gjWGTZyyQpsQYnRC+lhRo
UrB8mtMBuWlVt8NadewEEvBUNv3DaLlY3NoUraHxQvrN7RjX1A1L/GP0EO8GjfEVLsvN3FHg9haz
1IqgloDZMj5D/Bh4LzuvbBjm1CdkMBS3mM6QmIyvTiijxwTAZqQ3yWV1UhE2ZHU1eZvII3nZxM5T
O5QgeW2mSYGl0DVeJx9BaAxrzLmQI8ag8jAlyqWVf0y2bAMWd+hrk7+A9ZaRZXrdijz5YZPLgvAQ
0RTTZdynRhxO9NuZWqPGS7M+FQaRxg5TLCtD6VIU4ccMN057R736MZ4nJAFnCcC/U3ElduGHmzQn
GrzXKWLyLfRnzFt0iAKiSH19fM5ypBVysAcEnHYPcUJ2cpn9Iqyp2CM+KFf4/LD89Cbf9vX3lkqj
f68GS+2vu0WFXY3EUBmPq9Ww+L+GXh0cm+LfC9VNCC0bXOCt18Bp2R1zKZ9I1dAkZpLwjOyiCdA4
9wPEQRMwEvEZRryi//p/0SkPf9DD/szc/puRHuaRLtIRXyqt4fg9jaSXbYrdcA5IXNKYMMinSeuH
rYv/+0qzAq5tBYDgf/6t5t/5Pfxa6SjHYgQJhc+Cy/Ynfg8xIwuZfXiSXSfLO3exn1aMAOXy7PSo
W2Hx2l6Vrf7gK/9vVg/Zmtj//8/CeY6/4t/sQ7V46Pq3/m0gqv7lKDwzfTRAllRXocAf4iHT/JeP
ckDiu4/fGRHTEAr/LR6yvX9BdZOOD5tfWqbnchH/Vzyk/iX1j2KxKEtKU5r/EwPRqxTnz6RFjnKB
q6YNpc0kWsfUpMY/LYQqVDk2aRyqcU+3l2FAVc6Pg80Aq0jyTzJE0x0RCHs15+PWmmSzc8P5WAmE
d9ZsQaiaPQaXS/zkTD+vzcSfHuZ/83WYf/s8fMlVISWyLWh/ju389fIopih4U34HdclE+BhxVYRv
5nX6bUiThwq/s3XbQ7wSFnZlSw4y0IT9Q5hgchH7LbtbEEJOnT5bm7KKoBR0RgZjn3+4Sn0Vf32I
NDGSiAyEF8JU4jfm54itWTfMtMzgCva6WKS6CyxizXCKSi3vOBf2wbALdXDn6keGJSgDkXE7zIY4
1cyPl5YotthC/g/o2u7/87XZv5NiTR/fVKi5WHK6wnPM3750Afy2yADGohQc2HbkMrcwCp+YruJt
CpC+TiFRlE3dlhgQqqcKAti56svoGBVC0mrkm2WorFsS4FdN7O0G0ldIjccvUuKD3WWzCymjiI+g
YSiqkjzcG4VxDEGTHRB8h4CN58lKn7zE5lAAZf8HCrL8+6MnM8oiPYbBMTxG8dv6HWpXuYGf0apV
Ix53jf1RSroVrzC3KfOm9awaTAKDON1lc2md6ZP2yp/K+yEYn6cuJrS2D8lJK7sNA3R8P2r5YmKM
s5qTgpljSKZRAN1vUne1BNmIfWwsCVQr9+RbLPjTN/G+LgVJjjSLNVUnM9blsyucY5A4Nl55fXxr
tKQveliP5CnYhwIIXXDY3yQmpUbiOi/FI15bxwL8Y0cTkG9xatn9wxrQepW/rk/yrmBzcsRgzQM7
+a9fUR0N/uR2nN1WhYdc3rxHblFxyN5dqTLez6EyvveGeEzmCA5RoqWp7rnANHEV0hN4Y/U+ezgy
yrkgp8IMdzaUOZY5hY5XoVwt590yE57exeZjFCQkD7oofZXBn5bmdln4q1NMDunPlNJL6IHkf76/
/2aX8IXr6hNNsDcirPzr/eHwria03jOT1n7TmdkPldiPRZ3/0Kfb5HKJaRXwbnAdIXyKf6SdsSFm
FuV4nmrqpoXRmrvH6fHddZkGFcM/nLfX8/S3N6C3f2BB4XqQan+7wiCZPMeegFuD0nurmuKpxfAU
kfsHAcel2tc59eiIOdGQc/FmWa2TAHEwUPgP7MP3GFM/VmmsiaTUVmm4nUWxnQqoxW3pvxRphlMa
uWPeC/HmtwoYp4egyVgHyTB902LxAjyGBcwLk3949PLvGzQHCLp/NhjF7nIlEv/p/DBjg9lLzaai
fxO9ywtZqQliTgK2g2LlDcaLjMJvi7Qf46U+VHZybgVLgXHoo345PR4OmPM5xzRQE0oN0h2ot2IA
FssDpfIeSnNjA04HKc5xSjx62s2V4VdWIvT4QMnxIfjRBZQMhnrMg6wsOUyljpMo6GizbucH0NVp
dLHTs/lVlhx5UMiy6/iHOZdPpHs3KzfxviI7uvmfr0qpvb8dIXxlIZT466qskiwZOhtlPxrlb3Ce
NqL2XtLKONt4+XqQTjB2i3/QryWMH+E9y4/r2uxi+gqiPy+13VhrWKQXrB1hG/6TDujvZsqIlpUD
YGebPq2A+5vKrVatiw6fVxfUyQ9tJWwv3XtKKTqJ4CaL2vfJYXyk4ouOP48SLvOO+8RfAmZFe7DN
4hcW3D9AFC+iAX2Cx1nY5uPU8d6RIz8KDI9D57s05DP8bGFprX6V/cgdrHpy+YrTMIxr48lawBkX
Bol0rvbZMOTKKuSpldEPjIyohosBloYTrDVjZfTyTZMx7igMGx9YlrXJB5/G4GRz1Tz0uPmtWr3u
riu9detbOoPHHnhvlUi+hoHpdeqYj+BPl9lJf1ST+dhXzuMSZvAw8YNIxEOu1Dnl5i3Jb//PK8L5
+1lM9CHKbxvQ1cEk47cnPqGGspYaX4TF46aZRj86zKpJeJiunCgRhQdlPYy1fLx+PWbErVxJgX2S
3vgfTYh+E18bO5cMw43HzBbHdoRKEtq7UDi4f7BoYnetjOTZcfT66uHjxqjRhjgnrbiEa/+THeO2
8eCDJRV6J+uxQ6WYLyVaCR6ezv8GWLlrpbEmhJRCj4zUqbsXTXbrV7SwtprX1dLfhI7xif33i1Dd
qY3ro4VvKgFT1iNtw/u1J7y+guvWUxnWypuDr//8MFmgv5/9qJ2kYyJTsHAhp078TbOytKqSVgLo
3DHy23b+vHIZwm/rVxxgIGcyKNla4b9xx4wONZZhjRcJ91YZ8OmM/tSWVGOuAN4bHAAyq76dvIhQ
LUsDeaV9P42YX84OUxfslwCASIB22HtXJGOTLRrbOA4zoTamMNn6i7yd9cDZowOllH3JFoccMYy7
UhFtKVTh0MyIn7AW1kNAMzs52QkNHfY6ZvSUZ566qQep51grj/iXk9dYJ0In2pONyTVja3gk4JS3
brHgeNkBhTNg++p5LITAGpvET+ct9FKPoemEabD/SNjJJ0wvBmu2ebbJ/t3k5C6ufMrmts37LUDE
g+8PEzRf87Ukm3Gd0hcvt04NfFBGQ0naY78VtT+tGWqUm0IkFC322dHKXJx3qQs0IOgOIYnUrX9H
tegf8OOblyw/ZCPsx2IYbpxGnf9NA8u9dVWZt1ZZMvMWy6tCnWwOAz5SI0F/lIeRGf28zi4mQT9S
pPFL175X8Xzu8f9Dj5Pk67qOfwbVRORPCupR2C5WxEG6L5K3Uk8y5Og/CdYvZHW+9rQG29KTeiIZ
D/jMViwJdxPaacrPyS643iDejvkzUi3qaIjsNc2Z8U2ucyj9ezGgni2ZJuGC1x5KCmUoAuUmxANt
E6FRXIpKOywzvQhC/Dm7ZdiiUs8ZarpnoSHNwtNhvUxSrri3yDBcD6Ex2u+OMffbMndh5lWd2MQV
ZIY2AfjP2s3iH69CUctDcRMPG4hdjMcWKu05+ViYh0SVS253OUzbKPwZtyMBPEa0M2oaNhRJSQo0
T2Ombgq0pPGANGgeyjdeuHXLaPc4si1BW/JeSfvDyw4zTmmk74meGnU6KsSJmdVwEmfrMwW87G+K
CSt2EhYlyyjauyagVCErVlk/76yckDww88M0nJOqik7dOK3qyno1BjapMutwpWEyjH0oGxCi2+OI
iOG+axz+TZF87gCFQZWVe8/OHmYN0ZcNCW3tkgzUQjcOOSe762qcJIgPkTizFs+2cYeJDP2dhCvg
2a0LCc6r2PGXTRTODHSg3TQNbRUeX5jUEpl4/VomWcAIi8T7IvkSy4UTqcrTnT9wxi7ucs9UAfwZ
0kHhipKxv3I3I/bHXhjO26lySXprzTvfO8apyratmZeb2nBfOwHuKQxCBkrfyrbW3AyM6gfiLIV9
rEb2YtoiSEsAtHgGyuOQGW/BwElYOiM7VgblnTTWJBa7aIZF3zXNfT+0h4kWqtYMCXpKbK5IdGRw
vhskmuDCt1aEu/0wR18dAjf9NNRIhg6ZWKRPfC+NVB4nEEF6vgszEGd9pdA4pi03CanUq+v9Ns7X
JDyyTu3xR1B535PIyrdh31g7y9bpNGQ89qQnkMEYXKRZX9LG9/alRKYUIOmH+UhmQk6aGONPPggH
PnuWr5c0/oxKKz3XilyjAip8gwEe7pynBBh4pabxmBaM5ouKCzcSyrgUGBzbIsLDwvHAVrTsXXzT
Vhx9/m0wMaZ8xNAnuk0cma7JEoXAFM/cQU2wxBD2g56nI8dSdQxnFYh9MhAYTMRazYxWN7k/WOs2
zB67EW9B4d1cL/b6cgPZVGuXEYeCnlBMrVzbNewLUQ/Vrss8PPS12skvxU+36j3GLuM6Z1DX2wmv
Ar5VU9tiP4gE8LIGAdWjyuPQX7qIGi6w+aqDGZJ58j7ARr63yWcFBH4d5lVUA7SWClxA8zLzrt8t
YLb4dkWwWIZTbMjkYdzlxE4+ZCp+njP70R4GvC1NKqeQAF34Hd4tIYwF4QLYM1nmjeiEf2ombDQE
MuhJfJuJD+gcfMpRA509gdlkw6mxBl+GRBu/ZS3ysjLB2bNcnuu272HFkd42Fy3Kn/zN7rBPx2sK
yc+sPhJXPcmaQgWTtHFtWWV9N5bGs8AYIMOp/iaWsAvKktfhIvvOJ1fsmyF/50jMNrLArFf23PKs
eLawIOmqLH9ZlZn4lleKeWKGsZk1ojUYCoedJ8nabW7gi+Koft80+dbMLG8XLOarQ6xBpuw7J4zk
US0uZmmlf2zggyL5dKttmy0Lnfk8oSVgei6C7mgMQQA5rv2uBrfelj0BqFFSbMcCBnynrZTSgXbb
wCPf98b0VhU4f+NiT5gZw6BqnJpbR2I3UrjRsXeDN+YM9rH1wvs6N/GGxE2f4bMp1xP+H5s85LHj
l7gPkmLT6GffePEWxtN00rNLzCbvYBTHrxAQ3gyJMlkHvj1YblXRBGiLcSc6yznHKfMS2nZwWesz
M3adh3x2xClUTwxuS4YJ+O7V6CgSKbRaP9n2pGafKjxxab3YXzR118pR74UYo7AweDdM++QGK2IS
J8bMWE1Tg+2z1Vhvvdd8h58Cu0PMv4bCYyjSQ6gsUwZgg0O+sBN7eozc7Wgb050XE46yVDjJBka/
Cxm6AfywVU4RcXWpWOVGQwhBjzKw9dtfsAHpIdIIWl5QEjxoM0DZdNWbN5YvqvdIiMngGAjlDOwQ
zkdQFWAoCymIKovvIo9ObhEka2IHzUc42fOa2C42TP1qbdYoOXXmkSKEHGMdtZXlMDZ4C2FDxDbW
A88Y8QMHmsNDnYbjqTSOc+uOBHIgzOyC8VHFc/kYkfNNki3SH5Njsm3VuYvz/Albf3tjLjipKbP/
5EerYz4nh3zGTF8gk0CJY3YH2grEX1VKFonuOpv8pjJsBNwcn+3UUk4G2UPT9LBEYueMN1MAc+aQ
vPnmmO28zLhkrnnApvRcR2m8Y/J+CqZQHgkIeeJ0xp1iRDnvjICXFFQhqRXLu1GWrPk8a05x4H3m
RBEMwmvuybM8tIYntqE/fnM9KhHHBAq9FkpX+kcPqCDz7D0gVLg34FqbDSupzRKodcqG7mJip2IZ
ikdZ3BcjEwem7/BBgnCfuHOyLWwOP6cu/H1vw/qKcYoejAWTWajGIjFWg90kt2ObvoQIqjdhOk7b
66E92uX32fIZwGnKl0Ettk6tWp+RXJ7JaloHxWdBJboOKh6YarxznTgRtu/xjaNGyHsBS0azzyKw
LEyHPRLWqvre8UHQssSYtleaGaFPOGqECRV+0QZbtHLTtnVY9y15RDuIxVBWhgnBFXxHh+JI2iaj
wurOSaiP2nhiW7KHxzY1q23Q8H2EHWIbq/0ZVnBc2igQKwaqOLouI4p8SX0tsgGARk/BAWP25jjf
eX0Bj3Z67TEsWicJNDl7ll9Be8LnFlqIpk1NAbsWHai2sh32ZkL1S8tc4sbn342ReRsy2V3PME52
afDpwZdAvu5xN/rZN/XUHGI5I4doATeMxTlWjreg1iS/F3FrucV2k7jwnOYgbSoYZQRTjMtQ7+K6
P0zTYqPVMaFjeClXNzHGDuOX6xk1+rdOp3axMb0g/I/OvA1MsLvgfriJOqkOCoxqFZPBzH7m7b3O
A2OZCeG2lnVYqfkG1im2fRSpupqCTFEx10220EPCdVpCnbAKXgaUvqOSCJKVCQLAkYFUI43PIn4l
SF1sK6cN13W7MEQlHNdTRJ724wsO7qzhIBGrvkfmIKqNhbPkNtEzuJS0l/XoMJ515ehusmW8VK/m
0Mb3Lkt5lQtMYKKeDwERxdNiwbS9IrRtiqOzEdpniQh43xCNO5qJxadL/KXbQURfgs8xB4TK3fx8
LYHLEV1JuSAVvr6HxDpRC7VI+/HhXoz0W2TQH4029BgvcNctNn2rHtdiuheOI9/AgSLlIjO7eywH
FW2qGdTXYzYdQfHGY4D7Wepy2wwWOQvDecFixUH5smNhEiUPmIyDBQ1W2GMbTZAb9gR9keEI6fAl
Jhk4WTan+yh6l2EPL8amDU17qPKDhYlzYa15mQHSP/PKhGF07R1k95YsMzMR8KBtTWPltE9mBMkE
zQphyllEKstg4v3gPFS69VNO8R14JSa+MpQ3pfESe0wm4z4ZfxI84joKmZF0ie1M7XxvEyN0uP5j
MuleK6tZ2B8ZC+eFNx8MYofy3g2Z5QuT9nXuNpNXtNu+KlwN0zOH95Z0P1MOFYnNJVflXXtvNoHx
jcdJwgz+Yo1MnnvL/RBR8zJzz7dtONCOc3qY/4e781iSHMmy7K+09B4lYKoAFrNoMxh1M2dhTjcQ
p+AcCvb1c+BVU50Z0p01ve1FhkhGuBsFVJ++d++5qml2elPSbp4na6c8FAYGvsIrPQluRm0E31+O
+rWpMl7sqJNbSo1zBcTtrHM83edukrAGh/dchi9NkSbP0tGHXZLOpBS3uKg1Uu+OdllYZwblHPV0
Ep4RQe5mQE978HeUq0ipT4S7oGMIil/R7FlXqiQVxm1RaC9PVnsMdoWnafu0QKeAmrG6bpqlxory
X0kd5gf4wRk/gUyAOb97pbyGJ6qcNYzu4nnk7GtWwY1B5MK+a3KM4VPhAecy94r+3gqjhHtjZvnZ
gCeyw8+E/ArcgRhn53Zc0NysRC0TMyqHFqqxTM3gCNzmghtmNyaWOls9KquumCD4lKihejct4dAX
5jnrlkzNZa5jDcHDnMThjnQ5eg3OmF4FJSkSSrsLwIiu+NT7I3TCaKVn82MbF+IyLybvnKGgqRm/
nL67sRza205Yzxeek46VtjfbiQqwrPWNpjnxPkJ5vWoq/RvJdrAz4u4pHNJmX0nNuarxKAK7ADna
FulBa7RvlNH6OtNsWnyTJPMswNs8TCZpa3wf4AT0szcX6Z7p/YuaIa02h2FGkJS6+YDuvIKAjREY
ckN56Fx83wZh2YT45Mk+rZyLMjR3pyJKHWKtCuT4pSz7XTAOeFKssdvLPH6ubE1fFZnbbeMh/Paq
6WwYYbXHzZwxrMz6g1bY+CRa9mCkWMBgjejNTiUS+jwqD62DjQTyhXXMZuUX3mMh0vzaQsSCut7l
p8V1ySjinkezN06jNgZituN3gnz0jID6rawQKo/gHDd56xBTRQT8xu50aALYP+ElvDjwHq6KkCDR
IkbVg27CCVDBcCCfUXvlW5vYum1Jl8/Ism32ahTUwzoXOy0NUny1Wmyo8ZcceTppugw9rKjRB0Vr
sDZktI80Ln+4yjNI3A4niBfzU/ZrGk6kJ2T2S9VwZA3SCKB49wlYbInAhVlvcznmsrJZwylEspyc
2MHUryFbcuJO9ePsjU8F55FsKBF9WLV5rIvZFzYVIgeBQ+okaotkMEQnTJR6H3Bycaaj1wyrqJXJ
VYh/c3b0cNOagGnsASnk7D2Z5JPvvUuGKpC5Kwd8GdvHIF9Kkfp5nhsyL0pkWpb9KOIB+gN7fePh
qZJqnQpd344dleyoYLvix0i2mpiiFflc4xGvGMi1PRqx+hR6WEN0Dz9/2ZJL7hk44ZpFJjnSoCtm
x8Ddy3bpmeyN5EidHMvZ4pf4sBs+2szi7dZls1Fuf4E+L1kSKZx+GlRwjed1MYCxx4D9L/rRP0So
P06lqJ7gvEhbh9ANLslc+tV/GN5EEyvxD6pcX75ml+wgfBEmHdS1PumUGTo0/9qa7gpzRI7qaE8q
6qt9LRpCI8ro1DTToYOs4HduFHIzTiPGFGRJ1BHU9pP5AXSQ70orkN+HzWIAaeUpz+N7KrFkMxlY
AMCE+v+iL/w7ycjUIfcJh5HG0tawfx92GmDn4m7gCAIimIFr323wJI77UmP8Y7nDlhbXpus4/ODw
NSK6cjQ+YrxO9XkuK8qUDNqGCfjBy9R13wAd+nl9/1s1MJygBTP1/14Bcynbj7c/43P/8Tv/0L+Y
f7PIzmXW5Ji6LchN/X/wXO9vBO0imrCF5SCBYdP5p/7Ftv/Gj0tG+nyLwHVN85/6F5tsXcuFw8s4
W8Imsuz/if7lR0Dyx1tAh9SHcoPLhOmsYf0OOmKnzvRKt+jODNyuqdd9UJADhem8aj3Y026KqttA
o2Fk4x4Q2XfKyGwNk3WtcWDJBxThs/VQNJgZsPl5Ey2oWIX3nVbmBwNrJCgv5dfOe6nAodBYG3xn
rBHrWejAy4OpMSOzi/Q1DWwogfWlWEi4g6QoyrL2rhnYEf/w3fxXgprfR1C8Xw82mc64dkF9/T4z
URKArrFIfao8cNFTu/AS+uBSaQJbHE4+P4aOvXHM4RQ2qB8qCrq/fgXW79KzZQTOlN7gD2sBF/82
Co8C1XOgV9OP9CxmDYGCxGm31+yH1E2+QhXwSiL0f0470UOyHZDbuKjGSXtuGkajZI6RUYKS1rDW
nBrhfts6yMJFAZ0TW9lMeO1Fq992Jqie7Mfu5xiEqdjhDedPRqsYlUi/ouSKvgoLEvpfvz+uUFbN
P11Sng6DFe09Oc8eUrDf3iB9f4plxazfdeoYf3V8DAw6kpZB7EI6Qocwch+T/qtjQbwgRHGYeMed
i62ZEE6T0I64RLUfYzkk9apMgg/0jCSoLgiYqnz1gnnHCYiQT64+KqfgRTpX6ZHEHbOeAh9rO9bW
CXJAOK8NmuOExbe2fmOlISnReiTXxJ9pFSFP9D5wtKRczo19g+Zd8tVHYj1HIvWDmnwvdzzascDq
VHF4WI+CEe1cMsEommXq8Kln5kfioexVXPSyAqDFwI056oKtY0i7crtnqnR8IIj5iTOjw5ffjniS
ZhsG0mOVLXEkCRd40LMwZwF9rNlZofqFkU9+yYJ7Mskpws3HBzO2BYETy1YzVcuHNdKrGI35ussZ
Y7g2D5B6MVOs21aDUdO6F12NBEgtvzoseIFwCeUisK4FBB9+17gAzEWGks/2hsbha9Nmb7ADrn4A
d3keXIgJBVazyH8HEjlRjBC3pVOFhFl1dDKq/p5uU1REA31Ai1hEIn+cggdUpiRiwOthRfPl1Bpj
homm2RrIrICfVd8mNV10uc2j4otsdkLnsvyzFfU56apr4aDldhfF75gzKhsf6WgcNHJ8SNeBakdx
SmOqws72Etqp8FUN793U34SXD3xhuF5+EFd90H84VI1/Lzjs0s63mVXtGRSiqDUR7FtNvu6d+JtA
rJMWZhulgbnqh++Gnupw63bTZ00Qrk0noZjxyuJ9KDhRbJ1FspvShl5AeKjuAGqGI/GObp/h5g4u
P33mnx/KMN3TQG4qgPuogAW2cRy3MV1bCA5tTpTegu306GA088mtR2zUneVXFTaHkYcPO5oFeQjR
YJlGtzOXoxxZncAafFUcjfV420D4W+PM5HwvMTSQPgfLKyQOsBwvMK5XgdK4UnqYaO6bWWDuNO+k
0j7/P6RHNhvR7zc7zGUD5SR0Qhv1359LqCkHBBiQAc3V1fvKaJ5LjjOuvVOOAg3ocYM9ZWV2TCPj
dpFYsCBfh4P+HaYYbvgxs/PeBLhAtHJ2JL8XEQUhWOMqJjlhNQ/FFq47LXket6nyE5atX9l9YCDN
mLkbAR5+T1X0Ho/M0Fp1O8HI+lFbidy6wzJyjSByFboaYgG6Uctk/q+XOrmI6/680hGBri+Vo4T1
7i4C1j/Wj6TbT3nOSRPdI/FHk7kRoYWkQbugEkR/znY5WOo5ol7mSIyLPbjYevLtZWKXtqRz6YI1
aViGlOgz2IR0lZ3iUl7jK3mnU26tFiVE06LiZxCNzCeh+djW2ZVCHFIqrQDIUPtTN9MIit9nNChm
lp1wfb0LjGWDU+4RLSY8AVKSFOGHdhmN/jqw2+flA/uRRxXhfaaNz9mAFj/J3r3BONp9dFi0TAPi
l5ABdGQ8o7q/jWteDyXJTpjV85jad9bQ7xIACbjR/lUFK+XvNSx6YeohDrqLj9SAJfznD1amfcHZ
MwZLhbomScpTqxza88eyFHcyc3Cf2Tt9Cr8djGcUGL3WHZKQUFaFT8lJ73rDvV4kV1WRv+PCPy3i
rxQN4KoHYQl2qkRo7jzVzUObZt9zisqE1CEQb5a4i5a3HNy0nfNNPBgiFfht0i0fvMw8zHC4cAan
3yI1N1NuD3/X+sdNDXUo/VLCOSiTB3PjZsOUjoC15pm23sGVzCPes5aZvKNouLaQ83p1RcrKvCIr
ztw4ku/JTJHpaLWGr8hznyM4NMB4cV2lDVpZxRJfOVzdDBRsObBATPgfHW1XKNwI1Uik7gC2j1k4
3oROHBW80JUcrfrQASpZolPO7kQX1NYiYz3j6qJfpB2Y8dd0R0O/U3ge+pliwFgQBzAD0DdrGf3/
cAGRZWPg511/yJy0xR6QEK2Dc8XyFboJsEwFMYy4QsoxtNZwUtCv9cGbl4/08fFEY98X78SkQ/Oi
m+Non4ElXwHsYMsGDJVU6EuVYdFOjIa9svAIIS4nYik9kV2IqyT7TJxo7+lc3E89QTejgdjVrvrr
NlGPFJNUciT3ZLnNgUrfttMN1MiKFZJAKDW/9Ua/LaDzEl07nOfiVwIlGLsLdUncgo8KYjwqOE2P
VOJPSWofzT7BwYEpvZ61dj9oqBLccpNjkDkObUnDaDunoJcGjl8r4iKRdAwoS2oxKq6FbAASwVnP
LSXtvd5EBlYyo5YXYnghGXVOdN2STaXPr1P0RT4M9viZnpEo8pENsKRrI8BadN27Luc3u8S5Hcfy
q0S9vATDFdt82KOnJ+Fp/ooGy+CVITgI+uKzhh+jS8WyOZhPLtc5fuOtMrK1xEu+NuY4YPaztNHM
m3jI7q1o8kemEkfiR9EopzypgcxFifyFID1rPVRwTjnrd6elmTLbiFmVMq9T8snCWicSmTQ0XTnb
Ql03paJp5Rn0bkz6z+kmNvmoZF+dwDF1qzmqfCdHI53k+nwz6bAa2vkxF/WB+awCJCm+7A4SiAq9
5ljiniH0KkSo6nnfrqYiLGUa3Vd57zWEQ2thzRGE1GPSDchtbYuvoYkY2CH7JiQG6YWtNoPZtNth
1AbfGmlDj3yguSgfXOJAkflVAiHsRszjsvnQjU6K+zwwn7jaX/MQr0+YmbR89PpemMOubbgJ0qzT
VpPdvld1wsVKFuAK4ymu7jm7r2XwCRgX0oRK9hkddQYUQBo94mBpTrWlwF014YvTnPwcMW4H9enE
3PbJXJ5GqIym+6utr4KiYhRA8oNhDg46MQ2Lkil0lOpJv+qYLu1rUiH9fJFdTWmqVrWW8UdEkZxX
0ydxSdEghquAq5EApOLVEkV9RndAb3sOk0M66Ny7w1Lc4sUvRc93WWpfg6J0qeNoZ+okgHaK2eFS
gDeEAOMg51cK1qQV2Xo8JjNaSAVb5VnoVsfm2w1ibR/n31BS2/3caCctgaUXgkqVpfU0zIGv3Nld
mW5zyI1026r4xczcYqPK4W6cDG1lZfbiczQyogDVjSLseRXb9T2MAKbeipg4YrOGOnqVwzSRfqYf
OpITih5tNh5j4VsDlu4ut6/y3DD3NZbUqSsOvU5yb26QvNg7lzSfmbmFMdCBdoI5aCKgZBVWVnNW
lXWSenUxE/Vu6Miamop1Nw6YOkbTO6OIN5JADm3DScpbik0pCT+a7C9UPDHbUXFwzeJ2nNCtdz2I
Cfe9gP+/MgP3TL7vcI5tcwN5cKNCGz40/VRrqQ9a5EHLtrBSAHr8FmtkPixEECNBDdFdmZN6N91a
bTPZcLDOV4PXe1vZsyqidPgxpD7JmF0FrS0Y7NRiBUoGYmnH4izaoPY1i3OsURmXVpEDqCuCXCOj
Nn0PFhrqDBxxoMe4H9oGOUPIWeFKuOrUaQEVWOJFO9vKuWp1zCKxDhxvyo27xoagVVBMuPNMEZl8
Ul0xk23hfbRNwni8AUg/CGdjSVqDgWARlkt4ltvq30AayfvEZToO9UProXLOH6egJVWVPDxD3mVF
F/pt6SwOUFRhhXqcKiXYYpDehUXz2io4Hykri14suF5wEQhZtIEHtbPxrmW6PkCY8FQe+NKExZE9
U7wXNR58FUSfcvbu0smDTGkaLJrRSOkVaOcWvAj20opS3iwOTVxcUQ5t6qBlsbY0w0+jkLG83VzV
ad5fpxWxXqWwn03MCfUMyMUm7nfIGHGWBrcLRHX0C1ZywhcxbXOtpPPJ0DSrIG1WV6pthM+ZjkO+
yRKVrTXIj0yAxmIz1Y/arD9WzR2SuPuglF9DlF2wyjykdYy1ltBEUSV3YjY/Ef3ACJyq23q0/RQc
JkG2T4HKqWddasowD7bxmPLGM8b5NvSFLDBWnubeuIVMfETJR91iuy8Cu/cN/Zus8tUwXty6d16r
ufdt0kQ2Re2dTVU+apzT4RakWyOOHwwPxYELFBH36zXzGzipdINSrbo4o3OPWgjFfuLOhzQr9lIB
9moE2sg6UmtQMIdgKLprTgvridnGVTuHLzKxnRWUPSI6lKujPvXAfwszQ5GaJ+uqWfI6GcaFycLZ
ZcLHBFtcq5xzkzPEVMf5/FGlxjbUqH5wCuSc6iu1bcVtOFyQORjHkQpig1hCv0PmdqX3wjvm8e3U
gpJ1iKsWYDeAs/8IzFrmfyTuyQhxW1adGCl3mXODmXfYtoGWY+iUp2kIr2vehU+aLtQRq2MUnUy5
z/pe4dhkLJzFHQ+LiYZoa2R7IfTlxR3szsqgf4UzKPdKP28lDZyJOzIdMX/Wgo1j1ujFWPiLfFHP
rq8R1gZVxf6aEvHqxizvstVf8ih+CBo+M5o/aJ+MjZYk5o7pws7jE1uN8s7VvXOuzHFvuDbqIEOj
5bZ2QjvwOdoCP1qmX9LgECKmGqCK69HVjxEraKaz/qr1wU8pyplPLezZOin5ngPyo3roR+nFtct0
WyUziqUxv/KYMd13XYdI3WQrQJZCy2/LbPSJSByYaMPLRBjhGYINwwV0era8sZdeS00BcKWSMw6v
TTkuM+eaq7OP3dCfLOOmrO1wHS8QDQKksFY1ybMx6/QYlVdtg2Z+Dx3+mv3jvq0BhAZu+143SCpq
guYPBG36YmoN9MN9yD3g3YSRoW+6UF8XsJqRVRjhYaztU+YxeB1cPfaX4pamivYaJO7719PgmXd2
lrN59nOzZVmESrPZtHUv0Wrp+Cs0Z7xDu2a8Y177YOZlYGzummNjUtYBbWg2KFd20Ovew5DNLAyi
fRwn7RoJyy5Cgu9b4t2sI9MX+TTt2J+lV2jbIC9JTG/RXs/jB8fiYdvzbGvNbV8W5xIf3n6w8o8J
lu+qFO6GgdR6iCdAG0mwUSjXGZOH6LiBPLsNl1U9pZcWxfcESJW7pL6VXWVsKn3iE5re6D5v1SS+
JoBnHBrANksn4aBM8CRu7tmYNzRlNfoqxk1q41VCfXpTR81Bxvl9HBAYGyvUrksfB2Y2eZHdU+Et
nNRlOIwy8UnmWMRglY8b7c7Kpvi+dqERJMp+T1okPiU4Xo527p4tGA4JkX/Hts9fBkexZrgWoeVo
tbKABGKWHh8RzO1sZ1fBrwSe5UqPMlAhEcXoTCOg60nZrbFiIBMlZGhkJzeovbuCYSYkEzoqbkOx
KX8Zhe34xAy0h9Ec03XPZufU+jbomgU4mcNXnlYVX+au0dk+UfUXazz5NJj0WzKm7+eBFMzaDNg9
dSpFdCcyRhHdk2a6ajp871ZxHgkVhpBKLwO6DnFfUlVbr2NdaCSbCFj0+9ZDt5HpzmMvEViIoL1t
YukcZhQo9M0Klura2Yc0QR28JxnLBgeOYfTbPHgoXPoIA3Igl0ytTjAfRnu/6z0zWLdZuwqNneJD
JlCh4bhFcvNKUqUZajhFUEmpBz1E8HXwps+AfytpfCOWic5FFmzGkghexsMnmLYj/ZRK91MtY1w6
E+tpVbBZxOLQRyHwqLL5Ki+tS2sSWZV37wMNsBWTIfmgqgc32Apk9gilkgTpK9tQRnKNnmqcYtx5
77gXU7GkS2m9pr24F5r5bSUwj1KveHQbZsEzjC8odv2XaqhuvLodfQKCvNS89UJO8oXtTjvDPhMF
SHUh9XNcsi+5sn8oqVb4TjR0fCRgAKQY7gAVVOvS9kyk+u2u7VFGhy4ze1p97dqMos9sNn3Liz+m
ReRKH466nYwMxsY5Bip4j5qNDrNuqE/EZaxbsfXceq/q4AvYVbsuAPGAKCYpb7naE6v6xEnk3g6N
R3ivgZRzfIN2DKMeilezm03QMzJDxIAK8TmYh2STVvawYRzfL8gRBDCSW3ZcLrEiG+o1rNpk/fOi
E66jyiyZHi4qDaEeK/QeIdXYUvtI4LsnNGTGIUjTewvgxorYjUs8Nc2JGHiO47I51rTmCBKl565j
QZNjlR9tSGY0EK9DaWU7vSaldWhwHA3hJ3IORCLFlz4mge+0MelUVf3dLLTdMsjHbYaaDPTCYfT6
8laDn7LKVfSJ+2xNGFOxSlPYB0XVZ7TXkffQfy9D8HyERdtSg89hFSWF0wJF0TSqEKf8EKwKOqIR
mUg69jLf1lTbq6Zl6XMKgKR0y4TfAhHaIIe/sYJgXHeOKTYI2t6x728DmRJZHbgGsyU6w97MxanB
udddgqNMeeEQCmwhTLYoYTvfDIhWj+RzY2eYdwSSeAU1kxfzEqfDPnYQyk8lKhIbfmTfoGfua+8l
ZCOUKVWOiqrH1I32XTk7O9KTqT3j5CISUo0cb2rW9q11hx4vIiURrURPY4TjebTW2PFEWYVXLZ1e
VEXkO9lxkW2Rj7G/D+kN7p1PFrWCvoNBO9B4NyQFhTCwwolJuTvLVDUa1txAt+9FRyuPbhPk7ijN
iWeExD4+UGi9qKS7Eg2NXg75ftXNxz6FrWczONDSYRv0rtxiCOkJdnCnx7YddyZcF8gK43bq1YsN
R6Urbx1CWW6h3dFVsNV1MKNHLKNUHTXMuqkmn2FLJDeibxKYR7hTWvvAJ97fVgQ8rMil9pg6gd1p
qyeIistpLOTBWMvj3rwZCo32PplmJ7M3ftV2G9Of7FEkqv7SViMUwbrdk1NEuGTMAt+FuAOj+lsX
M1bbcOl+VrsQjQdVYP7E4ex6slmodGuD/RbCb1IUV07OfEWCyIJGXmxIUIA/tLHS/ls4YN0dyCJR
RKBYPMobqsTrrkgOjYylb1riMrUzvgIs3XUX7+C5A/Yx0GmHiG1ALxKHPbo3jo3IkmSVSwZEfJOI
CN2hFtzNURLvgKa/kNo1pb+a4gV7L9rbGv9knGCCsrG8ZLLmdJuOfjqfnBDHbYuUSRUKbaXXbQTT
ud6gd5KlE6uxQ7ZJxdgKr1SyqbSQNl5oHnu3iXaawYCUPkhE9GNam9+hFo83DhKcWWjcKQJ5cJxl
j2PGTZfMyYSZrf+l9H5fh+5a1RiCAkn7PWShSmGKBlP8NJviXlbjm5tF6dkNvHFboYtYW2FSrWCU
vMXBAzl9qxnee97Yrf+DIUmmncr0gKMcEhutOOTtp1mLDycvgA2l5Mkw5UEZH7jyIDssL8Tn+W4z
CEyKA69+bGkmhHZ8oEomoZxx0kjFb1hXIM1Kj/TRET362gvz5jgbzna0xo+0x21Q5G6MRUI+gBUA
0YO3hjanGyAaOsb2G2TadKsNLCWFSbxJeouoP6SxymBltBkfp1Z7jxQNoHOMHJVAEiPnkORkdoNH
w7B3KVCKtTJK8nuWSJuqP6a6fbGrlNBsUPaxrYdra17GUJT4fdDSWJzi7zReWsyYWGcCzPxm0d+J
lG6yNU2ITZeRX09HqRlic2NLZ1/jBVxFlv0cuSba5cbZtZirMJ0JrELmY1iIEOtifi6XubMwyFKJ
Sv16Ghe4Uc5IeC64eoap3ckJQHfmMHoUebzD9sVekJ1Moz5aYaux7mggcoH+E7pIfBChNsrOGW2F
ezLHaRhZHQ6w5cROQx8XC0hlAxvQstVXgtnjkDHqN20XkmU+0kid6+3yoSaV8xK64+vPryDdd0Lj
Plsgk1S0i7/noY/Kwf+Zg2V8M37KKcmA1kv+D++kWhRKFpD1ecy3aU5b6WeI5cXlVxFwZFcB0zyH
fGZBSP2gF8+ZKqadU9uMPrGs4Exv6WRE6fjSpRRfRrjTCfLx8wWGO9Zc8p2IiBWYEwLjwTcCND9F
aRhtx8b7xHhPad4a/Luy4nMTwu2tmR7PoN760vUOc/wsksS5aid33YdxDMq0O+gR7izdiLaqCNmh
BKPZiJByRrYzirdpvoP9h4yOvX4xgjYdCoZeo5tfltYxqZPjmIlp/4KOg1POzPtFf8o0Esi4V/O1
0C7ZJ3p5G0esex0r6MotD4VRjL6Z8EngGrs1hb3BN8Rzj8zzFtJ+hgAWVke8Lyq2Fj1A4l9Y6yrk
fyaHEoCtJo7Di5FEHFm9eZ80dIAqhQa0MpydPrbTIR6sA4qy6sVJxH2gHPT50GYJfCA4pcyzPa3u
izRJiIcotK2CcNr2ErEuhPKlk/uOiDw9ZtgJKNfs6UpF9nYu1GHMMBORrln9HWIkEhQIDJM1Pwy6
X2iwjd3ssZKi+Fr4vBPps745q5Lj93w02VNIWUALoKfethic17Gw7o3KvrYytOzBGD0MdXqyB0bJ
uBtpzjb42Byde43WVCpaCsQy9IfOuocZ+l2V7vuy3bom5azdLCK2g94YEjY7wxEGQmLVlx2NooZ+
dlZV4cYLP0p0kJt6cPayrr+GoXDAjiK5TzFKrk2imjZza+0r6uk18cy7MWhpuNl0uJLYhGwfwE2s
0wDomrhZHJ8rhP+NU+gkmmBky+J9zGqEcQxMgTujhJwz5NHcfOQzrOyu4UMBALgdUsBiTLU0HeA6
Vkat0+s1ak/cpPzrDzsqtG/ymAS6yYQlmk+3Pw/Zy5o5aPPMTPSuCpGBeAEOUW6S3Movi6G7dRk/
dayz9ADFJWHk0RPjNSju/IAjNuJDPpciIGqAUgA4mZHIXawx/GPiuAzJPFQ5q3Ii12DR5wY1NtQK
mcwQoPDDI6nhBwV2fMElxsSSSeWP03nqMur61DpMHdgTWMTXAcBi2H71pwioGX7YX2I0v0G/3LmC
XMvYNZ6E1z3EiGqRzJJsEJtEhuRAtfFxEHsfB2e0Hh/tgizgfHdd2YhasOV1kV2u7ASghYZMtbCb
ZyOWV2M/nvo45Mijo4/p4HtMScS5pb3JiD6s9mPm3nZzudPT4UYIZu7ArrwcXhwj4m6w71ynfU4i
oOkNCQvZdumPrheaBMgdOqimX+sfYYfmfyZLaTHWLsb1n5Gd6IjfKOzyAvzxexmawpo6ZBM7qule
JhtRlCd2jrSug268jhnU/vX82fyvxqQIlnRXpzph9PPbmFRo2G/DymaEhVLAYfZM5/eZ7fE9yc27
cIkfyi2mMVp5GBRuO0k4X3GXif79h/NWW0DaW4dMKHtXOEjx8+xczMGpGJ0V0sf3Mn3JBO1QFf2a
rPjX5KXvP6//f68U0F0YEn8hBYQX3MVFqf0HJvZ/+4/POPz6939b/qqbDp//598t6+f3/ykLtLnW
0fG5pmSh+Kcq0NDRCy6CPIM/EYnxD/+AYtnO3xaQhu6YkKqEgI71n6JAIFtoCHVdpx/A5FzI/4ko
0ADF8Gdlg07lDm5RmI4BuwusP6/ij8qGtmFhro1KrkiDWyPbjlbOQG3S5MEj6XLIpq3jELRojxM2
uFRFxZ7kehfdTMVJ6gjU6oFctnvVipD5W3uuwvTXKCGASPuYkABGYVzuutD+srCG6TFyKq/4kMzn
/NFZ4sXsigil3Cp3RHdbzHD65N6ePlgt1lLT53vqHLao1l1DSb0O0+nBEu2lctznppjfBjcVe0eR
QOcN7ATpo+SL2XS9EEfCyM+uXr7bOieuIMR2os/yhMox5swPIoLAI84967Qq+wM+23GdRUa8K7vy
g4ES+kWpfbvm+BC24ZObeXuZJPdM2s5WlpAvWNO7BrfIuq/rGznGn0zCBsAEyVUVY8pyA/pMyL4f
c+bHbYqvWeuttTYb7kGV6rpwaFE1/a20q3rb02fC0H0XhtXHWOjQU53wVLj9Zmqie6DGnMgF8xLb
mt6avq79qne/xmeKbp4YeR09w5S/i8EzDtaHO3R0+qzyUYb0AQcRkT6+RKpMGJa0BEixs7QSZS1f
4dmPZLjtjKC4QuX+iYfnoU7rI5T+atNE4uSFQq6WZighlVS1bXk3BLjrzRtb6cRlTOsJaEPsOd/8
d8uyc4zhRm5DGzRHWTWbqLfePFPFOLTVrbV0K5j4YtVwzx3W/qNONkZK0vhGqRj4b4BUms5015Uo
BRNrF2ry4GpjwEFTng1uE6qI4Jd0A59pQh70b5Yb/PIMX9ew97bVZx8CQ7bUbsrwyDNbpU9PiQWo
O+cU0iDeSOqlFV8rFOlFKU6uS401y+lX3hGZnTJiVoxcMWxKGhvJKXSRu+Mz2DgzvYIcWdBBDzC3
jzKrt8mB6KKcURikgkBnzwsyTC9yLF7yCqyxgiQ1F4y5aAhYDBrrUuZnLhHOSLPNTuryzuMMq7Pu
zB/BbIF9191b2TJOC7L5ZOJLOKkey7NdY/7w+epbkec+FTLMij2RsTc0DT7LASBVsi6QG291QV/F
nNK3oEteBGrULW54tRIJ57Wo9T77YbHCNBsWgGfcGuXaKWvS0QE/pZJSa2LSsZvc4kWAU0fSyPdg
JPOhivTNbBXM0wq4FY1pBtcmGh6/n2hF9n1ynkyLZhfAY7OkXTnhyFpj1kdpimTSl1a76WTJwLzD
sdDJXG6MQX+oq6WzadJ4LcRwHWZzuqZ4OWIk3M6ZWfhG+NjFnFW6uglR41WAaEHkrzyvxh6JtZK0
IWMnKpGuOy/iSSPNvOKja9ZWR9Omq7qNGp2rcKC7YBQoYKzgdl7S8+hjr93aARhSHue6IRKKVK+Q
TwJaxpJ/AP+82jAje2lo96wMYyc7rT4SJ30e3FpfxdpCVCFLB6Cx9whZT0EPgPLsGtwHQc87VInk
GabAPAyRPKWxC24j6A+G3FHoJGhdqLUgX27mlCO213JrDZWxoz/m24RCrsy4erQyDsCVnPdzh2FP
pZ7rG6kEwM1zJAZVKcmWFSbY6sYy9Wrp9D66R2TcQcf3MWb9pqrjtyAAoD6q9p5I2+w2NF8wMVnr
ECgsfcOe05lmpnvlknqUpPUJ3yjNjM4q9zr9dhtx8TrAeoy9GkhP5JVX8FGj/8vcmS1HjpxZ+l3m
HjJs7gDMenQRASA2BoM7k7yBcUvs+46n7w+p6lYVu1U1uhvJZKY0ZpLBCADufv5zvrNVdwo8FA/5
ozwRG9sC2a/u07G9RiY3DrXC0VTFjcbDkJtlGIOXsnoSWo9sNBrCjQkFbkHU0oqYlfgrODQ4tI1u
i7qNXhMeiHP1luAODa3wuW3KjzrlEul1na7T2a9m64I+E/sTqCLeQA5EElD3OBnLJp4FI/OcK3Tq
SF6kKfCJgt7xgPKIuMKqpAQg7asJGkX8ntY13SSdEnqoUtDS40uBPYrMzPDMiq5vRT0MG81CPdcW
bmnbthjbMPJK1TSBt48Nbpjes0q7WOvwMAymu8DoPo2RuDXuCaYPcU4frV65ZPgIJeLF4cbX3+vR
jNxooCERxlUyxcMBqcBSzJ8DcRFYksK4trSrNGGxY/xob7Q50rcUalxmDG569aJQsX4qp0uO9nrU
7F0DVdGr0U/64W5Wnds6wCac4ugNdX3BCV6n26qb3TBcHvWBisu5xtZmZhaUu6F/thHYcjlmBzhL
eGwV8Oqm5N1eNDGzKw/wmCtG+6Syh8wHarrQ5wskOqldF7H6GNjUAuvqzDSnWAzXqrrrrCu4Ykx8
KSHcXrdHzdxLJR9coDBMv8dW87OacEqY7Bsb3WAIRH6QqTfH5QBWI68pKlQ5vmN9OpMpqsOfSjtO
52CmXzUMEM0YLDa+UUWU1Qa2D4rYM2vKKMLkB8XG7tLo2k7No55GSz295+HwAlrzYhnyhxDhkxBO
dXHsnPM/p8Mw5H6KTP0gp1soJi+qEsyboU/fDWZNSBEjBnFBmWooxW0yvKEXqG5TNm+ExpCOIqbW
0KxgGw0fjMkq4tQTRrO+kIgWy0MccoZMsCEIG5vR3FNsI+nyTfBzjCwOZkD0ZoobfS+b9gn3BE2T
1T6ZgsuSmbMrgZKy7jDAkAUxM6FC20m6rvAS89MYZOfOIP1cHHQnzYhzyABYPlpB34HRa9GuD5Uv
JmpgVQLtmkNbwez8ulGrhm4NDNhF+MSvfSIQhQyYSJY9RjEspP1CtmssmoKPKNbdkWHsVtNeEHSF
r6vaVl8MltJaZdlh7qQGE7pTQlMPp3mccCn2qsDAG13X1HXMXHigg8AK15zCuiR5V1CZETrjqylw
3vpWn86zZBV2sH7VaXuVDz1V2xmjyuVNxLXi29LCg11/2FbzTML9HimTCUGmM78KIv3Qj6p509BR
Q2vBpkA0I+LAcbacu9fRcZQdaHD6kEJ6RBd0Tp5B2zKIb6Q9gLOuqnoL+KvwBmcm2j+v8O0g166T
hR71uH6oFhaCWgEyaIgb6q1PBufwB7SMEv8f78Nsv7V650W/pIzuM+oirur4UEJD2HKJ3ZNpsTg/
5wooYYzcaRFfacyGjuXqe4Z4PO/Vnodh1NL0Z7eQFZSExVEQBGcwtbgJiuWVUmAc6hJVf2zWVuGq
Otiz9Tk05QvTQiqQqnxPfAYqrbpgGLJ7fT+qlNp0RXc10Js2N5JGbfnc9auGAr7WtZ3+PAAVNLJa
eRbDk25iHSXDcTsKSJBrQwGkWL+ymplWb3Y9ulU/dWt/WxNjhBroteYiMRLXiIbRn9LoB8U8aN/l
kUDuocN8h1sIBlCa3DEcIvop1NCPjHhbBQpXJAIJe/asulZQploEU7PMcMYGe8XOuZVj8uA9uwb8
j2uqfoYIC11+vRHMnEM8tgfXaJ1bM6TDtINXOVISUQx3EpPNBzt/dl2GOw06vXyAyLAjJZiuMDMw
48MnXZOEGeyxPjd5CJWDMlhvypKPTM0lbh5F2zuN7Y/M7t0Sa++GVM2taUxwUfXrMXdidC9Gt11g
YDHNWwbRAy7AkbR5XFlvQQGLKSEtx4JW0xmr8mKL5rbRw6esID6rKx8oZNhj6yHTPLVlMBZNHVRz
c98Nw3NVN8nOsrH8L9nMTWN2vgaIh31pw4lbzzDW4VVtmHGazjqKMNaLxZZHOer6XlCmdCqwf5ns
58cCzT2hF2bDJ0U8QGWPYQWVaybdw1wMKmW82t40VMXPHLh4E5cDrYX7ZpmmHadN7oDG8OFapGj5
O7HEn8yfEbJREzGGaG6kgwfSF+4lgG5yX3fdAfxS784Jj4Jykddjp3klzevZlJyG4pgEkD+6BHOx
XOrrdqKqXSZMWDvd8KcCklhnUu4SYhlO6DvKBXithpNOD81zP/Vo9UHHwAyeWSlnP4NLAeFhhCNf
/wBjgqZFA5hrsX0FJLEzlqDYWUl7tBVLuBpqV5JbV2kHEWLOm+6+EzxMjQLES250rxlWjLspHM5x
Px2l9V7krfOiWhg9uziPseh1nh10PSHbRuzMjHIKXTSNhzS0DazOzWMAymEQSA5h+EDGWNPdACoH
04xppFVJTXepcpIAcCgQjJ1twT6xwAS4JXTJvH7xjGAtJIAju7HVIPJg48CSLk5ODM7RzIfdyEcM
E9rxisaOfImlbQtv7ojZmu4KbXSzrFfPyYLEGBfytq6tFlkKhHEFn3cxziAA/drJt3Eiv/qEBb9f
QH3EVX1kqMHWnbDPVWxVLrUujE0MLli5VJPHRYOTru6O9PfNHDuAVzkRW3tFy07Q9zEpsMZwPgP9
Jkq2dxMsKVS4m0RhQtJKgzld7TmxfNBFcpeN6V2t6mRqxyXj1Jpcc7g6q1O9zVLtUtcY+quILexc
VmSbSttP0vRDSdfp6GCfhhwjMBvbIwny3fo/x4o+SWHgQes47UIG3JEbuynnpPQTSCMERTBXDu+N
GdqnlHKIM89UfhmHV2lQSdBXmT9qgQ7KBPG9GWuCERlYpLgavbJtaQYmwx+nQPKc7CzSrmdEOpjb
OhY9vxm73QQGgCWxP8Z28EJuN2KJw41qBk2wrfNeeH0BIa0kFJDAxXFk+z5G4giJG6tDnZd+Op/0
dTxJkd2BDjOcLfH01s8/A92yPc2wsMKLykWjq45DLr+MBRqXnWR3JWcgzr723kodbRs0KqyKkT0A
swFCurM/QzrDeXig/IePrDe+ePtgvFbyJmyZlqctjIBUdKqnVs6rM4FOy2J+1aaUV7YcDZ5U8/0E
vmtbxRW5tsxI93ohuJ2Dl5W5t/ygUoVqyrQ5EzFkFEXvk+nEoT9HDcQq9gpMIGF96EyozTGCix4X
e10XH1HE/aZTT+CxddsXo+kqObTDJFre4obbqBfyB6VluYf9iTVFoVgmvWtKr0y3Ou3UG04fmG2m
/ljrAhe9C8XLtrEAqHHnNYHpDRVJhUaQzjbaldwBVYtuP7tgjCv1/lpJ5zcQ3ic8uK9pWWTbMcB9
ljwopUDxSB13SQI6X6iuILmfP8uU2QN5yJuW5aCuymZr4fepJnws5izvJhNhfgiWuxk1Y1dOeMbU
de+oxhfI30QsVXL8Uza+lJm4XbnbtkqVDpb7tBl+BG24qUUgTkH+NYa1RkhC3nH4iLelYh+DTg93
NDGzraZVq6QYHulrdPA8rWcg+WYHabvNQ2IihCOY5TbMBGt8FzFCjlaJ1zHFpDcXy36IpsOo4HM3
SsZvZu0NHaHIXn3DF5+5Ru+8ynj54PCPQ2aP3efVMUFX5pRB9POdaVnXqUblIwcIasuOgodqX9HO
E03zW9Ix65L969jpT0Yyn7q1IaTtlTf6bDL14sTWfh10BVGA1zqbr3MNw5TRTTd8WD/XRi8R3cN4
AUpC0iIUqn4BKEaiH+RolAS+kmun3DLavdYM+3Th4QLh45jIeZ+ThOyN0QejeEQDg7IjzLs61J67
TrlGHKU+NWLKWD2GUfDkKBqJ+zq7NdV10FJm9/gtLmWYhH4V+oXGYx1qE2Q8akFmpW+PhWQNTxb8
GCLCvh3NA4twPh8zxI9kul8G0+urp6LAVQZhg2ibcjtBVfDmUoGAQ/cLQ7H+vjUOscEBZIiwA/37
2vjeu/P+Y1XTP8pqbuIw6v7+H3/40+6rvH7Lv9o//Uvne//h+1/4wzdt//7ry+FX6b51b3/4g/dL
vL7tv5r57gvX9T9ewG9/8//1i79J4A9z9fV//8/bJ9sfeu66Jv7o/qCOm7/4C/9aXX/M35v47X/5
J78J6sbfdGkQO3b4PrjyVZKK/90zQcidL0jyiaaF6v5PSd3429qqQG+BsDCt8O/+KamT25eA9fna
r3IKw/63JHVV/07r1aDPS+Dnkl8UMo7Bq/i9pJ7XtkDt5XmG3oVhf75JqUE/1HQlbfSQs6SO4X6n
owQu6J/biWTskXpL6DgRSYi2eHFgwczoAWBMbkeJQGRi1ceExsZeGPs5lTtH7a+TMiTQAfa2pdeW
fcXqnlswgVuyplAXEQiljIwp90ynEysZlOhTH6ybcKabrw+puRs1RrO6Sv0NKRaeDcojk3bA4nH/
aYoCPMvqsIua+XVK293YUk8cq8gbtsXudFC7/szR0GUOxj52ouOR3q/Ib4TebbQiGSA+Kqg/c7m1
Fb0DmaZ9pVn2WBJR02HyxBKxNIMX7C9jOJ/whW2GYiFTvUgCOgP6sjGcWzQjt9QcoCRNSFeYLeWV
AnPX6aJgK+38XhZSZ8uOJ7EL5oJSTATIcIXx6336VcfhPq9opyAvuZt0NgzxMF3ndXgZJgPuk+I3
FMMw/6ovAccZuHoqR+IO8DavP3bRNq2T6PRrYm6nolB/9tkcQVcTdOx27Zn9LNV14NoDDHijbfp5
h7c9bCXiDE6UNhPs7Nj9i6A/dirD9j7sE+T+1tcgxF3aiNxMhbZ6rqaTOuE35exRaXgztR0X614z
noiSMcbOZLJXcQKPaihZAAygtxh5fFmN6lVi4/bpLaB2GscAAu6QnoeaTN8SelQUhn45gNDVncGk
3cAw3NascRsb1PeOcSB9HSczksMmcIY3syCspv3UGxkS8WuGFYL4ZLABUbjGCQs1KKBhTVI+wIc4
ODivtS4+8qkixaCgUrYZu3jB5RZA3iWoEfJyV+WU6AYLp02npH+nc0ZnB5qLNybI9qPg4oLc/Tnm
k+rNphh30VLsRVB+BUF9oIvLR/CPj6Rctmqj/kRetHeFtH8qGTvxLuEUMj7PBcvzHJWkcrT8RUog
oCVbKrdkTR6Vrj8isyZHNdO6rbDw4OucEYludW6gwMoPm/EHHlmJ+X3NaS5QUPUm9oXOkUVdqks9
OK7TQjCNM/CylhKZGwkh8ezoKvuK9N4emrMsu/cyts9Jz7AoQPGO41y6ttrd0w5+0LG2+P1ITmy2
7Cshh33LaGdRpGvM8oLZx8LDFO3VgZ2CSW44B2EQYnDVQYRy3rZvwiHRdrEGszYtb+qEcUBNPM3P
sfn73dJ+wdz3wim6sL/Fj9Cs3ixkOQn3CLQY6+rKIEo4IOJzDq5Gg71cU7Hrknm7eIukgTbmvRvD
HnGt4W27K5uJXjXq7A9YR1/I9diszEZ8jDkVU3xbGRhTaP3bkoO4MovO4F4Gn5A39o7e18/u4jCY
4ByLoJmvcnBck+UwO3EzVt0PO8OG0NsWeSyCMnMAJtFmUI1zKRpoKqkB3hYYJfHJkrLBnDYpeMws
rPVsq+YjYW3qLQf2li39cUfTYAeXKxQ3856t6IGUK3u0vNpmfxw78edQUyaWzD/zvH+3Q8fYtnr2
IXPxojvBXpZDeCjnmU1uhcWw7nmqpelNLXu2XqFOFLi6inN84wNtFr6RvaYT6OaaVlwjPad5t9ND
hiVT6hyjITmpM8c1va4RETTjuh5s/lq5SVYY+YAbGQJ+vy/IFgtd91WpUqbCeX0AH0O0N4a7SWq8
nqunoCCskuczKqFKjCgr77VoaWjx5JdMxA5RguaWemYSYPDYSk1F2/QrQIMEjadHAQp8hHOSwGRy
sO30Ne7LQwBumO73flM65ldQha8DtaFNT6jO7NLCdSgsm4jEBEMVeCmNw7t+eJZDYaxM058936CX
1o4wXNdxYO5v4lIQimZbKoz2Gj1YHpIZOTeqUJri5ueiKDPpxeQuYhS46OCRCsvJVk/uV1Q5p0U3
znravMuEPZVs6HqlY43biulqj42T+iMTIG35QQAFzmUWmxtNxhciXl4Q3vPmkBqquGbiLnsJ0w8y
BYxKGFS1B0yVTFF+SRsYA9PoSGfmg87lfdL18WnFbZghERRLLM1tkRHKUkuygEHOAToMXCRMc5u2
rUeGG1Tp6tpk8H9cx9YtVRQshwMt4dl7GD3GwxpukhMIhNE0fa7gmSAYb08b50egoXKHeWVfk5eN
BxxkpkOISZkIKhYSsGZesidXbfAelWV+jStlVVTswREJNpBgVBKXww917qM9jjpmWpVxF6aEguJA
+QiaaW8rnOMsAidDXNN/mpLqyewjUWauSG4e9C7pzyP6eFsbD6FudTidrs2ByUAXgD5UA3nXmsqj
Gqv2njPS/RguJyirFSoZgiELfxWoV8PC7dUJKK1w5kgo1bU/hyQU46l3QePF+mzSWpt7UT0/xCUz
2LAbH2We3tHRuTpO93xD4SoI3VsnH3+IaNxldpnvYsqxt1INc07f4rXP2t0qKe1/7U7GxWtyUGJD
AjbsuWcCOU3OHqOx4gG92hGUzX2eqnwUldSIFDFNHNc8H7m+FT5kLbFG9JSyDfL9TA+ALTfFAE/C
MmIvnq3bjqRgw5PjqKiYQ39QIg5+E3eizUzDx/NupsNtOBE5TMPkNmXzpJFFFGsokdHwZtTLV102
1CMKwOykl59m2tCbNdKYruFGVeIQmt+wj2m73CqfGudqJAtZk4lc1nCkRUoyniIYkQGSurlGKEtd
0kTfj0d7gqlpIzV60xq57Kfwk+pnTmLBm9FxBERPv03WmGazBjZNDvFMuvQIzc4wd3C1yeMS8GwJ
aOI8Xw/HpD/H8iBEAjyWOSzJ6nnbrEFRES8PTWjiQSxEDWM6W/Vhgq+JJPtVMi+elaLxQs15DtcY
qlgDqYPDBx/gI0vJqmpraDUImneVFCsl6Ke+5njfkG/tp4yg6wqA6nI2uGsIlqzfHs9HdV7IxzJ1
8RRooGeN5Cw4E+hxZGlLMrUz2dpWq25mB0BUAx1lIn1bTZHqG1GHeEEyl7LuA3Dot3B+j9bgbr1G
eNU1zMvg9Z00FP3I2lVH2heoTSu1YBtjZfWBy+Knln27bUvM4MFAwC+vDsmQFUSHt0HdwZQkV2yu
AWM2QcJNMEpvhC3WfdyBAC25ZBm8jGtAWe/33RpY5rR9N6wRZosss72Gmq16cVAlJ/afJJ6h9xZe
QwY6GBNYQTVwQdYC5vWuIC1d90t6DMhPz+SouTDafa1/tQqyeEfSelgj1xOuOt/oiGoas98gaBGi
7ANX0chCZBIQUIkRd6OR444txTdbXOk9fhDEffbpa+g7wJCd2vyTZQ2EEx9g5ViH8hjKTJeCvR2+
Vb+pr+MJd3wKyDdcA+Vk47Jq/qzWoHn1K3I+sSskyYfiyoBf62u/nF+DXvOJNVB5xaRzO+f0TELz
WIO7sIYg5jC5WJRjTrEMXSAnw6nse+eI3lheFUN7ivLnjk6DJM3O5CVDr1kz8yvZUbA5WpbYg2lP
WqIqEsqMebrFNoH75A7cHjzbJWF7FhCXn4jnA5biul0T+ybR/Vmt75SULH/2K9XvBC/ZGvMn7h9g
0qbdFtUGTR6/EZenFGsO8jELmUXxNqGjS7BGTJz9mRFPBY/D6jp7N6ysgSi2YAwk+UfaPUeJNnvm
gDcxZ1Y1LKwZxIlqo1H9mThTUl7iCC97XR5VZzhjPQDQK+eLnU4TKg7ySlOjfqWtcueMCsRsKhZS
IMRVvJycVa6uVod1/FkT84VhCq52qNl/k8iBfW+Vs3qE7LGvFTIIC71RVVVcuBtB52NaGUO8WjRT
vOhVw+nEomB2QsxxQ3ZL1AkP+D55SOPEoajKsjHT0DqBa8rlLOVQzE5WgWhU6eMX0v2Yc0itdNcO
Zk3XSV6ZnbLsdphuGOs1S3yLb5ue+JVNYwOw2fJyu32f3fPGDUfqh6laLxzuuJHwJlzLk0PdItsu
jqSgVtj1CMaAE01J2fIZhPpFZPoznXXgvaqOqfdwVYrxtmna0WcQACIA8MMqaS3VrPpFtLA0b7nG
bW/piw9gHhe9LeQubbKnkJmPmLUEiPUkkPkH7mZ9esflQS0dqmUJq2Hu23dcwgenlQ9CgeEx9s1j
t2yDtryfJ/kmQxLcQzYEl9wgooWdeSUM2YPqscByWpmGx9i4KTGxxQP7qaYv5yNo+mhb1toBzf+B
GLOR1z8Xe3qZKv2cQP9JEuEFSvllLvZ+avp7ehFrLx3lM6wxTsX9dUiyUWWfR5bJm2W9w1u+UVry
IIoGzDZovqL18axnij82BATtiVbsAfOYopCzmvrkrY0aNppKHpwsmAgGRQ5IWoyHU9TgnGt4qryl
Y2jzw5D2p5oGn46KE6lazb7Cum+j6gQcw3c4TXfh88Ajg4BhSUOxvdcjROzYWDgpLZdhNbXooMVB
lK8XasB4aY6dhEOVdR8RDpENszS00t3ImCh01A8VwbVxQKFkVvHYUwy7tfPmjc4zjsaTUGgAMEpC
9bN2o8FsDrQGrpfVYrhQUlBE7OxNhltRBaSy6Q0/5iFOxRmfT87Iq7ferUUzdt30QzfFV1Nznsts
PhSEhBdy8+DMnOAz6ea3VmLLYwWfiJ9xdEFLCMFMq53FSF9BxayEnXg5poY1pg1p4OnfF/b+lW73
/6Us5xjYiv+1LPf0VXx15R9luV//5L9lOU3FQuoYmiksQOd8s99kOfVvUl8NsIahaoazSm//ZXSV
kDFV3VQltubVzvo7Vc78G3WXuAZVpiLi15d+aaJIkr/RH1Ez0Uj/+efflw9rq0H6dwAvlVJVw8Di
yv9BNrT0bwCvAMxYaUCBxTme30ZsLXtTe3WKfCsrFLl0Kr6KWfvIfjhNxWyU0D2Oe3m2x4nhGFF9
KtN+99b99gJ//4JWW+3312NjRzVM/iv11RX8e41w6gSRJ3qd6RQ1XYkM2BvRtaosB3Javq5M90wb
r/78R34vj/z1HoAuo55Rl4IP4tvP7AcjtYPF5NxZWtf0yb8nES6YJqieaJ7Ol8atAmN1zbJ89bSe
Yoit1t6pQV4XAx56XJmDQ0+eotyM73/x0r67kNePx5YYkbG4I+hZ3yRTZnM97nnWeU3L9w1WOTQM
jkhMQ5hwQEduC7jgg36l4Gy32UL++Y9fr/P/+WkgnlrY9AF1at9+vJWJaqhTzAXhuO6l4/FVi4OR
2TI72mFMrjuT1Y+ZXNEWO03twFLV2T50sPhif1jYHNIgwOIywyvLgzfSPzsSIVEU7O32h1oEEH/m
DwihZzPPt5EDvKqnDiF6C0S1E+DbCeZfCUP52Wjp3sa5WGfnP/8Fv5cf//roHZUrH/WbDIHzjdRp
V2nT4Be2N5aYqXwoxRFIw97qxJVOAyWhYhwC0/xB9dGtaLSDRa8cbmHYm12Q3OLOfV9S2dLalG/7
VH/98xf3v735dJnSqWmZawE0z4Df3wqRldl1CyJjM5cosI1mHaIseV/fi7/4OWvp4Pd7jvpcgOAS
GKpQv5UStssgzMHkniMkfi4I5iBP7OdqFY3TbkebCtEi6xr/nbmsxYu1hynzasCeLGT1VE/HGkXJ
INQ9lnARpBzl1qz3VsVm2ZIab6Ctn/tiNcarHyaFYXwajx2uS21SvA5PTGidcoj45hwwa17c1Mo+
CpOUvZNuI5COvAPQnkTmth2ko6C1Dky13ie0QILYJhnotWR2dVrCiHghEP0Cpo1gsNwotBrrC9fg
n79d38cY/7hmfvd2fXtkJknbymrmccEJ/KHrtOcIfdXQtSvQvdwWEQO6q1JpmfGaBLMUD2LmNgsN
zqOQXLIOuHqSub8gqYssnxJNO1IE4Bw47j6Z9Q/NnO7GBapmpv0Fl/bXw+Lb52wye+Ehr0kMz+Y3
UqUdJMYcmEDEq0HZjkTSNpnE/Nq0pF5xR3WlvLGEAQjb/AiTczTH9XbS2RkwIHQVpWHGWqYu0Lu2
VHAcBN1PKAT62J5Fz1GHCq+CgzD4bKr7jHH29Mo6h1bhTjpgY3GDqODqEpyAFI+YHhN25DFgipI9
pULqt0fkt1XNd2pC0T2n4z4nKK9tIie8zbVgP1jVnaUn78h919I04N3UHgrQxayjdx2A7CYoIkQx
Bdi9cmfSD5gP873uFHdZld5qbcdsHACWUxrcTRJPGpQJjeBPyp5ck6e41u8nrXwzSRKVZvtXRGDx
Laa0XjLr85P/CM7K8Kb/eCsrfS/DHPMJQ3bD14JJcdmvvg7UFdwQWfVqUT1zi0V3qormrOM8j/Do
X9FxBhG+zH/IuX+rsJl7yRZDR4lFvbMvaRY8tngdNyMuvSY17qbW2hqiejAFxTVjqH+MhXbuZXBT
a43HljoBIhTY+Ve3iOqU49JlQ3hIhZX6qmq22+jW0fZinC+hksO9SCkWAT5iZ8aXmSGgTWD6LFzG
A6t+o+yhcbrTaKIpBkAbQt8caq9pzXLbTs5fXLff9yiEfVh52AusSExp6ca3ByGEV9lP8Hww7+d7
mB9fGKI+akYz2cAsIYl2EE7Jhmp4GZ19Q54LqO0tV/ohWvQTLqS/eF4a356X/3g9XIwWsSEBy/rb
6xHlOIvJjtEwgByDBj/2a/sVD6M1ztrtNYLgKh+QncfHpX2Kki8tAY44624FH0pBal9prXa5UbSn
wdfw4ZiCxgLaODQ6MQLlFMEE79WOv974DFu2Hb4i06K2rTSvFL30G2hXf/FMYxL7x0Xg1y8lVtKo
RphO6OLbIqAtddZXEReF3avyaIdnacwP2tQcNQ5/C/RYcxI/RcPTVxcjNYCRjSzkoyTIbacap2Ra
wQ1DtKA0m/A7dwGGrPWhGJZDRJvmcMOHU+H71TAihQcH+EuSJLdhRD20UE4UnL1SzoSom7kRQht2
2poDKmMsRrRtiopGWfpp7LpdSk6vYijrdsbCFAaT4bQgjFnlbkbjtTISIyKpIKIa8O9EfQcmp2SC
olxXiXo9RsUTfY63Tk40pgYkko6sD6OW7fNe23bETqxcXttSeUyb/MAldOQ85IWrn7K+K1uyJBZH
0p5aSnhYwvHnxDo4IUZLFMhZdgAVW9306Z7YhIaKS3xB3V37JH4VOvfdLT+fMitwdubDwFuN8ocT
91jUaH6hSuz1dSzCM6CKY1T13Ekkm5dkecbtua2SYqvmV2mVE4UyKMPo3UXhAI6RFkfjvSWdU1MX
Hqw0H+N4SSqX4+eCB06z7lfLK3aw0yhRtCuYG3PxlLD4Jq2OMQtLnmAQTY1eEn6FZkOrLeF1vbyv
Msc1FPOlXE30nfNA08ajTAzX7s2rjp+bCJtnRY83cNyzf9wAiD2Z4ZNOfXoOqU8JQSEsyXuJWtNj
o86wT3d8kDCspYHUE3aHAQ7BmFgvnbN4raW9jrrJtAoa1UIvSG+y9F9mvd0HHJ4brHVjRKt3Q+uw
OOJf9oGK0CAuTils6kZ17giwHsY4uaU0zui/jMl6KJf8qSNrN0FjYvjhIgodcyLolm3s6GrxlNVR
T2FVy3kHpMMpwfDITR3tGA2nO7V9V9BKXdKgn9JK1yJlrgP9tWXQZQzmNUYrcKgBFHA2H3GDGKQG
6iGglZ1gEVcUxXRODo4A46OaHxA+7zTemjlForuLbefakWTbm+REXbtPohC2Y9M+aj248cK+TQSG
WItEds8Ej1roLdiwnVQ/G3N+bq2aoxAEkdKnVsora3ooNSZME/QlFcO14vjOgF2zza8EsslYBPuF
8XJoOMgNvQvRFhXFeuBm3Y3WT6Yu7OyjlyJFasGS0NP0V+os9uQrVIDomCkE2XamCXglISLEbPJI
4++GzDhNKuRE6jJsqR+wLD2beXeAWeRl9UJlmJtEGYPIWhxrU9mzffNgVh5AjXj1yForywcTNGNO
ZKAVJYfL9pCBLSDt66EQvqI9YrlWNlVvv7cyJF+xMVhBW6W7WfjxUFd2OkJIIRBWnRBHYH2k7vcY
MHANSouCj5lchKr8zBlQHkEkffT5ykKgRMUvz8WwonXzqtilaVIf+V1hSijJxICA4wzK8baitsUY
Llb6VOJEn97CahMQLaftfme0l2BkGJBRiy0vUbZrSzTmHNXWsW26wHouBKRvntoaZ8aOnNowEXSq
wx08Fp9nARG2p7YqfZwQe+ZcTxmfTiR43sNxsUrfwsnSqjlicXm0FJU7iQBOEePco0Kuyiys0dgR
hlCh9i7erOHlxGCriR/ZibOzgyCd5TRcRuuLaGfFiywCPiaDfd2e6KhSb0byFO1E+/d4sXj7FLPY
CMXA8157vYx2EM0OU/IWJ9UDeUicFeSh6rbjZmdPwVsfB4Jq23xfqPYDRgDyN/bDbEtgs7Xitb+e
THwD7V3P3+c0QL/XnmJqzQz1Xc6k6hPHftJLIH4xWY6F34DTnkowsh+Yl46a34fdpQ5VJNov9vE8
CJR9CVKAvh6qmx0o8ITTcxYip1g21AVvHehc1UB5JVjMilphSxRPTlQdq+p1xIGtsCYZqMGUAG6H
9FWPi20/BjgO+Fb51VhO+8Bh9kgdXYHvrmAPFTqXfoH/6zxWwtgRkjqkEdX2PBbFghJZLQzhmkuo
9xdVh3Udwm5TXwiIH0kCzxR0f5hxQLVbuIrDmxZfLEN/OE8j3pmzHtEoMDu0g2JbURkeGpTKLfrR
cZaPztZOdpXRXzrfR+v9X9rFNady1GKCveAu+p55EL33PFmUdMU+UyORqPdqEz5Lu+ZzhnVCHUID
eUvVZ1o7j3hPMBxTS2vUfq+ovuSisRbjsQqSqzYAwcB0JwwtLmk0hDrfAxbxmvAS9qoHWhm7lfVg
kN+aw+tQlBd1+ZQttXPUiTKlTWhMHPPiqirTfcwhrNIJHLPDKTm5TOFHT/8tT0/mCG6Ve3bYu6WJ
BwrUiqKrXox/ByQbz1RqK4R2pELpZyOGT3znFm7+/KcFkwN+5vCjBunSVD/SIb3t/5O581iOJLm2
7a/QOHmTF7AQHmpAmnVqgYQWVZiEJUSF1jq+/i5HVTeBqm7eR2LwwEmzGtWZicgI9+Pn7L32BGHI
aLb4PH0crM+FPhyH2kxnTdA9VUS7i3jskXxFZJWRAai07DURt04dP4tRIT4KyUXaNRsZ/o1Vcj1U
GPe6tlozZr1sHGVZCHWVqvb5GK2wMi1dctdzxhIl3XEO6BxjlLXcVC3LP3i2eetE2j2CClAmWGWD
5NxsMryQ6j1+95URRvPQTVf9qK3SAnhLjhGEPOi9Yq4MgcREFbtxKu66Tt8bpLvJFojjVng76nVr
TuziaIZDZDwGiAa+OddEHgA/2pvl13qOjtzOjYNtdddqPz3gMMKrhJnF8xTEqTb7TNKCvUz85hDa
ABtssBV9hc/Qvq2RL2NYBDrnn6vE2omBJ3cq14ZTyYjcxRD2WJnUJ6qEiFmJXSIi4hHyzeLoRMXe
Vy1ZGD1pZUo8TQoDj3zfWWmZW0xwx2hEf050Gact0PW9fV5pEjf0FBvce0p8CW/udBTDNaGJ22RK
NkS0bLDDn3W71tTxUe8iFLSKWFojKzuZPENcvWBnWdXauGqJa8NWuZla/Zpp6IxMxW3Vdgs0jPNs
YrhRbZnsEAVg7JXAxHFfr1/7Fyl/xnvdkM2WBVdTqWxAE259+C+55TNFze/kZuoI8lCFwNeBgTfN
Bbkeyaad9ANk1XvSEtcmp04NOmHnMmtJlK2jjXtIEncdCrLeUTZOoF74AMQShWotNg9IUqiTafH3
lb6vgNLJ7mJnDTwjA2nW2sozaP9r12kHYCXI7C2CujsxxHclVK7BUQUA1ks94zhV0buck1mKxynI
1+iQkW77OIl9MsKLydrFurLH4hpzAKsvzHLYwpLGKEO+3XKozDO8lxhenGXgHUNwIjvWWZjFtXeD
zvEwNgiJ0Erzu1N/hep9VSh4TNNHLEKnYzo+g+OFYMDN2g36xm9vlVRZ9nVzYxB6NDGjZGXw9X1s
lNEsCxBtB9Fj0bpXwTq6Fgm858wliK+7JjsQP2RLm9RLL+2SrwR1gqGmi0HV1+1grSue08mmrDAI
Tiuc81xjNEu/da7p7WWB8CdONxhT1rnCfpo1IAWTcvyiUTUA8pclXQn6nNwJObiPlXUYlAuybm88
tIbBqOMPmR4Cjlp03A+0c3GOV2vQoGgOOMdqaH6KeSezUXCvrFLzLqXt0elMb3zIrpX77HT1FlHA
VjZ9zbDBasPmTocwn2j5gKY92F0x18gnKLt82aGxnlTlPBvjr002PVQxuJYiTh/TOAaT5QxLLHgj
7lgiYPjYDNFtnll4qEp4NkWrRCiE0Vs0GmnD6TF1F0m0T40dwWyvdnUPZNOx1VVJa62nIVM5aPYn
UDhRlD5isX7QogoV7KmF0gVxkKUzNG34pdl0IboKsqCBj95oJYeG2uL4rCz6AcpLn93Ju70SFIpU
MH6UnukWmDWDALwOTZCes/SUBOel9G0TyxzXBdN7cj1xxXqEs+q7Hv5YYCkUv0ebeXzBVC+aChR8
zK+a8JQr6tpFt2I/A2Ynvg3GQ2J/tX3xpNbRt2kQFxg+TmsNlkCWHDzmk42xVx1CJAJWymrhTn24
sLPipVNUiETDTK+oEF2lewj1AOdep+5jKGFVXNzmWnXqxK4KRNGpEYDStiQ4NW6VpRcnoPL6y0xF
1KdAUwq9+FJMuEjS3AqWhmYtE9f0ST7yBQkPPcAjnx2X9CKylbvOBrWH4qg2ojM7rcJtTX8M2SZw
gawHIQAcP+Bo3IXoOdC0EE9znihWe9EHc2gnJuFPtXVBZnS7tUrQNN407jEFEiUAqnKjRnZ828ic
djOpbi1VRTHouSYwBq517dcxn5U/+g0j7galbuo7X3uV1L5CdbZeGT0y4oBTFPjUkFyHwoF9TKFz
FTac34K0gJw6z2IHH6avUI1a2TfAWhEnPXZt8GRo/BFlm5m25RONe8jvN7Hh9eveD4KVLjHqaeNu
iTsDpucABid/d5aMp6mE/Qij21dWXBAWEKHBJnqH6dHpRFxElVxymy+xw34xmQewr9TfoOxhx0/N
a6cR+4kht6roZ2alX6MNuncn53YI9Vme+U/CMTht6+6jmdmXnAmzNeP5aAFHYj5MdBnK1LkImvLU
buxbjl+7ejJ2iZtDLq9Z7FCT+vX0ooZdKlU8Z2F/GUxoNfg6e2LGCK8w6Gso51VkMtq3uHlcFOil
t+1iir9B9Y+CAt8Y8k3rb/1Gz2etgUCpgdI6QxZwZlukC6tMaFtaoDhlK3KRrVN1QlND+PBDS+4B
PHYOEQ1usolTSyTdfcPAJ6q4cb7oTJQW0aDfDD632fSq4fNowQkee6rokTVd+m90AxC5Et7UuMhz
O7vQALktNNOEOB92G7X2DmBw4aPlfKlB7yyRBNCIidVv9M9PXc9VZlranTaTi4qIwKBaeWppn5Cs
hLZQmO43CwHpuicdBdDjuVYXsMcg2zAAIXZnqWg1Yg9vn4tAFiiwei8GBCUzEdjGXFQUgX60jjvI
7jE5a3MpsK59zPdibL+AF2UpdpkLYD7RFhiFnGUaZ3cCDEGPHHnLuTzlVIIodJfFwY2bcqzv1TVi
ErCvuIdbtVgOqGTnmnRsT2nM4p1Wp5qary2nWCP38+eBEWeXupY8KdWKgZJFhsoXYY/4J3EpNb01
clIgq6zv4HWmdIE90ztiinrxRLQqBv/SBtAa2tFzaWd3nAjQmMYQ6bEoNxUIyISmm2I5S5ueJy0d
FRZebJ/1wlmPGaANx2svQzO6qgCwY1dLjyhuLlVHpolIhVvig/ts8KLbXX9t+L7MDkB80yQqTYZ4
WuIp3qDc5YFS29O61LASF/m+fOgV71axxm0UQEBjd47IaeVtvrrYs1vbYbn8qhQaPBKn49FxnTNK
smSdW9ZGJU9DyS+I89GQAkEFg3g3eihrvcJEZGSTmoNVAKwBpUEo1eLIaM1HYeIlq1OuhAgatpFa
dWeGGSJ+zOajU12WaAeWeFp4rWpMFuVrMCinqZUAjDAHayZbfrdjRn1K8AtiiTRaSW+Yb9G+6y0q
PjFQ1Du4DWeN46QrpQLu044PTRMsxsxOD9VUbjkNikXYPHaWP13YBeRR3caKruugKvKOhpbQD33v
PYdNvkc5mW+1ey7M/WjT7EIbyeyIPED6fwJRVa4+hVY/wn0FrUEFMBO1iDdiUr+NpniUNJBcRV3v
2FCCKrXLAHBXGA9dXAGDWTxPDW1dQpM3upTWtRUQKDW/pPgPlnHVEECv+6dBzw3Wd5AukLucpya3
hhePO2yJHa5D9Lg1gvSZZqCoKfVTOla5XnScNAm/sP36atKJEcIvISMCOFNiDbtCz4MfYTCv6uIx
tgVnK52ixOuR1Y7utd5RL5GUctRJ7nGw98+DjgChkZt6Ng4AnAq1OkxGj/kSNzMw+116WWChU17c
uj7WDrJMI+AhaP0JyWVMhoWRq1dTTgJgrSKxL4P+uhk1OPS2YO/uRbbudG8b++lpwoKXtAIcRMn1
Kg0pi+cz2O4zgtgD+fP+EteHRrgrAJMAMepCJDuJ4tm0iKE5O5qXTfFFUTWGA5mEoYQ5j1QAETFB
oSvrVLGFHoFZATcOJNp1XMuYr6YCpIMoEHZH4y7itjxPwivCOR7tEo1WVkb3Q3sJMaFYBpaaEiNV
nKdpvY166pTMAsTTn1V1erBzmjo2GWGHISovxgZfcD3R5nIcZN+mpcMSYg+FIhlc8EyZUaOuC509
rfKzo9pbW4/yfFXo4oHM6wOhB2uVcEvoEBxAuqj5Qv4hqxwGxDbsmez16dbBxsKRCBt1AhnVqXib
sVzBjSAGGTz2WWzbbG92+tQVnFG7FrA+lGpADfiC1VHqjTNrP9XpRUOw8zzBZ7KIYnxAuZIdEBY2
20o20odAa0inDklb9gZ2pfLRs4ucNOSaJGU4goyxegYUDrn32og1n0YxaLEkS1d1lKX8dv1aTbCg
5L1G7IhloPqxIRfrnYRu+mBfGI/581IQPO3R7IK7O9zmRa+dCcjD61bmNKgDmTOMqO9CH5FxVqoj
7iEMGpFEqCAvNxFnglWRM10vqu97W1WW44SK3pAQlgAaS9lAN5B4FqpsQPAQWyqJboH4eqnDUIDo
Yig1vRltrZepR4F57hegXzoYMBPFLRNp2IzEezSRgzQfck1Wn1qQUs8mE9WvkejfgCAYhdVum1p5
CSHOjK3LmuOIR45+MXErxJnlIw2OHlJNLpE1QsJr0qB69u3uypFYGyqn8xHOTdwVXxIJvgEwjicD
Fo4uoTi6xONYEpSDtIrmFuycXEJ0JknTAZdNQY3ryAFsE0HcgVc4zBHbefOJdtQAlWeCzuPZPt1I
XZklgsijsqUw6D2uSMm4gdhZlzYLHcKwjMKVpprnbrVCwd/RQ2ETkv4Nv/fuOny3Lfes3FjxcD4U
xHtLwzRAEVZBS6KGSjYjBHaDBAQUIK+d24kass5pK8YaXo2U/t28lvgiVStJmEuK66iBwZNP+T5q
XHtZr2wXbhEBpKzBPeratrXhvUJEkOhYYXY5J2yahabEKDXwlCoJViokYglzgYt5gBvFz79qhhVf
oB2pr+QyqAnlIcKTuowktCmZc9Ky7LvKLIsDbojzSAKeYol6siT0SYf+pA+GTFN1aHS2zD8kIoq5
9l2OdoelNEHPxkM8anTYJFhKIJtpJGoqkdAp1VqrMKgiCaOSAj5b4qnoxjE1kMgqW8Kr0Agx6NTA
CGSqfYegu1sEEnbF3a4y9dcPoHqqXeCuFcEy0Af5V2/gPqWymVmws1zQKYau3HVa/pS56c6GsaVK
2BZ75EIY/iX52dKSlpw2cLlq+FxEK/UzUyK7SlPT98XkVbMkwbcWSLSXLyFfDrQvoktx2UkAWC1R
YEPbqBx+b41wyBZM8VeqY+xoDMbzSoLEAohiIXF4gJXHW3PyraUpsWNBGvarUq+WjNgIB5A6aMoq
fQ5loSYa0CNwgMO1bQSHXkLNQElpiwwj/ZltFrDlJPzM9calqQ7b0ueqWhKQxuzrq6XU0Robuj9T
oKh1XZwupyHgUkBYsyGt9RDXQshrdDL6eRVwfE3Sjnav4n/1/PBY56/0EdBtPIVBTlQ3RDfNUc/J
c4QK9LWSwDcw+TQ9o7LYNtDgyA+3T134cJwAjZmlWhfKxAxPgyFnBWm1DyVWjukdCnaJmgslb9o0
2NNJhpUwugYqncfKwo/h1OV431yJrosIE5yFOl1LYz1awO0cFRZAynh72ymYuzsF8I2E4ZlQ8dKw
BBQjlR3w8jAT076FoEf+b7nIJVRPSLxeLEF7pT1xoSR8r5AYPgbwygwQhD3LumZdoa8KYPZpsPsw
tEaGc51B9KNUQbu8iDrn2qTOXsBCPdRBS4xRZ26zxtHXgZs8ePJ7iAfntC2DlRpqPdNk2OK66ey0
8ZBLxGDky2arXV94iJ63+HCObRUxpKO7GEhEoQmrMJDMwtD8ZpnqjtrSlEjDRj/vIBx2dX45GANt
lkKbFSmPVlcap53EIo4T+u6uu9XhJZL9uI/HdS4xiqNpPLxmtPgxiMUJ1mIgoYtgZUEgM5KAsJve
2RLNaMNoLCWsMaedaAWkYdQS5JjcNbr5UncALww4j14u4ZiCcm8slMuKFMAQJmQv4ZB+lT6V0CJ7
qJFhHpVMzS9SG0VwGvVnUdo424k+nBqlyVoep8I8vatblq9cYikR7O7ZrPqFngbPTk/nW+3BKJAm
N6sGj/ECfMswTa5seJfSl1O33a1iKt+QU8BrEMlTKhGZeDuHeSSxmZEEaJbc8PMApqYxrlVHwI0E
tZlnGYbAIH3UyukQqL25Y19xlj18cVLpLQnshG4tNjUMzxKWpzDrm97ublMYn62FgoOCAk4a+E8V
J6E5PlUSC0p+hEEp0udrIaGhTGkNjjRYImmgP4Gqw0umcoQVL7XGtEuiRycYpD0sUlhM155fHfRK
8+eMjq6CXr/VSLvaqQDVYu0BJXS28SLGGn1Kcdu2uzDPmTrZ9l1X4UcSGVczjSKqC+z/ZKFOLLTb
2myvVQkImCQqIAEpvYxuurBfqLD14Am0zq1RG0slvk5ZKzgQjLsQ+oAlMQSxBBLkEk0wSUjBlHNQ
L+EWQHgLOciuRAnNoNeIO2qy6zwBKGqU2eWQuh3ES/9et4vbGCpCUroPBM6dj7Vxz6ZzNUp8QgpH
oYOnkMmE6VTdKIa6UyOgfjrkhXYgys/PtH0Ik0HogP0lpAFJijivDeNlSgFiDK66NXJE0kZ0aOmG
6pZ5hteOTUPExxxuDQalL4mH9JHu1diod+TvjXMjwURH/M25oW6q4luRDhfamLCF0JnV8UX6/ZMW
T09hbDBQq1eME5o8X6OnIAnO8y5M1zoNMIAwRwzPRktQDVU0f1wqAy0M5hYHFgZo09yOdO+JqaRH
lHTtthtD6dVtV9m3frpqJ+rssmSRz9hQFqjdV50NgcMM/VNXjtwcd6JoZ4kK44MbqT0R6d0VWJKH
Ssd+EtJriUr7tqE7QuPG+uJkmIrClrLB6nhD/Pu+2WWcLbktJURb97hanhpejPD5S7Fpu4o6P8CJ
07rdjQo/TxcY+aDUdN1V3hcHJqpdOuKmzMuSAwxRReiL5r5CDAuOoFMvNs6LYtxXnt1xvLy2wwEu
ZVwTQKBa81COwTyU9Y7WIObo+isrrm9Qghx1jxxqNRNfJgXizVDBdQm5yYYBwJfrINaPh5vX6qFV
Se5BYoYagRTDUoafoF6sPJbuKYwvi9G/yBvCY4NqAQl0pCGDXrE909iOmmogresQ8j3MTYedLczC
cNXGJQo7lVqTzqUF8AnvJtkd3+qmv2zNbuOXGNutBrXGaBe7oIkfEnnAbnIHlLViXBRFXgK+ydZj
kD71JuQgK8gWRaad9110Q1TnpoKyRi4VMJO8xywcZO0qCtOHAhAKWxVPaRXgdCIkRQXSu0pdfE+E
vTURhWojom0gikUCb3Rr5tFZ5hsEBFiEOvHUthZyFzR8DMHLjSIRMwEK4XlNX++LEwjO2LpREUMe
YaqQFhObAf55gpdYgmrv8ty67CucDqb/4JntmYlocKbjta4GSDxTd6kE4T5J/IrmHLIJaDybQDG3
uYqWjNV4SUruXevSTBNCB+SjVpyAtB2+NzbrVtk1hQ7bqSFlKxz7q7rPV1qK2YrR4zjTlH6L4ObO
8YqOg7EBakZ1LxTPItppoLRqg5VRE/KAEHzjhHq2UwrxXNuCAMN2o0EUndkyGpEWAUo3AkrzkhCE
CAOxRqiyUVunU26aS9tifMTvVBYapsu8+Up+ykUW6V/JaLOT/EweEceRAd4kBbQggOGA2sMRlMKy
Tq1np614Zci+pmEvExK8EFkFHJ5xnDq4VUKmaMK62QtcsQd96tcMyB86jWP3WNw1HmqKwHohFOy8
iocrExUQeFeLkI5S1+elD1TRyDipmsGwJNwFi30KpEAl/giR9t5t0WF7jGA6f9xozEh0h5vMEtF0
U0LDBhnHlJyKZbI6suAYb7oTXAQcnT1RJMoOgzOsODLE53q113LKfEVJiQx1WeTLrOfXTJHzEFvz
rW7zzSSys05JHicZz+Ab1bVLm5LPWeczLEZrJ/bEnJRnZkIGAXakWTLcwAOJeQqKLe4xErqS8rxj
vMQM3pWO8C+CJt28z2KwTul4qWqCOEiiwbsqZDrUk4qg1PVtYmbAFoanAO3nOucwW5V+tQpMn3id
wcaXxHe39JPuFhYo4IoZ1ghtro0+M67aXjuSwIzXb96PCW5OlCqjWz3olbd0x+jLoBO6UwjltHR8
JHK5O7EVVOoiL3NkLODsVBfmEfjC66yh0giZrSelx92kceLn4IEmo9SucpOCgluCXOV0QyIM2quQ
PcSHm+XzZc4TN3lMQC8suqY+D7tMcLii3aN/6xVxSd6Ye9b5FOij4tWbPnmJXIHGLgZuZzyjISR/
2oiXVp5VhziM50MhVyuI/yCdOb8E2PoBIa6AnRyrgefO9JKv0NYXqhaewzjjqfcgxiLbOvfpcKxI
nbNlEbUSiWSRcrQKcwuXnUZklQGEOyPxy79Pga2BIE2OKskfbTgGICv4YeVjOXZ1a5eWQl/lCcbd
rsyyVWXdptC8DgkhPJu8eemyW5b7TdskFpBdaZgsqfOQ75mNbK9RgbQrkQbd3qhYczo/+ZK2Xkv/
io225mue6Zb1UnAsLDhyl4zwZ10KUkEP/GuUK4dCkT2hB7yKzaIc+M7INKEPFsUvjv+lxKrFgpDu
S73fDYZIl3poJ0tB1F2fp2B8KDphxZRIMBTufKehe1Z3WK9GBVd5eOkY5t5Jzb1vCCij1SI0vYip
V/qUWRb1kUBK5iQoeqKcJzXzDoPSIcYID8EQ4qdWXX4/WVgTXmD48EzqaR2IC8CEZ5nRukCYoxJm
Kp165li3WBBQ6a3QES+BcbGxCYG/wsWmpdAQ5MnhSD8oMYLNhKmqfRE19U5p1Zk7BvG8BSf6qhmV
Dqx/eYe+e4mefqcv/fTHf/4Zn+kTWrjIhrNxV/wbC9cxSV7+9vx/fsvr5h1g6cd/+d3JZZ+4BkJK
l2wC/qFjZf7dyWXhyVL59+jcYFloxtvMAvPEdVzL4qcuQ3vLQXhb520T/OPvwjwRFmJ1nnyhWrr5
n+CV+ATvBbzMD3kLm9QCkxckDEPaSZ6OV2Hm1//4u/Z/HTMaElU+7paJhohNvyR5UWXM3CAJYUrX
zAhE3tJ7vWg6+1IpCQIwcfW+kuoits5GZjkl2koBQTAtzJAHY6wKEvEsDahcznSDE2+mKNciGG2y
OCvaZwac6GjP9m6CZuBcVnQLO6zvOqZLGMaRDXIwJv27KAG6xu284BidV4zNHFLN06irzgJgufhB
R56FFASNlt2PhfVQOs6u9h2ilEfUoE7Q3sSqmW1iBKhjRVpxmbmP+UQg/QipiagVpKlwdR2ctoGo
DgkzHD/j8/m4szN6sDoYCFWPyZpHHeaGZHHSF3jA1P9sE6++oPDpwk6lsVCFC69tH7sMjbXv0poB
TUovQpzGQb5w/AQ7fmuTjRv5SzPlCdSA/83jkXWIbD6dUbHrrBUm55ASmOoWgYJFGQs+aZEEAVJP
Bo22DWg3ES1BlzR8iYP+tpqCja+aw85L0bGokU5LVDVmLjzAqbcKqsY0m3eiv2WCRPiDShppV3Rr
Wv6pJKUfC6O6VxKxy1qCT6cI+VodnFb6C3byvTaU+T7QvQvLKtIzYL/hxE7ilJMvMwpu+gon81Ds
ibUDzhrqVz6HMVQ7CGCcRkYBNAMRDemLYtAGrYbkq0ZFukQg0pPdFu+NUj0jxgoEFJynXSTGLcp3
HSwAZciYmg9aV9C8r0JJD+XULsBYxn55tEwfC62oTRo8wzqy+ToysEbzLC/nhE7yxYYbxto4Xy25
uk1zohVoZ6s6wQs0uCd1nQT9kdwullX3VvPp4ZSBs0IGdWyt0D9MGtNbu3+MBwaP5SOBeNiNLUAD
TXc2TEaMXmGTeRk3TtbqyzUvdB0zaZ6PboazJTofU9nVLTNCKMqGtnZKY8ZbZ4B/F9qAaT5B5IMh
l6O4qvCMmLkx0MRmcoRCbRaPePVKGgPCikf6Q/6T3dY38QhVJrCzlZKW/Ryt2djy2+BiONYI1Zjf
GFA5ins6tWDb6Ttx8onTdWxAK868y8wpHitDwtCBvQsaSTYSTkvHSZXl+kPUvgzgizF8qNqhbkdt
UdgB2ZJl/jgY3bcwlVr00dhV2fPoU31pEMuoqS0mF6CCY62c9QaiOdS8pF/g4y5yb6uVDS7zDCpJ
RU5uMcI+iSOUN6A8SBJGFOOl5iGuomUIyX2jK3C6J1uqnkUr2UU3VafbHPOlfIZgqM53+AxdRADD
QI/H6NVNkehIZDQoIQGykKmHlmNEs160/sxtAaTBNNAdmkVoXpxN3BqLYmogHFXGS+PYO3wijwNX
D5FNvRxQ75+3TD1qy+wWjTb5265QgXQTiEaCNwnGMLa3YQnPih4bfoLBvKnV7M4w/DuhKNZpVN6L
SIbDAoOfqV16i7UbWqxiwKlteRpzhF4sbe3OVqMXCGvJLs2zI93SO2eyw61GtvgMDddVTT91XZUh
vACN0+3gMFUSIK274yi4M1RpoEmG234MXiz9JTCbZ665trAjVMWoo8qHoh+W+uBJtgGLV17Ua3eI
zMtEZAs0rKuw9SV+DOASer2uxsXPB33gpMKybbr37vjcVyCiklwF6EV7atCtZzoePYN0HAdqSs4i
8FW44V+dgrGRqUP0bctx2Q0WaQbGvFe7dhGYLcBV67q1U22OSZ3OpTgYnBGRxeMemMBarxD9PYCT
2cd588DuMyxJGAXebLL4ezwgqO0z5r5+hM4alwWo7V1d4wczhi5fIPSm+dJ5lFcKy2oEXWAknQ5c
YrAQTgBAb8wDFHLienK7ZOdow33rBKHkfO0ggTN9TjnzlZKLZ1vElY/WodKieg+kegGDhDwvTaOH
UjOlo61AR4HjJ06JoCRZLDGKdVmDjuoYLOVmkNySnT2jkevtMiy1Fmn0cqZ1riFvNkfyrCfww3O1
sPhWSEENI4RMbudkHGNRoJhKg4ybu77OoX8RTyltBxYI77Gz50zazxhysC9kKVGuegCLqAqXRveI
HVwsEpbjmQ2XjuqP+ADchJcwuIOr0tLXWKE8Vh7mV00wkYucaqvIqdciT815jBps3pj3+HT0bW6B
4DIwGKgdybh9NOD3CNjfrOuswodlOsk2ozPTlHNLBCX5FOZLqyxst/9K+OEWW1NKK8W61oPcXZmd
Bg5e0f//l4g/ylPJ6fyFvvmH8V3+9CInIfkm/+/+0u8O+j9/oXc4z6e8JQYZOKgf5tlbCAB+v59K
zteP9IoS/XevkBybsGmfIYUK48TUXVV3HYExC98DJV+C8OnHjzX9RLN0zaEmpfazZEIVFe6bC/RX
l+Df/3ZXL/VPmNNfX+fd5/9LoCkzUNVQfy68/+Iq/PQq/7oKhn1iUjobgo6Phhle2lrfXgVxgnGf
cty0SPGx4Sx8tsuA09bhm3t3+vhPL4KwTjTTEHAAXIGe2f35VjBOVLZ+QWQZd4vD3vjZLsKP6LeP
XgTBL2lYtmWbcGTlEeftnaCd6A7PAzcDBzBNiO933id6IEzJ/vjYJdBPdN3GRIwVltOmofPQv70E
xgkOY+ybnFBfj5sYkT/XmiAPux+9BuqJkCxj07KQyghL5Yl/ew2sE9VBAKlygeRNYHy6Z8E0xffv
5Xur5Y9N5tet4a8XRfdEtWQfwnBoRfA7Ytd9fw0MOgSClYL7wZV+9M91G4Cv+eglEOqJA+PaZtUz
HNMG3vL+EogTB6yHQI0FfIdr9emugabSlvrosyAoEfCgw8ww5LL/65II1MTgCtgUEvzfT/cssFwL
7t2PLYoaLTby/HQLhAn4HgFe4e3DoJ+ANuff2myeJhBFfvy5ngaw6OaHdwZxwi/H/2xICRwizPcr
giOvAY+BIbnw+Jt5WD7ZNXABXX30RjABatH2/leN8O5GcLkG4Ow18rJB3fDPT/c06HSxvn+o/35r
4NRA+aOzMfIoUBbbv5QI5KmAhFd5M97O+HTrIrCjD++PQgOghsGGSAzyUmi7/1QjsGxCtJIVlAQs
cYr6bI+DbiGg/ujjoLIusiIaJkUC5B+58L1dF4HM6ewcvBFTTuP1TPG51gQEahLG9rHNwaRSUqmQ
iLmAbQI67t1FYKajG+QwsWC6uu68kvY+10WQp2iq3Y9eBvVEpVrm67aRJclh09tbgWoSwI6jG5oq
HNN5ReB9rqtgGLb5fd/+0MrIt2x+X/tfB25vr4GmnXCoYmVU6SSwcPzYkT/R8ZEWiK5+9D7QT+TJ
iW3hT8sEekrES0GkJGedUBjaDa/v94kuwp/Ncv/jbop5YvPQm2ipXw9PPz0N9gmnKgBvEJ6Y23LI
/HRbpCF+ZZL+FxeBLYFuApUQit7Xs8Hb3UGTrQQNbBl7B6X1f1In/D/cLn/0aiFGJ8+vXdrwpX6T
s/S//oXfu5i/vsCP7uT2mbk3Tdh3f1FmMH1/6ZfXZCf553++O2a/dlDf/PD3jurr+/z4z3/8gr++
9bv3+v23+v1fbsKX6lg9BePrD8YfH1PmV/3j7789wpufwrcN5Ndu0b8+yC/JUX9si//udWfHOkzC
Jxrib1/6exfmo689PybHx58Sqb73Nj7+ymlxzN5nXX1vGXz0lTEqJuFRuUKvgBnm7TX5cRz/6Bus
qpB5miKhwFN4/Nta/un9+3xvB3/0fU4ZE7Tpu1/g+1H6wy8cghX86SN/P59++JXz9PFYPY/vPvT3
Y99HX/ogn6uX+u0r/zhLffSVL8KXZwa6zbuX/l6XfvSlfyt+vjd+VP0ffeGbtn46Zu+u84/66cOv
XMlXyHLlt6TJ//bbc+i/vL0wP7r8H32Xvw66+2PN/u9Ww79GdX/whQ95EtbvLsWPU+xHL8Xd/6ZM
++AHvw6fwuTdnfLH1O6jH/2aZx2x+7vF74/DzL9/8T/bX/8Ybf666/4+svyz/+x9SSH/xlPycqz+
+T8AAAD//w==</cx:binary>
              </cx:geoCache>
            </cx:geography>
          </cx:layoutPr>
        </cx:series>
      </cx:plotAreaRegion>
    </cx:plotArea>
    <cx:legend pos="t" align="ctr" overlay="0"/>
  </cx:chart>
  <cx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542924</xdr:colOff>
      <xdr:row>0</xdr:row>
      <xdr:rowOff>161925</xdr:rowOff>
    </xdr:from>
    <xdr:to>
      <xdr:col>13</xdr:col>
      <xdr:colOff>76200</xdr:colOff>
      <xdr:row>8</xdr:row>
      <xdr:rowOff>66675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8FA27F8B-A3D1-42BF-AC8A-FBEF2AE54C64}"/>
            </a:ext>
          </a:extLst>
        </xdr:cNvPr>
        <xdr:cNvSpPr/>
      </xdr:nvSpPr>
      <xdr:spPr>
        <a:xfrm>
          <a:off x="3590924" y="161925"/>
          <a:ext cx="1971676" cy="1428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</xdr:col>
      <xdr:colOff>552449</xdr:colOff>
      <xdr:row>8</xdr:row>
      <xdr:rowOff>127000</xdr:rowOff>
    </xdr:from>
    <xdr:to>
      <xdr:col>21</xdr:col>
      <xdr:colOff>66675</xdr:colOff>
      <xdr:row>28</xdr:row>
      <xdr:rowOff>38099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578C8A3-D7E3-4390-9075-ED76DF0BE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318557</xdr:colOff>
      <xdr:row>0</xdr:row>
      <xdr:rowOff>171450</xdr:rowOff>
    </xdr:from>
    <xdr:to>
      <xdr:col>5</xdr:col>
      <xdr:colOff>461432</xdr:colOff>
      <xdr:row>8</xdr:row>
      <xdr:rowOff>42334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6" name="data">
              <a:extLst>
                <a:ext uri="{FF2B5EF4-FFF2-40B4-BE49-F238E27FC236}">
                  <a16:creationId xmlns:a16="http://schemas.microsoft.com/office/drawing/2014/main" id="{359572CE-C3C9-4C76-989A-E46AA087FF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557" y="171450"/>
              <a:ext cx="3212042" cy="1405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Sequenza temporale: funziona in Excel 2013 o versione successiva. Non è possibile spostarla o ridimensionarla.</a:t>
              </a:r>
            </a:p>
          </xdr:txBody>
        </xdr:sp>
      </mc:Fallback>
    </mc:AlternateContent>
    <xdr:clientData/>
  </xdr:twoCellAnchor>
  <xdr:twoCellAnchor>
    <xdr:from>
      <xdr:col>5</xdr:col>
      <xdr:colOff>553507</xdr:colOff>
      <xdr:row>0</xdr:row>
      <xdr:rowOff>161925</xdr:rowOff>
    </xdr:from>
    <xdr:to>
      <xdr:col>9</xdr:col>
      <xdr:colOff>86783</xdr:colOff>
      <xdr:row>8</xdr:row>
      <xdr:rowOff>66675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3866FFA2-EA77-4FB0-8584-4C7BD9DD1EC5}"/>
            </a:ext>
          </a:extLst>
        </xdr:cNvPr>
        <xdr:cNvSpPr/>
      </xdr:nvSpPr>
      <xdr:spPr>
        <a:xfrm>
          <a:off x="3622674" y="161925"/>
          <a:ext cx="1988609" cy="143933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13</xdr:col>
      <xdr:colOff>542925</xdr:colOff>
      <xdr:row>0</xdr:row>
      <xdr:rowOff>152400</xdr:rowOff>
    </xdr:from>
    <xdr:to>
      <xdr:col>17</xdr:col>
      <xdr:colOff>76201</xdr:colOff>
      <xdr:row>8</xdr:row>
      <xdr:rowOff>57150</xdr:rowOff>
    </xdr:to>
    <xdr:sp macro="" textlink="">
      <xdr:nvSpPr>
        <xdr:cNvPr id="10" name="Rettangolo 9">
          <a:extLst>
            <a:ext uri="{FF2B5EF4-FFF2-40B4-BE49-F238E27FC236}">
              <a16:creationId xmlns:a16="http://schemas.microsoft.com/office/drawing/2014/main" id="{042F7B85-F4E7-47AB-91A0-1D0D6FDF34C9}"/>
            </a:ext>
          </a:extLst>
        </xdr:cNvPr>
        <xdr:cNvSpPr/>
      </xdr:nvSpPr>
      <xdr:spPr>
        <a:xfrm>
          <a:off x="8467725" y="152400"/>
          <a:ext cx="1971676" cy="1428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17</xdr:col>
      <xdr:colOff>532342</xdr:colOff>
      <xdr:row>0</xdr:row>
      <xdr:rowOff>141817</xdr:rowOff>
    </xdr:from>
    <xdr:to>
      <xdr:col>21</xdr:col>
      <xdr:colOff>65618</xdr:colOff>
      <xdr:row>8</xdr:row>
      <xdr:rowOff>46567</xdr:rowOff>
    </xdr:to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E58AD753-CB9B-4B1F-9163-2329F2CC3DD7}"/>
            </a:ext>
          </a:extLst>
        </xdr:cNvPr>
        <xdr:cNvSpPr/>
      </xdr:nvSpPr>
      <xdr:spPr>
        <a:xfrm>
          <a:off x="10967509" y="141817"/>
          <a:ext cx="1988609" cy="1428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5</xdr:col>
      <xdr:colOff>552449</xdr:colOff>
      <xdr:row>28</xdr:row>
      <xdr:rowOff>123825</xdr:rowOff>
    </xdr:from>
    <xdr:to>
      <xdr:col>21</xdr:col>
      <xdr:colOff>74083</xdr:colOff>
      <xdr:row>46</xdr:row>
      <xdr:rowOff>10583</xdr:rowOff>
    </xdr:to>
    <xdr:graphicFrame macro="">
      <xdr:nvGraphicFramePr>
        <xdr:cNvPr id="12" name="Grafico 5">
          <a:extLst>
            <a:ext uri="{FF2B5EF4-FFF2-40B4-BE49-F238E27FC236}">
              <a16:creationId xmlns:a16="http://schemas.microsoft.com/office/drawing/2014/main" id="{AB7F558F-4267-4A8A-BA92-8919CC11D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348191</xdr:colOff>
      <xdr:row>8</xdr:row>
      <xdr:rowOff>127001</xdr:rowOff>
    </xdr:from>
    <xdr:to>
      <xdr:col>5</xdr:col>
      <xdr:colOff>460374</xdr:colOff>
      <xdr:row>46</xdr:row>
      <xdr:rowOff>1</xdr:rowOff>
    </xdr:to>
    <xdr:graphicFrame macro="">
      <xdr:nvGraphicFramePr>
        <xdr:cNvPr id="13" name="Grafico 6">
          <a:extLst>
            <a:ext uri="{FF2B5EF4-FFF2-40B4-BE49-F238E27FC236}">
              <a16:creationId xmlns:a16="http://schemas.microsoft.com/office/drawing/2014/main" id="{E8B2F4ED-A4A8-4832-BEA8-9BF35E770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158750</xdr:colOff>
      <xdr:row>8</xdr:row>
      <xdr:rowOff>131232</xdr:rowOff>
    </xdr:from>
    <xdr:to>
      <xdr:col>28</xdr:col>
      <xdr:colOff>433917</xdr:colOff>
      <xdr:row>46</xdr:row>
      <xdr:rowOff>21165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DB79893C-DADC-414D-9A99-9CBEF1A2F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0350" y="1664757"/>
              <a:ext cx="4542367" cy="71289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21</xdr:col>
      <xdr:colOff>158750</xdr:colOff>
      <xdr:row>0</xdr:row>
      <xdr:rowOff>127000</xdr:rowOff>
    </xdr:from>
    <xdr:to>
      <xdr:col>28</xdr:col>
      <xdr:colOff>433917</xdr:colOff>
      <xdr:row>8</xdr:row>
      <xdr:rowOff>31750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1690F606-A38C-4921-A365-EC9BD6B3A965}"/>
            </a:ext>
          </a:extLst>
        </xdr:cNvPr>
        <xdr:cNvSpPr/>
      </xdr:nvSpPr>
      <xdr:spPr>
        <a:xfrm>
          <a:off x="13049250" y="127000"/>
          <a:ext cx="4572000" cy="1428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21</xdr:col>
      <xdr:colOff>232837</xdr:colOff>
      <xdr:row>2</xdr:row>
      <xdr:rowOff>31750</xdr:rowOff>
    </xdr:from>
    <xdr:to>
      <xdr:col>23</xdr:col>
      <xdr:colOff>34014</xdr:colOff>
      <xdr:row>6</xdr:row>
      <xdr:rowOff>97484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94D9E5E-7CA4-477C-AA73-75784C824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23337" y="412750"/>
          <a:ext cx="1028844" cy="838317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20717594" backgroundQuery="1" createdVersion="6" refreshedVersion="6" minRefreshableVersion="3" recordCount="0" supportSubquery="1" supportAdvancedDrill="1" xr:uid="{F82838FA-2748-4EFE-B7CC-C4363849ED81}">
  <cacheSource type="external" connectionId="3"/>
  <cacheFields count="3">
    <cacheField name="[Measures].[Somma di totale_ospedalizzati]" caption="Somma di totale_ospedalizzati" numFmtId="0" hierarchy="40" level="32767"/>
    <cacheField name="[dpc_covid19_ita_andamento_nazionale].[data].[data]" caption="data" numFmtId="0" level="1">
      <sharedItems containsSemiMixedTypes="0" containsNonDate="0" containsDate="1" containsString="0" minDate="2020-02-24T18:00:00" maxDate="2020-03-10T18:00:00" count="16">
        <d v="2020-02-24T18:00:00"/>
        <d v="2020-02-25T18:00:00"/>
        <d v="2020-02-26T18:00:00"/>
        <d v="2020-02-27T18:00:00"/>
        <d v="2020-02-28T18:00:00"/>
        <d v="2020-02-29T18:00:00"/>
        <d v="2020-03-01T18:00:00"/>
        <d v="2020-03-02T18:00:00"/>
        <d v="2020-03-03T18:00:00"/>
        <d v="2020-03-04T18:00:00"/>
        <d v="2020-03-05T18:00:00"/>
        <d v="2020-03-06T18:00:00"/>
        <d v="2020-03-07T18:00:00"/>
        <d v="2020-03-08T18:00:00"/>
        <d v="2020-03-09T18:00:00"/>
        <d v="2020-03-10T18:00:00"/>
      </sharedItems>
      <extLst>
        <ext xmlns:x15="http://schemas.microsoft.com/office/spreadsheetml/2010/11/main" uri="{4F2E5C28-24EA-4eb8-9CBF-B6C8F9C3D259}">
          <x15:cachedUniqueNames>
            <x15:cachedUniqueName index="0" name="[dpc_covid19_ita_andamento_nazionale].[data].&amp;[2020-02-24T18:00:00]"/>
            <x15:cachedUniqueName index="1" name="[dpc_covid19_ita_andamento_nazionale].[data].&amp;[2020-02-25T18:00:00]"/>
            <x15:cachedUniqueName index="2" name="[dpc_covid19_ita_andamento_nazionale].[data].&amp;[2020-02-26T18:00:00]"/>
            <x15:cachedUniqueName index="3" name="[dpc_covid19_ita_andamento_nazionale].[data].&amp;[2020-02-27T18:00:00]"/>
            <x15:cachedUniqueName index="4" name="[dpc_covid19_ita_andamento_nazionale].[data].&amp;[2020-02-28T18:00:00]"/>
            <x15:cachedUniqueName index="5" name="[dpc_covid19_ita_andamento_nazionale].[data].&amp;[2020-02-29T18:00:00]"/>
            <x15:cachedUniqueName index="6" name="[dpc_covid19_ita_andamento_nazionale].[data].&amp;[2020-03-01T18:00:00]"/>
            <x15:cachedUniqueName index="7" name="[dpc_covid19_ita_andamento_nazionale].[data].&amp;[2020-03-02T18:00:00]"/>
            <x15:cachedUniqueName index="8" name="[dpc_covid19_ita_andamento_nazionale].[data].&amp;[2020-03-03T18:00:00]"/>
            <x15:cachedUniqueName index="9" name="[dpc_covid19_ita_andamento_nazionale].[data].&amp;[2020-03-04T18:00:00]"/>
            <x15:cachedUniqueName index="10" name="[dpc_covid19_ita_andamento_nazionale].[data].&amp;[2020-03-05T18:00:00]"/>
            <x15:cachedUniqueName index="11" name="[dpc_covid19_ita_andamento_nazionale].[data].&amp;[2020-03-06T18:00:00]"/>
            <x15:cachedUniqueName index="12" name="[dpc_covid19_ita_andamento_nazionale].[data].&amp;[2020-03-07T18:00:00]"/>
            <x15:cachedUniqueName index="13" name="[dpc_covid19_ita_andamento_nazionale].[data].&amp;[2020-03-08T18:00:00]"/>
            <x15:cachedUniqueName index="14" name="[dpc_covid19_ita_andamento_nazionale].[data].&amp;[2020-03-09T18:00:00]"/>
            <x15:cachedUniqueName index="15" name="[dpc_covid19_ita_andamento_nazionale].[data].&amp;[2020-03-10T18:00:00]"/>
          </x15:cachedUniqueNames>
        </ext>
      </extLst>
    </cacheField>
    <cacheField name="[Measures].[Somma di terapia_intensiva]" caption="Somma di terapia_intensiva" numFmtId="0" hierarchy="45" level="32767"/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>
      <fieldsUsage count="2">
        <fieldUsage x="-1"/>
        <fieldUsage x="1"/>
      </fieldsUsage>
    </cacheHierarchy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25231481" backgroundQuery="1" createdVersion="6" refreshedVersion="6" minRefreshableVersion="3" recordCount="0" supportSubquery="1" supportAdvancedDrill="1" xr:uid="{D7E70031-50D2-45BA-A4A1-66AEE3451518}">
  <cacheSource type="external" connectionId="3"/>
  <cacheFields count="1">
    <cacheField name="[Measures].[Massimo di totale_casi]" caption="Massimo di totale_casi" numFmtId="0" hierarchy="42" level="32767"/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27662037" backgroundQuery="1" createdVersion="6" refreshedVersion="6" minRefreshableVersion="3" recordCount="0" supportSubquery="1" supportAdvancedDrill="1" xr:uid="{BFBE2F95-7064-4791-8E10-80F51CB09EE2}">
  <cacheSource type="external" connectionId="3"/>
  <cacheFields count="1">
    <cacheField name="[Measures].[Massimo di dimessi_guariti]" caption="Massimo di dimessi_guariti" numFmtId="0" hierarchy="43" level="32767"/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32407409" backgroundQuery="1" createdVersion="6" refreshedVersion="6" minRefreshableVersion="3" recordCount="0" supportSubquery="1" supportAdvancedDrill="1" xr:uid="{3AEDB236-9630-4E8B-AC51-46B7AFF37E8C}">
  <cacheSource type="external" connectionId="3"/>
  <cacheFields count="1">
    <cacheField name="[Measures].[Massimo di deceduti]" caption="Massimo di deceduti" numFmtId="0" hierarchy="44" level="32767"/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37037035" backgroundQuery="1" createdVersion="6" refreshedVersion="6" minRefreshableVersion="3" recordCount="0" supportSubquery="1" supportAdvancedDrill="1" xr:uid="{CA13D991-3DA2-4174-BC7A-E6FC7A26C5D4}">
  <cacheSource type="external" connectionId="3"/>
  <cacheFields count="1">
    <cacheField name="[Measures].[Massimo di totale_attualmente_positivi]" caption="Massimo di totale_attualmente_positivi" numFmtId="0" hierarchy="41" level="32767"/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41666669" backgroundQuery="1" createdVersion="6" refreshedVersion="6" minRefreshableVersion="3" recordCount="0" supportSubquery="1" supportAdvancedDrill="1" xr:uid="{0C8A9517-D14A-426D-8D61-5704AC355026}">
  <cacheSource type="external" connectionId="3"/>
  <cacheFields count="3">
    <cacheField name="[Measures].[Somma di nuovi_attualmente_positivi]" caption="Somma di nuovi_attualmente_positivi" numFmtId="0" hierarchy="38" level="32767"/>
    <cacheField name="[dpc_covid19_ita_andamento_nazionale].[mese].[mese]" caption="mese" numFmtId="0" hierarchy="13" level="1">
      <sharedItems containsSemiMixedTypes="0" containsString="0" containsNumber="1" containsInteger="1" minValue="2" maxValue="3" count="2"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dpc_covid19_ita_andamento_nazionale].[mese].&amp;[2]"/>
            <x15:cachedUniqueName index="1" name="[dpc_covid19_ita_andamento_nazionale].[mese].&amp;[3]"/>
          </x15:cachedUniqueNames>
        </ext>
      </extLst>
    </cacheField>
    <cacheField name="[dpc_covid19_ita_andamento_nazionale].[giorno].[giorno]" caption="giorno" numFmtId="0" hierarchy="12" level="1">
      <sharedItems containsSemiMixedTypes="0" containsString="0" containsNumber="1" containsInteger="1" minValue="1" maxValue="29" count="16">
        <n v="24"/>
        <n v="25"/>
        <n v="26"/>
        <n v="27"/>
        <n v="28"/>
        <n v="29"/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dpc_covid19_ita_andamento_nazionale].[giorno].&amp;[24]"/>
            <x15:cachedUniqueName index="1" name="[dpc_covid19_ita_andamento_nazionale].[giorno].&amp;[25]"/>
            <x15:cachedUniqueName index="2" name="[dpc_covid19_ita_andamento_nazionale].[giorno].&amp;[26]"/>
            <x15:cachedUniqueName index="3" name="[dpc_covid19_ita_andamento_nazionale].[giorno].&amp;[27]"/>
            <x15:cachedUniqueName index="4" name="[dpc_covid19_ita_andamento_nazionale].[giorno].&amp;[28]"/>
            <x15:cachedUniqueName index="5" name="[dpc_covid19_ita_andamento_nazionale].[giorno].&amp;[29]"/>
            <x15:cachedUniqueName index="6" name="[dpc_covid19_ita_andamento_nazionale].[giorno].&amp;[1]"/>
            <x15:cachedUniqueName index="7" name="[dpc_covid19_ita_andamento_nazionale].[giorno].&amp;[2]"/>
            <x15:cachedUniqueName index="8" name="[dpc_covid19_ita_andamento_nazionale].[giorno].&amp;[3]"/>
            <x15:cachedUniqueName index="9" name="[dpc_covid19_ita_andamento_nazionale].[giorno].&amp;[4]"/>
            <x15:cachedUniqueName index="10" name="[dpc_covid19_ita_andamento_nazionale].[giorno].&amp;[5]"/>
            <x15:cachedUniqueName index="11" name="[dpc_covid19_ita_andamento_nazionale].[giorno].&amp;[6]"/>
            <x15:cachedUniqueName index="12" name="[dpc_covid19_ita_andamento_nazionale].[giorno].&amp;[7]"/>
            <x15:cachedUniqueName index="13" name="[dpc_covid19_ita_andamento_nazionale].[giorno].&amp;[8]"/>
            <x15:cachedUniqueName index="14" name="[dpc_covid19_ita_andamento_nazionale].[giorno].&amp;[9]"/>
            <x15:cachedUniqueName index="15" name="[dpc_covid19_ita_andamento_nazionale].[giorno].&amp;[10]"/>
          </x15:cachedUniqueNames>
        </ext>
      </extLst>
    </cacheField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2" memberValueDatatype="20" unbalanced="0">
      <fieldsUsage count="2">
        <fieldUsage x="-1"/>
        <fieldUsage x="2"/>
      </fieldsUsage>
    </cacheHierarchy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2" memberValueDatatype="20" unbalanced="0">
      <fieldsUsage count="2">
        <fieldUsage x="-1"/>
        <fieldUsage x="1"/>
      </fieldsUsage>
    </cacheHierarchy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42824078" backgroundQuery="1" createdVersion="6" refreshedVersion="6" minRefreshableVersion="3" recordCount="0" supportSubquery="1" supportAdvancedDrill="1" xr:uid="{4CFFC232-F25B-4231-BB28-2C3D5D904EAD}">
  <cacheSource type="external" connectionId="3"/>
  <cacheFields count="4">
    <cacheField name="[dpc_covid19_ita_andamento_nazionale].[data].[data]" caption="data" numFmtId="0" level="1">
      <sharedItems containsSemiMixedTypes="0" containsNonDate="0" containsDate="1" containsString="0" minDate="2020-02-24T18:00:00" maxDate="2020-03-10T18:00:00" count="16">
        <d v="2020-02-24T18:00:00"/>
        <d v="2020-02-25T18:00:00"/>
        <d v="2020-02-26T18:00:00"/>
        <d v="2020-02-27T18:00:00"/>
        <d v="2020-02-28T18:00:00"/>
        <d v="2020-02-29T18:00:00"/>
        <d v="2020-03-01T18:00:00"/>
        <d v="2020-03-02T18:00:00"/>
        <d v="2020-03-03T18:00:00"/>
        <d v="2020-03-04T18:00:00"/>
        <d v="2020-03-05T18:00:00"/>
        <d v="2020-03-06T18:00:00"/>
        <d v="2020-03-07T18:00:00"/>
        <d v="2020-03-08T18:00:00"/>
        <d v="2020-03-09T18:00:00"/>
        <d v="2020-03-10T18:00:00"/>
      </sharedItems>
      <extLst>
        <ext xmlns:x15="http://schemas.microsoft.com/office/spreadsheetml/2010/11/main" uri="{4F2E5C28-24EA-4eb8-9CBF-B6C8F9C3D259}">
          <x15:cachedUniqueNames>
            <x15:cachedUniqueName index="0" name="[dpc_covid19_ita_andamento_nazionale].[data].&amp;[2020-02-24T18:00:00]"/>
            <x15:cachedUniqueName index="1" name="[dpc_covid19_ita_andamento_nazionale].[data].&amp;[2020-02-25T18:00:00]"/>
            <x15:cachedUniqueName index="2" name="[dpc_covid19_ita_andamento_nazionale].[data].&amp;[2020-02-26T18:00:00]"/>
            <x15:cachedUniqueName index="3" name="[dpc_covid19_ita_andamento_nazionale].[data].&amp;[2020-02-27T18:00:00]"/>
            <x15:cachedUniqueName index="4" name="[dpc_covid19_ita_andamento_nazionale].[data].&amp;[2020-02-28T18:00:00]"/>
            <x15:cachedUniqueName index="5" name="[dpc_covid19_ita_andamento_nazionale].[data].&amp;[2020-02-29T18:00:00]"/>
            <x15:cachedUniqueName index="6" name="[dpc_covid19_ita_andamento_nazionale].[data].&amp;[2020-03-01T18:00:00]"/>
            <x15:cachedUniqueName index="7" name="[dpc_covid19_ita_andamento_nazionale].[data].&amp;[2020-03-02T18:00:00]"/>
            <x15:cachedUniqueName index="8" name="[dpc_covid19_ita_andamento_nazionale].[data].&amp;[2020-03-03T18:00:00]"/>
            <x15:cachedUniqueName index="9" name="[dpc_covid19_ita_andamento_nazionale].[data].&amp;[2020-03-04T18:00:00]"/>
            <x15:cachedUniqueName index="10" name="[dpc_covid19_ita_andamento_nazionale].[data].&amp;[2020-03-05T18:00:00]"/>
            <x15:cachedUniqueName index="11" name="[dpc_covid19_ita_andamento_nazionale].[data].&amp;[2020-03-06T18:00:00]"/>
            <x15:cachedUniqueName index="12" name="[dpc_covid19_ita_andamento_nazionale].[data].&amp;[2020-03-07T18:00:00]"/>
            <x15:cachedUniqueName index="13" name="[dpc_covid19_ita_andamento_nazionale].[data].&amp;[2020-03-08T18:00:00]"/>
            <x15:cachedUniqueName index="14" name="[dpc_covid19_ita_andamento_nazionale].[data].&amp;[2020-03-09T18:00:00]"/>
            <x15:cachedUniqueName index="15" name="[dpc_covid19_ita_andamento_nazionale].[data].&amp;[2020-03-10T18:00:00]"/>
          </x15:cachedUniqueNames>
        </ext>
      </extLst>
    </cacheField>
    <cacheField name="[Measures].[Somma di totale_casi]" caption="Somma di totale_casi" numFmtId="0" hierarchy="35" level="32767"/>
    <cacheField name="[Measures].[Somma di deceduti]" caption="Somma di deceduti" numFmtId="0" hierarchy="36" level="32767"/>
    <cacheField name="[Measures].[Somma di dimessi_guariti]" caption="Somma di dimessi_guariti" numFmtId="0" hierarchy="39" level="32767"/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>
      <fieldsUsage count="2">
        <fieldUsage x="-1"/>
        <fieldUsage x="0"/>
      </fieldsUsage>
    </cacheHierarchy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642361108" backgroundQuery="1" createdVersion="6" refreshedVersion="6" minRefreshableVersion="3" recordCount="0" supportSubquery="1" supportAdvancedDrill="1" xr:uid="{B78817E8-CAD3-4BF0-B2CB-66DAB69029AE}">
  <cacheSource type="external" connectionId="3"/>
  <cacheFields count="2">
    <cacheField name="[Measures].[Massimo di totale_casi 2]" caption="Massimo di totale_casi 2" numFmtId="0" hierarchy="53" level="32767"/>
    <cacheField name="[dpc_covid19_ita_regioni].[denominazione_regione_adjust].[denominazione_regione_adjust]" caption="denominazione_regione_adjust" numFmtId="0" hierarchy="31" level="1">
      <sharedItems count="20">
        <s v="Abruzzo"/>
        <s v="Basilicata"/>
        <s v="Calabria"/>
        <s v="Campania"/>
        <s v="Emilia 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</cacheFields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0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2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2" memberValueDatatype="130" unbalanced="0">
      <fieldsUsage count="2">
        <fieldUsage x="-1"/>
        <fieldUsage x="1"/>
      </fieldsUsage>
    </cacheHierarchy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pc_covid19_ita_andamento_nazionale" uniqueName="[dpc_covid19_ita_andamento_nazionale]" caption="dpc_covid19_ita_andamento_nazionale"/>
    <dimension name="dpc_covid19_ita_regioni" uniqueName="[dpc_covid19_ita_regioni]" caption="dpc_covid19_ita_regioni"/>
    <dimension measure="1" name="Measures" uniqueName="[Measures]" caption="Measures"/>
  </dimensions>
  <measureGroups count="2">
    <measureGroup name="dpc_covid19_ita_andamento_nazionale" caption="dpc_covid19_ita_andamento_nazionale"/>
    <measureGroup name="dpc_covid19_ita_regioni" caption="dpc_covid19_ita_regioni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Maramotti" refreshedDate="43901.355319675924" backgroundQuery="1" createdVersion="3" refreshedVersion="6" minRefreshableVersion="3" recordCount="0" supportSubquery="1" supportAdvancedDrill="1" xr:uid="{5B7FBBEE-F1C2-4DD9-832A-72FEB0D31439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5">
    <cacheHierarchy uniqueName="[dpc_covid19_ita_andamento_nazionale].[data]" caption="data" attribute="1" time="1" defaultMemberUniqueName="[dpc_covid19_ita_andamento_nazionale].[data].[All]" allUniqueName="[dpc_covid19_ita_andamento_nazionale].[data].[All]" dimensionUniqueName="[dpc_covid19_ita_andamento_nazionale]" displayFolder="" count="2" memberValueDatatype="7" unbalanced="0"/>
    <cacheHierarchy uniqueName="[dpc_covid19_ita_andamento_nazionale].[stato]" caption="stato" attribute="1" defaultMemberUniqueName="[dpc_covid19_ita_andamento_nazionale].[stato].[All]" allUniqueName="[dpc_covid19_ita_andamento_nazionale].[stato].[All]" dimensionUniqueName="[dpc_covid19_ita_andamento_nazionale]" displayFolder="" count="0" memberValueDatatype="130" unbalanced="0"/>
    <cacheHierarchy uniqueName="[dpc_covid19_ita_andamento_nazionale].[ricoverati_con_sintomi]" caption="ricoverati_con_sintomi" attribute="1" defaultMemberUniqueName="[dpc_covid19_ita_andamento_nazionale].[ricoverati_con_sintomi].[All]" allUniqueName="[dpc_covid19_ita_andamento_nazionale].[ricoverati_con_sintomi].[All]" dimensionUniqueName="[dpc_covid19_ita_andamento_nazionale]" displayFolder="" count="0" memberValueDatatype="20" unbalanced="0"/>
    <cacheHierarchy uniqueName="[dpc_covid19_ita_andamento_nazionale].[terapia_intensiva]" caption="terapia_intensiva" attribute="1" defaultMemberUniqueName="[dpc_covid19_ita_andamento_nazionale].[terapia_intensiva].[All]" allUniqueName="[dpc_covid19_ita_andamento_nazionale].[terapia_intensiva].[All]" dimensionUniqueName="[dpc_covid19_ita_andamento_nazionale]" displayFolder="" count="0" memberValueDatatype="20" unbalanced="0"/>
    <cacheHierarchy uniqueName="[dpc_covid19_ita_andamento_nazionale].[totale_ospedalizzati]" caption="totale_ospedalizzati" attribute="1" defaultMemberUniqueName="[dpc_covid19_ita_andamento_nazionale].[totale_ospedalizzati].[All]" allUniqueName="[dpc_covid19_ita_andamento_nazionale].[totale_ospedalizzati].[All]" dimensionUniqueName="[dpc_covid19_ita_andamento_nazionale]" displayFolder="" count="0" memberValueDatatype="20" unbalanced="0"/>
    <cacheHierarchy uniqueName="[dpc_covid19_ita_andamento_nazionale].[isolamento_domiciliare]" caption="isolamento_domiciliare" attribute="1" defaultMemberUniqueName="[dpc_covid19_ita_andamento_nazionale].[isolamento_domiciliare].[All]" allUniqueName="[dpc_covid19_ita_andamento_nazionale].[isolamento_domiciliare].[All]" dimensionUniqueName="[dpc_covid19_ita_andamento_nazionale]" displayFolder="" count="0" memberValueDatatype="20" unbalanced="0"/>
    <cacheHierarchy uniqueName="[dpc_covid19_ita_andamento_nazionale].[totale_attualmente_positivi]" caption="totale_attualmente_positivi" attribute="1" defaultMemberUniqueName="[dpc_covid19_ita_andamento_nazionale].[totale_attualmente_positivi].[All]" allUniqueName="[dpc_covid19_ita_andamento_nazionale].[totale_attualmente_positivi].[All]" dimensionUniqueName="[dpc_covid19_ita_andamento_nazionale]" displayFolder="" count="0" memberValueDatatype="20" unbalanced="0"/>
    <cacheHierarchy uniqueName="[dpc_covid19_ita_andamento_nazionale].[nuovi_attualmente_positivi]" caption="nuovi_attualmente_positivi" attribute="1" defaultMemberUniqueName="[dpc_covid19_ita_andamento_nazionale].[nuovi_attualmente_positivi].[All]" allUniqueName="[dpc_covid19_ita_andamento_nazionale].[nuovi_attualmente_positivi].[All]" dimensionUniqueName="[dpc_covid19_ita_andamento_nazionale]" displayFolder="" count="0" memberValueDatatype="20" unbalanced="0"/>
    <cacheHierarchy uniqueName="[dpc_covid19_ita_andamento_nazionale].[dimessi_guariti]" caption="dimessi_guariti" attribute="1" defaultMemberUniqueName="[dpc_covid19_ita_andamento_nazionale].[dimessi_guariti].[All]" allUniqueName="[dpc_covid19_ita_andamento_nazionale].[dimessi_guariti].[All]" dimensionUniqueName="[dpc_covid19_ita_andamento_nazionale]" displayFolder="" count="0" memberValueDatatype="20" unbalanced="0"/>
    <cacheHierarchy uniqueName="[dpc_covid19_ita_andamento_nazionale].[deceduti]" caption="deceduti" attribute="1" defaultMemberUniqueName="[dpc_covid19_ita_andamento_nazionale].[deceduti].[All]" allUniqueName="[dpc_covid19_ita_andamento_nazionale].[deceduti].[All]" dimensionUniqueName="[dpc_covid19_ita_andamento_nazionale]" displayFolder="" count="0" memberValueDatatype="20" unbalanced="0"/>
    <cacheHierarchy uniqueName="[dpc_covid19_ita_andamento_nazionale].[totale_casi]" caption="totale_casi" attribute="1" defaultMemberUniqueName="[dpc_covid19_ita_andamento_nazionale].[totale_casi].[All]" allUniqueName="[dpc_covid19_ita_andamento_nazionale].[totale_casi].[All]" dimensionUniqueName="[dpc_covid19_ita_andamento_nazionale]" displayFolder="" count="0" memberValueDatatype="20" unbalanced="0"/>
    <cacheHierarchy uniqueName="[dpc_covid19_ita_andamento_nazionale].[tamponi]" caption="tamponi" attribute="1" defaultMemberUniqueName="[dpc_covid19_ita_andamento_nazionale].[tamponi].[All]" allUniqueName="[dpc_covid19_ita_andamento_nazionale].[tamponi].[All]" dimensionUniqueName="[dpc_covid19_ita_andamento_nazionale]" displayFolder="" count="0" memberValueDatatype="20" unbalanced="0"/>
    <cacheHierarchy uniqueName="[dpc_covid19_ita_andamento_nazionale].[giorno]" caption="giorno" attribute="1" defaultMemberUniqueName="[dpc_covid19_ita_andamento_nazionale].[giorno].[All]" allUniqueName="[dpc_covid19_ita_andamento_nazionale].[giorno].[All]" dimensionUniqueName="[dpc_covid19_ita_andamento_nazionale]" displayFolder="" count="0" memberValueDatatype="20" unbalanced="0"/>
    <cacheHierarchy uniqueName="[dpc_covid19_ita_andamento_nazionale].[mese]" caption="mese" attribute="1" defaultMemberUniqueName="[dpc_covid19_ita_andamento_nazionale].[mese].[All]" allUniqueName="[dpc_covid19_ita_andamento_nazionale].[mese].[All]" dimensionUniqueName="[dpc_covid19_ita_andamento_nazionale]" displayFolder="" count="0" memberValueDatatype="20" unbalanced="0"/>
    <cacheHierarchy uniqueName="[dpc_covid19_ita_andamento_nazionale].[anno]" caption="anno" attribute="1" defaultMemberUniqueName="[dpc_covid19_ita_andamento_nazionale].[anno].[All]" allUniqueName="[dpc_covid19_ita_andamento_nazionale].[anno].[All]" dimensionUniqueName="[dpc_covid19_ita_andamento_nazionale]" displayFolder="" count="0" memberValueDatatype="20" unbalanced="0"/>
    <cacheHierarchy uniqueName="[dpc_covid19_ita_regioni].[data]" caption="data" attribute="1" time="1" defaultMemberUniqueName="[dpc_covid19_ita_regioni].[data].[All]" allUniqueName="[dpc_covid19_ita_regioni].[data].[All]" dimensionUniqueName="[dpc_covid19_ita_regioni]" displayFolder="" count="0" memberValueDatatype="7" unbalanced="0"/>
    <cacheHierarchy uniqueName="[dpc_covid19_ita_regioni].[stato]" caption="stato" attribute="1" defaultMemberUniqueName="[dpc_covid19_ita_regioni].[stato].[All]" allUniqueName="[dpc_covid19_ita_regioni].[stato].[All]" dimensionUniqueName="[dpc_covid19_ita_regioni]" displayFolder="" count="0" memberValueDatatype="130" unbalanced="0"/>
    <cacheHierarchy uniqueName="[dpc_covid19_ita_regioni].[codice_regione]" caption="codice_regione" attribute="1" defaultMemberUniqueName="[dpc_covid19_ita_regioni].[codice_regione].[All]" allUniqueName="[dpc_covid19_ita_regioni].[codice_regione].[All]" dimensionUniqueName="[dpc_covid19_ita_regioni]" displayFolder="" count="0" memberValueDatatype="20" unbalanced="0"/>
    <cacheHierarchy uniqueName="[dpc_covid19_ita_regioni].[denominazione_regione]" caption="denominazione_regione" attribute="1" defaultMemberUniqueName="[dpc_covid19_ita_regioni].[denominazione_regione].[All]" allUniqueName="[dpc_covid19_ita_regioni].[denominazione_regione].[All]" dimensionUniqueName="[dpc_covid19_ita_regioni]" displayFolder="" count="0" memberValueDatatype="130" unbalanced="0"/>
    <cacheHierarchy uniqueName="[dpc_covid19_ita_regioni].[lat]" caption="lat" attribute="1" defaultMemberUniqueName="[dpc_covid19_ita_regioni].[lat].[All]" allUniqueName="[dpc_covid19_ita_regioni].[lat].[All]" dimensionUniqueName="[dpc_covid19_ita_regioni]" displayFolder="" count="0" memberValueDatatype="5" unbalanced="0"/>
    <cacheHierarchy uniqueName="[dpc_covid19_ita_regioni].[long]" caption="long" attribute="1" defaultMemberUniqueName="[dpc_covid19_ita_regioni].[long].[All]" allUniqueName="[dpc_covid19_ita_regioni].[long].[All]" dimensionUniqueName="[dpc_covid19_ita_regioni]" displayFolder="" count="0" memberValueDatatype="5" unbalanced="0"/>
    <cacheHierarchy uniqueName="[dpc_covid19_ita_regioni].[ricoverati_con_sintomi]" caption="ricoverati_con_sintomi" attribute="1" defaultMemberUniqueName="[dpc_covid19_ita_regioni].[ricoverati_con_sintomi].[All]" allUniqueName="[dpc_covid19_ita_regioni].[ricoverati_con_sintomi].[All]" dimensionUniqueName="[dpc_covid19_ita_regioni]" displayFolder="" count="0" memberValueDatatype="20" unbalanced="0"/>
    <cacheHierarchy uniqueName="[dpc_covid19_ita_regioni].[terapia_intensiva]" caption="terapia_intensiva" attribute="1" defaultMemberUniqueName="[dpc_covid19_ita_regioni].[terapia_intensiva].[All]" allUniqueName="[dpc_covid19_ita_regioni].[terapia_intensiva].[All]" dimensionUniqueName="[dpc_covid19_ita_regioni]" displayFolder="" count="0" memberValueDatatype="20" unbalanced="0"/>
    <cacheHierarchy uniqueName="[dpc_covid19_ita_regioni].[totale_ospedalizzati]" caption="totale_ospedalizzati" attribute="1" defaultMemberUniqueName="[dpc_covid19_ita_regioni].[totale_ospedalizzati].[All]" allUniqueName="[dpc_covid19_ita_regioni].[totale_ospedalizzati].[All]" dimensionUniqueName="[dpc_covid19_ita_regioni]" displayFolder="" count="0" memberValueDatatype="20" unbalanced="0"/>
    <cacheHierarchy uniqueName="[dpc_covid19_ita_regioni].[isolamento_domiciliare]" caption="isolamento_domiciliare" attribute="1" defaultMemberUniqueName="[dpc_covid19_ita_regioni].[isolamento_domiciliare].[All]" allUniqueName="[dpc_covid19_ita_regioni].[isolamento_domiciliare].[All]" dimensionUniqueName="[dpc_covid19_ita_regioni]" displayFolder="" count="0" memberValueDatatype="20" unbalanced="0"/>
    <cacheHierarchy uniqueName="[dpc_covid19_ita_regioni].[totale_attualmente_positivi]" caption="totale_attualmente_positivi" attribute="1" defaultMemberUniqueName="[dpc_covid19_ita_regioni].[totale_attualmente_positivi].[All]" allUniqueName="[dpc_covid19_ita_regioni].[totale_attualmente_positivi].[All]" dimensionUniqueName="[dpc_covid19_ita_regioni]" displayFolder="" count="0" memberValueDatatype="20" unbalanced="0"/>
    <cacheHierarchy uniqueName="[dpc_covid19_ita_regioni].[nuovi_attualmente_positivi]" caption="nuovi_attualmente_positivi" attribute="1" defaultMemberUniqueName="[dpc_covid19_ita_regioni].[nuovi_attualmente_positivi].[All]" allUniqueName="[dpc_covid19_ita_regioni].[nuovi_attualmente_positivi].[All]" dimensionUniqueName="[dpc_covid19_ita_regioni]" displayFolder="" count="0" memberValueDatatype="20" unbalanced="0"/>
    <cacheHierarchy uniqueName="[dpc_covid19_ita_regioni].[dimessi_guariti]" caption="dimessi_guariti" attribute="1" defaultMemberUniqueName="[dpc_covid19_ita_regioni].[dimessi_guariti].[All]" allUniqueName="[dpc_covid19_ita_regioni].[dimessi_guariti].[All]" dimensionUniqueName="[dpc_covid19_ita_regioni]" displayFolder="" count="0" memberValueDatatype="20" unbalanced="0"/>
    <cacheHierarchy uniqueName="[dpc_covid19_ita_regioni].[deceduti]" caption="deceduti" attribute="1" defaultMemberUniqueName="[dpc_covid19_ita_regioni].[deceduti].[All]" allUniqueName="[dpc_covid19_ita_regioni].[deceduti].[All]" dimensionUniqueName="[dpc_covid19_ita_regioni]" displayFolder="" count="0" memberValueDatatype="20" unbalanced="0"/>
    <cacheHierarchy uniqueName="[dpc_covid19_ita_regioni].[totale_casi]" caption="totale_casi" attribute="1" defaultMemberUniqueName="[dpc_covid19_ita_regioni].[totale_casi].[All]" allUniqueName="[dpc_covid19_ita_regioni].[totale_casi].[All]" dimensionUniqueName="[dpc_covid19_ita_regioni]" displayFolder="" count="0" memberValueDatatype="20" unbalanced="0"/>
    <cacheHierarchy uniqueName="[dpc_covid19_ita_regioni].[tamponi]" caption="tamponi" attribute="1" defaultMemberUniqueName="[dpc_covid19_ita_regioni].[tamponi].[All]" allUniqueName="[dpc_covid19_ita_regioni].[tamponi].[All]" dimensionUniqueName="[dpc_covid19_ita_regioni]" displayFolder="" count="0" memberValueDatatype="20" unbalanced="0"/>
    <cacheHierarchy uniqueName="[dpc_covid19_ita_regioni].[denominazione_regione_adjust]" caption="denominazione_regione_adjust" attribute="1" defaultMemberUniqueName="[dpc_covid19_ita_regioni].[denominazione_regione_adjust].[All]" allUniqueName="[dpc_covid19_ita_regioni].[denominazione_regione_adjust].[All]" dimensionUniqueName="[dpc_covid19_ita_regioni]" displayFolder="" count="0" memberValueDatatype="130" unbalanced="0"/>
    <cacheHierarchy uniqueName="[Measures].[__XL_Count dpc_covid19_ita_andamento_nazionale]" caption="__XL_Count dpc_covid19_ita_andamento_nazionale" measure="1" displayFolder="" measureGroup="dpc_covid19_ita_andamento_nazionale" count="0" hidden="1"/>
    <cacheHierarchy uniqueName="[Measures].[__XL_Count dpc_covid19_ita_regioni]" caption="__XL_Count dpc_covid19_ita_regioni" measure="1" displayFolder="" measureGroup="dpc_covid19_ita_regioni" count="0" hidden="1"/>
    <cacheHierarchy uniqueName="[Measures].[__Nessuna misura definita]" caption="__Nessuna misura definita" measure="1" displayFolder="" count="0" hidden="1"/>
    <cacheHierarchy uniqueName="[Measures].[Somma di totale_casi]" caption="Somma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a di deceduti]" caption="Somma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attualmente_positivi]" caption="Somma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omma di nuovi_attualmente_positivi]" caption="Somma di nuovi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imessi_guariti]" caption="Somma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totale_ospedalizzati]" caption="Somma di totale_ospedalizza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ssimo di totale_attualmente_positivi]" caption="Massimo di totale_attualmente_positiv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ssimo di totale_casi]" caption="Massimo di totale_cas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ssimo di dimessi_guariti]" caption="Massimo di dimessi_guari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ssimo di deceduti]" caption="Massimo di deceduti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erapia_intensiva]" caption="Somma di terapia_intensiva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a di giorno]" caption="Somma di giorno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ma di mese]" caption="Somma di mese" measure="1" displayFolder="" measureGroup="dpc_covid19_ita_andamento_nazional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omma di codice_regione]" caption="Somma di codice_regione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a di totale_attualmente_positivi 2]" caption="Somma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Massimo di totale_attualmente_positivi 2]" caption="Massimo di totale_attualmente_positiv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ma di lat]" caption="Somma di lat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ma di totale_casi 2]" caption="Somma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Massimo di totale_casi 2]" caption="Massimo di totale_casi 2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ma di long]" caption="Somma di long" measure="1" displayFolder="" measureGroup="dpc_covid19_ita_regioni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67568681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C4E4B-2773-48F2-8564-098E5EFACF02}" name="Tabella pivot1" cacheId="112" applyNumberFormats="0" applyBorderFormats="0" applyFontFormats="0" applyPatternFormats="0" applyAlignmentFormats="0" applyWidthHeightFormats="1" dataCaption="Valori" tag="988f76df-3d3b-4e18-8868-46f09558a923" updatedVersion="6" minRefreshableVersion="5" useAutoFormatting="1" subtotalHiddenItems="1" itemPrintTitles="1" createdVersion="6" indent="0" outline="1" outlineData="1" multipleFieldFilters="0" chartFormat="2">
  <location ref="B2:E19" firstHeaderRow="0" firstDataRow="1" firstDataCol="1"/>
  <pivotFields count="4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SI TOTALI RILEVATI" fld="1" baseField="0" baseItem="0"/>
    <dataField name="DECEDUTI" fld="2" baseField="0" baseItem="0"/>
    <dataField name="GUARITI" fld="3" baseField="0" baseItem="0"/>
  </dataFields>
  <formats count="1">
    <format dxfId="5">
      <pivotArea dataOnly="0" labelOnly="1" fieldPosition="0">
        <references count="1">
          <reference field="0" count="0"/>
        </references>
      </pivotArea>
    </format>
  </format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ASI TOTALI RILEVATI"/>
    <pivotHierarchy dragToData="1" caption="DECEDUTI"/>
    <pivotHierarchy dragToData="1"/>
    <pivotHierarchy dragToData="1"/>
    <pivotHierarchy dragToData="1" caption="GUARI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889AB-D89C-4AE5-9ECB-0FD2A6D9148B}" name="Tabella pivot8" cacheId="109" applyNumberFormats="0" applyBorderFormats="0" applyFontFormats="0" applyPatternFormats="0" applyAlignmentFormats="0" applyWidthHeightFormats="1" dataCaption="Valori" tag="76949482-65a4-48b4-9553-a46a961a3d5a" updatedVersion="6" minRefreshableVersion="5" useAutoFormatting="1" itemPrintTitles="1" createdVersion="6" indent="0" outline="1" outlineData="1" multipleFieldFilters="0" chartFormat="2">
  <location ref="K6:L2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2">
    <field x="1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omma di nuovi_attualmente_positivi" fld="0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B4AD1-2D6D-49E1-BF1D-8FBF4D861F1D}" name="Tabella pivot2" cacheId="118" applyNumberFormats="0" applyBorderFormats="0" applyFontFormats="0" applyPatternFormats="0" applyAlignmentFormats="0" applyWidthHeightFormats="1" dataCaption="Valori" tag="4b6e6f9e-5ec9-4272-9f44-19ac7b585903" updatedVersion="6" minRefreshableVersion="3" useAutoFormatting="1" rowGrandTotals="0" colGrandTotals="0" itemPrintTitles="1" createdVersion="6" indent="0" outline="1" outlineData="1" multipleFieldFilters="0">
  <location ref="N6:O2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Massimo di totale_casi" fld="0" subtotal="max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attualmente_positivi"/>
    <pivotHierarchy dragToData="1"/>
    <pivotHierarchy dragToData="1" caption="Somma di totale_casi"/>
    <pivotHierarchy dragToData="1" caption="Massimo di totale_casi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region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BD64A-9409-4DFA-9D3E-066D0EAB4257}" name="Tabella pivot5" cacheId="103" applyNumberFormats="0" applyBorderFormats="0" applyFontFormats="0" applyPatternFormats="0" applyAlignmentFormats="0" applyWidthHeightFormats="1" dataCaption="Valori" tag="167129ce-59a3-4d85-b7f8-84502f734a45" updatedVersion="6" minRefreshableVersion="5" useAutoFormatting="1" itemPrintTitles="1" createdVersion="6" indent="0" outline="1" outlineData="1" multipleFieldFilters="0">
  <location ref="K2:K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ssimo di deceduti" fld="0" subtotal="max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decedu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7E90E-0326-429B-A053-54AB46FA61C9}" name="Tabella pivot3" cacheId="97" applyNumberFormats="0" applyBorderFormats="0" applyFontFormats="0" applyPatternFormats="0" applyAlignmentFormats="0" applyWidthHeightFormats="1" dataCaption="Valori" tag="5421e62f-46b1-4145-9f52-96c3c8bf46bb" updatedVersion="6" minRefreshableVersion="5" useAutoFormatting="1" itemPrintTitles="1" createdVersion="6" indent="0" outline="1" outlineData="1" multipleFieldFilters="0">
  <location ref="G2:G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ssimo di totale_casi" fld="0" subtotal="max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cas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820B6-4E36-4DF6-BA6E-215A130D09E5}" name="Tabella pivot6" cacheId="106" applyNumberFormats="0" applyBorderFormats="0" applyFontFormats="0" applyPatternFormats="0" applyAlignmentFormats="0" applyWidthHeightFormats="1" dataCaption="Valori" tag="f5aeba3a-0a0c-4bc1-85a0-ce39b541bd3e" updatedVersion="6" minRefreshableVersion="5" useAutoFormatting="1" itemPrintTitles="1" createdVersion="6" indent="0" outline="1" outlineData="1" multipleFieldFilters="0">
  <location ref="M2:M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ssimo di totale_attualmente_positivi" fld="0" subtotal="max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attualmente_positiv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CB48B-C5B3-401D-A1BA-F10253956799}" name="Tabella pivot4" cacheId="100" applyNumberFormats="0" applyBorderFormats="0" applyFontFormats="0" applyPatternFormats="0" applyAlignmentFormats="0" applyWidthHeightFormats="1" dataCaption="Valori" tag="beaa4f3c-3365-4949-8e31-817613a9cf4b" updatedVersion="6" minRefreshableVersion="5" useAutoFormatting="1" itemPrintTitles="1" createdVersion="6" indent="0" outline="1" outlineData="1" multipleFieldFilters="0">
  <location ref="I2:I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assimo di dimessi_guariti" fld="0" subtotal="max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dimessi_guari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EC4E3-6D59-4673-8352-877A612CC01A}" name="Tabella pivot7" cacheId="94" applyNumberFormats="0" applyBorderFormats="0" applyFontFormats="0" applyPatternFormats="0" applyAlignmentFormats="0" applyWidthHeightFormats="1" dataCaption="Valori" tag="1c72704f-781a-46e1-8242-47fa4c3e0ed2" updatedVersion="6" minRefreshableVersion="5" useAutoFormatting="1" subtotalHiddenItems="1" itemPrintTitles="1" createdVersion="6" indent="0" outline="1" outlineData="1" multipleFieldFilters="0" chartFormat="2">
  <location ref="G6:I2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dataField="1" subtotalTop="0" showAll="0" defaultSubtota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totale_ospedalizzati" fld="0" baseField="0" baseItem="0"/>
    <dataField name="Somma di terapia_intensiva" fld="2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c_covid19_ita_andamento_nazion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4BF8EF1-CFCB-4411-9FCC-C19C2CE1C995}" autoFormatId="16" applyNumberFormats="0" applyBorderFormats="0" applyFontFormats="0" applyPatternFormats="0" applyAlignmentFormats="0" applyWidthHeightFormats="0">
  <queryTableRefresh nextId="13">
    <queryTableFields count="12">
      <queryTableField id="1" name="data" tableColumnId="1"/>
      <queryTableField id="2" name="stato" tableColumnId="2"/>
      <queryTableField id="3" name="ricoverati_con_sintomi" tableColumnId="3"/>
      <queryTableField id="4" name="terapia_intensiva" tableColumnId="4"/>
      <queryTableField id="5" name="totale_ospedalizzati" tableColumnId="5"/>
      <queryTableField id="6" name="isolamento_domiciliare" tableColumnId="6"/>
      <queryTableField id="7" name="totale_attualmente_positivi" tableColumnId="7"/>
      <queryTableField id="8" name="nuovi_attualmente_positivi" tableColumnId="8"/>
      <queryTableField id="9" name="dimessi_guariti" tableColumnId="9"/>
      <queryTableField id="10" name="deceduti" tableColumnId="10"/>
      <queryTableField id="11" name="totale_casi" tableColumnId="11"/>
      <queryTableField id="12" name="tamponi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73AABE25-CA61-462A-9B8A-F83D26066C43}" autoFormatId="16" applyNumberFormats="0" applyBorderFormats="0" applyFontFormats="0" applyPatternFormats="0" applyAlignmentFormats="0" applyWidthHeightFormats="0">
  <queryTableRefresh nextId="17">
    <queryTableFields count="16">
      <queryTableField id="1" name="data" tableColumnId="1"/>
      <queryTableField id="2" name="stato" tableColumnId="2"/>
      <queryTableField id="3" name="codice_regione" tableColumnId="3"/>
      <queryTableField id="4" name="denominazione_regione" tableColumnId="4"/>
      <queryTableField id="5" name="lat" tableColumnId="5"/>
      <queryTableField id="6" name="long" tableColumnId="6"/>
      <queryTableField id="7" name="ricoverati_con_sintomi" tableColumnId="7"/>
      <queryTableField id="8" name="terapia_intensiva" tableColumnId="8"/>
      <queryTableField id="9" name="totale_ospedalizzati" tableColumnId="9"/>
      <queryTableField id="10" name="isolamento_domiciliare" tableColumnId="10"/>
      <queryTableField id="11" name="totale_attualmente_positivi" tableColumnId="11"/>
      <queryTableField id="12" name="nuovi_attualmente_positivi" tableColumnId="12"/>
      <queryTableField id="13" name="dimessi_guariti" tableColumnId="13"/>
      <queryTableField id="14" name="deceduti" tableColumnId="14"/>
      <queryTableField id="15" name="totale_casi" tableColumnId="15"/>
      <queryTableField id="16" name="tamponi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D3CF2-6D56-4A82-B974-9B77F0E94A5E}" name="dpc_covid19_ita_andamento_nazionale" displayName="dpc_covid19_ita_andamento_nazionale" ref="A1:L17" tableType="queryTable" totalsRowShown="0">
  <autoFilter ref="A1:L17" xr:uid="{EABC7277-E16F-4D96-ADF1-FFC0B5E7026E}"/>
  <tableColumns count="12">
    <tableColumn id="1" xr3:uid="{703403A0-8F9B-4346-B11C-E53859FA057C}" uniqueName="1" name="data" queryTableFieldId="1" dataDxfId="4"/>
    <tableColumn id="2" xr3:uid="{B188F686-BB42-42C1-9E53-39CED73FB743}" uniqueName="2" name="stato" queryTableFieldId="2" dataDxfId="3"/>
    <tableColumn id="3" xr3:uid="{38B2F1D6-B422-4F4A-B30E-685F11B53274}" uniqueName="3" name="ricoverati_con_sintomi" queryTableFieldId="3"/>
    <tableColumn id="4" xr3:uid="{ECFEC2C2-1463-468F-864F-16584BE2F2D5}" uniqueName="4" name="terapia_intensiva" queryTableFieldId="4"/>
    <tableColumn id="5" xr3:uid="{7981C252-894D-46ED-8230-557767A3A927}" uniqueName="5" name="totale_ospedalizzati" queryTableFieldId="5"/>
    <tableColumn id="6" xr3:uid="{2510A4E2-8AFC-4F5F-8FD5-2985E4028918}" uniqueName="6" name="isolamento_domiciliare" queryTableFieldId="6"/>
    <tableColumn id="7" xr3:uid="{EBE1D699-521F-4FA0-A872-D5409C93CAFD}" uniqueName="7" name="totale_attualmente_positivi" queryTableFieldId="7"/>
    <tableColumn id="8" xr3:uid="{CBACBD71-ED4E-440B-815F-9CC35B6A33BC}" uniqueName="8" name="nuovi_attualmente_positivi" queryTableFieldId="8"/>
    <tableColumn id="9" xr3:uid="{76143738-91A6-4C75-AC8B-EAF01F93DB95}" uniqueName="9" name="dimessi_guariti" queryTableFieldId="9"/>
    <tableColumn id="10" xr3:uid="{83E05A40-A3A1-4979-A200-15FC2C19E855}" uniqueName="10" name="deceduti" queryTableFieldId="10"/>
    <tableColumn id="11" xr3:uid="{D740AD00-6AFD-46C5-9FDC-2436FB9332A5}" uniqueName="11" name="totale_casi" queryTableFieldId="11"/>
    <tableColumn id="12" xr3:uid="{97F48D45-3389-488F-9CAC-B9FF1C8A09DE}" uniqueName="12" name="tamponi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33B83-FE62-47BA-BA11-13E072BCB754}" name="dpc_covid19_ita_regioni" displayName="dpc_covid19_ita_regioni" ref="A1:P337" tableType="queryTable" totalsRowShown="0">
  <autoFilter ref="A1:P337" xr:uid="{FD4B2342-5440-47FA-BB24-0BBC72A59758}"/>
  <tableColumns count="16">
    <tableColumn id="1" xr3:uid="{D66CC6F6-1ED6-4A73-9E55-E9981117236A}" uniqueName="1" name="data" queryTableFieldId="1" dataDxfId="2"/>
    <tableColumn id="2" xr3:uid="{F268A315-D3B9-4E57-9A57-6BE3C26C8603}" uniqueName="2" name="stato" queryTableFieldId="2" dataDxfId="1"/>
    <tableColumn id="3" xr3:uid="{8B9FBA29-D96E-4B95-ADC4-D61EAB3C6E58}" uniqueName="3" name="codice_regione" queryTableFieldId="3"/>
    <tableColumn id="4" xr3:uid="{AAF36031-4ADE-4EE7-8799-3DA6B1F7FE86}" uniqueName="4" name="denominazione_regione" queryTableFieldId="4" dataDxfId="0"/>
    <tableColumn id="5" xr3:uid="{9ED8F63B-9A03-4DF0-A934-5DFB378F2D04}" uniqueName="5" name="lat" queryTableFieldId="5"/>
    <tableColumn id="6" xr3:uid="{26FA62E4-809D-4E46-A047-441395970A33}" uniqueName="6" name="long" queryTableFieldId="6"/>
    <tableColumn id="7" xr3:uid="{70C8D92C-DC1D-42E3-A1CA-A1F8088466B5}" uniqueName="7" name="ricoverati_con_sintomi" queryTableFieldId="7"/>
    <tableColumn id="8" xr3:uid="{E3D7D206-31FA-44C3-8CA9-C45047573232}" uniqueName="8" name="terapia_intensiva" queryTableFieldId="8"/>
    <tableColumn id="9" xr3:uid="{18438A4C-E380-457B-B7AC-11CC4DFF9288}" uniqueName="9" name="totale_ospedalizzati" queryTableFieldId="9"/>
    <tableColumn id="10" xr3:uid="{466E8A3D-6A70-4332-A889-6CC4EC4670C7}" uniqueName="10" name="isolamento_domiciliare" queryTableFieldId="10"/>
    <tableColumn id="11" xr3:uid="{C92ED2A1-0C60-4300-9F06-F4AEED2D5000}" uniqueName="11" name="totale_attualmente_positivi" queryTableFieldId="11"/>
    <tableColumn id="12" xr3:uid="{3141823B-F875-436E-81B9-A684CE63C799}" uniqueName="12" name="nuovi_attualmente_positivi" queryTableFieldId="12"/>
    <tableColumn id="13" xr3:uid="{351419AA-0E0D-4C98-BC5D-F968B2C210D1}" uniqueName="13" name="dimessi_guariti" queryTableFieldId="13"/>
    <tableColumn id="14" xr3:uid="{C43CBB18-A4DA-4C1B-9C8A-AE1F7FD9E431}" uniqueName="14" name="deceduti" queryTableFieldId="14"/>
    <tableColumn id="15" xr3:uid="{15132951-8058-46A9-8486-CFE4642BA187}" uniqueName="15" name="totale_casi" queryTableFieldId="15"/>
    <tableColumn id="16" xr3:uid="{040DC69F-DDAB-4531-B724-CA8573ADA0D6}" uniqueName="16" name="tamponi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SequenzaTemporale_data" xr10:uid="{A966DF0A-2404-4C1E-8510-8A979141DA3E}" sourceName="[dpc_covid19_ita_andamento_nazionale].[data]">
  <pivotTables>
    <pivotTable tabId="1" name="Tabella pivot1"/>
    <pivotTable tabId="1" name="Tabella pivot7"/>
    <pivotTable tabId="1" name="Tabella pivot3"/>
    <pivotTable tabId="1" name="Tabella pivot4"/>
    <pivotTable tabId="1" name="Tabella pivot5"/>
    <pivotTable tabId="1" name="Tabella pivot6"/>
    <pivotTable tabId="1" name="Tabella pivot8"/>
  </pivotTables>
  <state minimalRefreshVersion="6" lastRefreshVersion="6" pivotCacheId="675686815" filterType="unknown">
    <bounds startDate="2020-01-01T18:00:00" endDate="2021-01-01T18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BAD214B4-A07C-4273-9743-2BECBD322BBF}" cache="SequenzaTemporale_data" caption="filtro per data" level="3" selectionLevel="3" scrollPosition="2020-02-23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cm-dpc/COVID-1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CADC-A8D1-4BD8-BD76-E73401C8094D}">
  <dimension ref="A1:C11"/>
  <sheetViews>
    <sheetView workbookViewId="0">
      <selection activeCell="K20" sqref="K20"/>
    </sheetView>
  </sheetViews>
  <sheetFormatPr defaultRowHeight="15" x14ac:dyDescent="0.25"/>
  <sheetData>
    <row r="1" spans="1:3" x14ac:dyDescent="0.25">
      <c r="A1" t="s">
        <v>24</v>
      </c>
    </row>
    <row r="2" spans="1:3" x14ac:dyDescent="0.25">
      <c r="C2" s="7" t="s">
        <v>33</v>
      </c>
    </row>
    <row r="4" spans="1:3" x14ac:dyDescent="0.25">
      <c r="B4">
        <v>1</v>
      </c>
      <c r="C4" t="s">
        <v>64</v>
      </c>
    </row>
    <row r="5" spans="1:3" x14ac:dyDescent="0.25">
      <c r="B5">
        <v>2</v>
      </c>
      <c r="C5" t="s">
        <v>21</v>
      </c>
    </row>
    <row r="6" spans="1:3" x14ac:dyDescent="0.25">
      <c r="B6">
        <v>3</v>
      </c>
      <c r="C6" t="s">
        <v>32</v>
      </c>
    </row>
    <row r="7" spans="1:3" x14ac:dyDescent="0.25">
      <c r="B7">
        <v>4</v>
      </c>
      <c r="C7" t="s">
        <v>22</v>
      </c>
    </row>
    <row r="8" spans="1:3" x14ac:dyDescent="0.25">
      <c r="B8">
        <v>5</v>
      </c>
      <c r="C8" t="s">
        <v>23</v>
      </c>
    </row>
    <row r="9" spans="1:3" x14ac:dyDescent="0.25">
      <c r="B9">
        <v>6</v>
      </c>
      <c r="C9" t="s">
        <v>25</v>
      </c>
    </row>
    <row r="10" spans="1:3" x14ac:dyDescent="0.25">
      <c r="B10">
        <v>7</v>
      </c>
      <c r="C10" t="s">
        <v>62</v>
      </c>
    </row>
    <row r="11" spans="1:3" x14ac:dyDescent="0.25">
      <c r="B11">
        <v>8</v>
      </c>
      <c r="C11" t="s">
        <v>63</v>
      </c>
    </row>
  </sheetData>
  <hyperlinks>
    <hyperlink ref="C2" r:id="rId1" xr:uid="{382D3505-2A32-4085-ABF4-E9B635869E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E37E-6C0C-4C6C-B66B-FC4912D918BD}">
  <dimension ref="G2:AB8"/>
  <sheetViews>
    <sheetView showGridLines="0" showRowColHeaders="0" tabSelected="1" zoomScale="90" zoomScaleNormal="90" workbookViewId="0">
      <selection activeCell="AE16" sqref="AE16"/>
    </sheetView>
  </sheetViews>
  <sheetFormatPr defaultRowHeight="15" x14ac:dyDescent="0.25"/>
  <sheetData>
    <row r="2" spans="7:28" x14ac:dyDescent="0.25">
      <c r="G2" s="13" t="s">
        <v>26</v>
      </c>
      <c r="H2" s="13"/>
      <c r="I2" s="13"/>
      <c r="K2" s="13" t="s">
        <v>29</v>
      </c>
      <c r="L2" s="13"/>
      <c r="M2" s="13"/>
      <c r="O2" s="13" t="s">
        <v>16</v>
      </c>
      <c r="P2" s="13"/>
      <c r="Q2" s="13"/>
      <c r="S2" s="13" t="s">
        <v>30</v>
      </c>
      <c r="T2" s="13"/>
      <c r="U2" s="13"/>
      <c r="W2" s="9" t="s">
        <v>59</v>
      </c>
      <c r="X2" s="9"/>
      <c r="Y2" s="9"/>
      <c r="Z2" s="9"/>
      <c r="AA2" s="9"/>
      <c r="AB2" s="9"/>
    </row>
    <row r="3" spans="7:28" ht="15.75" customHeight="1" x14ac:dyDescent="0.25">
      <c r="G3" s="12">
        <f>Pivot!G3</f>
        <v>10149</v>
      </c>
      <c r="H3" s="12"/>
      <c r="I3" s="12"/>
      <c r="K3" s="12">
        <f>Pivot!I3</f>
        <v>1004</v>
      </c>
      <c r="L3" s="12"/>
      <c r="M3" s="12"/>
      <c r="O3" s="12">
        <f>Pivot!K3</f>
        <v>631</v>
      </c>
      <c r="P3" s="12"/>
      <c r="Q3" s="12"/>
      <c r="S3" s="12">
        <f>Pivot!M3</f>
        <v>8514</v>
      </c>
      <c r="T3" s="12"/>
      <c r="U3" s="12"/>
      <c r="Y3" s="10" t="s">
        <v>60</v>
      </c>
      <c r="Z3" s="11"/>
      <c r="AA3" s="11"/>
      <c r="AB3" s="11"/>
    </row>
    <row r="4" spans="7:28" x14ac:dyDescent="0.25">
      <c r="G4" s="12"/>
      <c r="H4" s="12"/>
      <c r="I4" s="12"/>
      <c r="K4" s="12"/>
      <c r="L4" s="12"/>
      <c r="M4" s="12"/>
      <c r="O4" s="12"/>
      <c r="P4" s="12"/>
      <c r="Q4" s="12"/>
      <c r="S4" s="12"/>
      <c r="T4" s="12"/>
      <c r="U4" s="12"/>
      <c r="Y4" s="11"/>
      <c r="Z4" s="11"/>
      <c r="AA4" s="11"/>
      <c r="AB4" s="11"/>
    </row>
    <row r="5" spans="7:28" x14ac:dyDescent="0.25">
      <c r="G5" s="12"/>
      <c r="H5" s="12"/>
      <c r="I5" s="12"/>
      <c r="K5" s="12"/>
      <c r="L5" s="12"/>
      <c r="M5" s="12"/>
      <c r="O5" s="12"/>
      <c r="P5" s="12"/>
      <c r="Q5" s="12"/>
      <c r="S5" s="12"/>
      <c r="T5" s="12"/>
      <c r="U5" s="12"/>
      <c r="Y5" s="11"/>
      <c r="Z5" s="11"/>
      <c r="AA5" s="11"/>
      <c r="AB5" s="11"/>
    </row>
    <row r="6" spans="7:28" x14ac:dyDescent="0.25">
      <c r="G6" s="12"/>
      <c r="H6" s="12"/>
      <c r="I6" s="12"/>
      <c r="K6" s="12"/>
      <c r="L6" s="12"/>
      <c r="M6" s="12"/>
      <c r="O6" s="12"/>
      <c r="P6" s="12"/>
      <c r="Q6" s="12"/>
      <c r="S6" s="12"/>
      <c r="T6" s="12"/>
      <c r="U6" s="12"/>
      <c r="Y6" s="11"/>
      <c r="Z6" s="11"/>
      <c r="AA6" s="11"/>
      <c r="AB6" s="11"/>
    </row>
    <row r="7" spans="7:28" x14ac:dyDescent="0.25">
      <c r="G7" s="12"/>
      <c r="H7" s="12"/>
      <c r="I7" s="12"/>
      <c r="K7" s="12"/>
      <c r="L7" s="12"/>
      <c r="M7" s="12"/>
      <c r="O7" s="12"/>
      <c r="P7" s="12"/>
      <c r="Q7" s="12"/>
      <c r="S7" s="12"/>
      <c r="T7" s="12"/>
      <c r="U7" s="12"/>
      <c r="Y7" s="11"/>
      <c r="Z7" s="11"/>
      <c r="AA7" s="11"/>
      <c r="AB7" s="11"/>
    </row>
    <row r="8" spans="7:28" x14ac:dyDescent="0.25">
      <c r="G8" s="9"/>
      <c r="H8" s="9"/>
      <c r="I8" s="9"/>
      <c r="K8" s="14">
        <f>K3/G3</f>
        <v>9.8926002561828749E-2</v>
      </c>
      <c r="L8" s="14"/>
      <c r="M8" s="14"/>
      <c r="O8" s="14">
        <f>O3/G3</f>
        <v>6.2173613163858506E-2</v>
      </c>
      <c r="P8" s="14"/>
      <c r="Q8" s="14"/>
      <c r="S8" s="9"/>
      <c r="T8" s="9"/>
      <c r="U8" s="9"/>
    </row>
  </sheetData>
  <mergeCells count="14">
    <mergeCell ref="W2:AB2"/>
    <mergeCell ref="Y3:AB7"/>
    <mergeCell ref="G3:I7"/>
    <mergeCell ref="G2:I2"/>
    <mergeCell ref="G8:I8"/>
    <mergeCell ref="K2:M2"/>
    <mergeCell ref="K3:M7"/>
    <mergeCell ref="K8:M8"/>
    <mergeCell ref="O3:Q7"/>
    <mergeCell ref="O2:Q2"/>
    <mergeCell ref="S2:U2"/>
    <mergeCell ref="S3:U7"/>
    <mergeCell ref="O8:Q8"/>
    <mergeCell ref="S8:U8"/>
  </mergeCells>
  <pageMargins left="0.7" right="0.7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DFBF-AB79-419B-8974-DE5350C750F7}">
  <dimension ref="A1:L17"/>
  <sheetViews>
    <sheetView workbookViewId="0">
      <selection activeCell="C12" sqref="C12"/>
    </sheetView>
  </sheetViews>
  <sheetFormatPr defaultRowHeight="15" x14ac:dyDescent="0.25"/>
  <cols>
    <col min="1" max="1" width="15.85546875" bestFit="1" customWidth="1"/>
    <col min="2" max="2" width="7.7109375" bestFit="1" customWidth="1"/>
    <col min="3" max="3" width="24" bestFit="1" customWidth="1"/>
    <col min="4" max="4" width="18.85546875" bestFit="1" customWidth="1"/>
    <col min="5" max="5" width="21.42578125" bestFit="1" customWidth="1"/>
    <col min="6" max="6" width="24.7109375" bestFit="1" customWidth="1"/>
    <col min="7" max="7" width="28.7109375" bestFit="1" customWidth="1"/>
    <col min="8" max="8" width="28.42578125" bestFit="1" customWidth="1"/>
    <col min="9" max="9" width="17" bestFit="1" customWidth="1"/>
    <col min="10" max="10" width="11.140625" bestFit="1" customWidth="1"/>
    <col min="11" max="11" width="12.85546875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43885.75</v>
      </c>
      <c r="B2" s="2" t="s">
        <v>12</v>
      </c>
      <c r="C2">
        <v>101</v>
      </c>
      <c r="D2">
        <v>26</v>
      </c>
      <c r="E2">
        <v>127</v>
      </c>
      <c r="F2">
        <v>94</v>
      </c>
      <c r="G2">
        <v>221</v>
      </c>
      <c r="H2">
        <v>221</v>
      </c>
      <c r="I2">
        <v>1</v>
      </c>
      <c r="J2">
        <v>7</v>
      </c>
      <c r="K2">
        <v>229</v>
      </c>
      <c r="L2">
        <v>4324</v>
      </c>
    </row>
    <row r="3" spans="1:12" x14ac:dyDescent="0.25">
      <c r="A3" s="1">
        <v>43886.75</v>
      </c>
      <c r="B3" s="2" t="s">
        <v>12</v>
      </c>
      <c r="C3">
        <v>114</v>
      </c>
      <c r="D3">
        <v>35</v>
      </c>
      <c r="E3">
        <v>150</v>
      </c>
      <c r="F3">
        <v>162</v>
      </c>
      <c r="G3">
        <v>311</v>
      </c>
      <c r="H3">
        <v>90</v>
      </c>
      <c r="I3">
        <v>1</v>
      </c>
      <c r="J3">
        <v>10</v>
      </c>
      <c r="K3">
        <v>322</v>
      </c>
      <c r="L3">
        <v>8623</v>
      </c>
    </row>
    <row r="4" spans="1:12" x14ac:dyDescent="0.25">
      <c r="A4" s="1">
        <v>43887.75</v>
      </c>
      <c r="B4" s="2" t="s">
        <v>12</v>
      </c>
      <c r="C4">
        <v>128</v>
      </c>
      <c r="D4">
        <v>36</v>
      </c>
      <c r="E4">
        <v>164</v>
      </c>
      <c r="F4">
        <v>221</v>
      </c>
      <c r="G4">
        <v>385</v>
      </c>
      <c r="H4">
        <v>74</v>
      </c>
      <c r="I4">
        <v>3</v>
      </c>
      <c r="J4">
        <v>12</v>
      </c>
      <c r="K4">
        <v>400</v>
      </c>
      <c r="L4">
        <v>9587</v>
      </c>
    </row>
    <row r="5" spans="1:12" x14ac:dyDescent="0.25">
      <c r="A5" s="1">
        <v>43888.75</v>
      </c>
      <c r="B5" s="2" t="s">
        <v>12</v>
      </c>
      <c r="C5">
        <v>248</v>
      </c>
      <c r="D5">
        <v>56</v>
      </c>
      <c r="E5">
        <v>304</v>
      </c>
      <c r="F5">
        <v>284</v>
      </c>
      <c r="G5">
        <v>588</v>
      </c>
      <c r="H5">
        <v>203</v>
      </c>
      <c r="I5">
        <v>45</v>
      </c>
      <c r="J5">
        <v>17</v>
      </c>
      <c r="K5">
        <v>650</v>
      </c>
      <c r="L5">
        <v>12014</v>
      </c>
    </row>
    <row r="6" spans="1:12" x14ac:dyDescent="0.25">
      <c r="A6" s="1">
        <v>43889.75</v>
      </c>
      <c r="B6" s="2" t="s">
        <v>12</v>
      </c>
      <c r="C6">
        <v>345</v>
      </c>
      <c r="D6">
        <v>64</v>
      </c>
      <c r="E6">
        <v>409</v>
      </c>
      <c r="F6">
        <v>412</v>
      </c>
      <c r="G6">
        <v>821</v>
      </c>
      <c r="H6">
        <v>233</v>
      </c>
      <c r="I6">
        <v>46</v>
      </c>
      <c r="J6">
        <v>21</v>
      </c>
      <c r="K6">
        <v>888</v>
      </c>
      <c r="L6">
        <v>15695</v>
      </c>
    </row>
    <row r="7" spans="1:12" x14ac:dyDescent="0.25">
      <c r="A7" s="1">
        <v>43890.75</v>
      </c>
      <c r="B7" s="2" t="s">
        <v>12</v>
      </c>
      <c r="C7">
        <v>401</v>
      </c>
      <c r="D7">
        <v>105</v>
      </c>
      <c r="E7">
        <v>506</v>
      </c>
      <c r="F7">
        <v>543</v>
      </c>
      <c r="G7">
        <v>1049</v>
      </c>
      <c r="H7">
        <v>228</v>
      </c>
      <c r="I7">
        <v>50</v>
      </c>
      <c r="J7">
        <v>29</v>
      </c>
      <c r="K7">
        <v>1128</v>
      </c>
      <c r="L7">
        <v>18661</v>
      </c>
    </row>
    <row r="8" spans="1:12" x14ac:dyDescent="0.25">
      <c r="A8" s="1">
        <v>43891.75</v>
      </c>
      <c r="B8" s="2" t="s">
        <v>12</v>
      </c>
      <c r="C8">
        <v>639</v>
      </c>
      <c r="D8">
        <v>140</v>
      </c>
      <c r="E8">
        <v>779</v>
      </c>
      <c r="F8">
        <v>798</v>
      </c>
      <c r="G8">
        <v>1577</v>
      </c>
      <c r="H8">
        <v>528</v>
      </c>
      <c r="I8">
        <v>83</v>
      </c>
      <c r="J8">
        <v>34</v>
      </c>
      <c r="K8">
        <v>1694</v>
      </c>
      <c r="L8">
        <v>21127</v>
      </c>
    </row>
    <row r="9" spans="1:12" x14ac:dyDescent="0.25">
      <c r="A9" s="1">
        <v>43892.75</v>
      </c>
      <c r="B9" s="2" t="s">
        <v>12</v>
      </c>
      <c r="C9">
        <v>742</v>
      </c>
      <c r="D9">
        <v>166</v>
      </c>
      <c r="E9">
        <v>908</v>
      </c>
      <c r="F9">
        <v>927</v>
      </c>
      <c r="G9">
        <v>1835</v>
      </c>
      <c r="H9">
        <v>258</v>
      </c>
      <c r="I9">
        <v>149</v>
      </c>
      <c r="J9">
        <v>52</v>
      </c>
      <c r="K9">
        <v>2036</v>
      </c>
      <c r="L9">
        <v>23345</v>
      </c>
    </row>
    <row r="10" spans="1:12" x14ac:dyDescent="0.25">
      <c r="A10" s="1">
        <v>43893.75</v>
      </c>
      <c r="B10" s="2" t="s">
        <v>12</v>
      </c>
      <c r="C10">
        <v>1034</v>
      </c>
      <c r="D10">
        <v>229</v>
      </c>
      <c r="E10">
        <v>1263</v>
      </c>
      <c r="F10">
        <v>1000</v>
      </c>
      <c r="G10">
        <v>2263</v>
      </c>
      <c r="H10">
        <v>428</v>
      </c>
      <c r="I10">
        <v>160</v>
      </c>
      <c r="J10">
        <v>79</v>
      </c>
      <c r="K10">
        <v>2502</v>
      </c>
      <c r="L10">
        <v>25856</v>
      </c>
    </row>
    <row r="11" spans="1:12" x14ac:dyDescent="0.25">
      <c r="A11" s="1">
        <v>43894.75</v>
      </c>
      <c r="B11" s="2" t="s">
        <v>12</v>
      </c>
      <c r="C11">
        <v>1346</v>
      </c>
      <c r="D11">
        <v>295</v>
      </c>
      <c r="E11">
        <v>1641</v>
      </c>
      <c r="F11">
        <v>1065</v>
      </c>
      <c r="G11">
        <v>2706</v>
      </c>
      <c r="H11">
        <v>443</v>
      </c>
      <c r="I11">
        <v>276</v>
      </c>
      <c r="J11">
        <v>107</v>
      </c>
      <c r="K11">
        <v>3089</v>
      </c>
      <c r="L11">
        <v>29837</v>
      </c>
    </row>
    <row r="12" spans="1:12" x14ac:dyDescent="0.25">
      <c r="A12" s="1">
        <v>43895.75</v>
      </c>
      <c r="B12" s="2" t="s">
        <v>12</v>
      </c>
      <c r="C12">
        <v>1790</v>
      </c>
      <c r="D12">
        <v>351</v>
      </c>
      <c r="E12">
        <v>2141</v>
      </c>
      <c r="F12">
        <v>1155</v>
      </c>
      <c r="G12">
        <v>3296</v>
      </c>
      <c r="H12">
        <v>590</v>
      </c>
      <c r="I12">
        <v>414</v>
      </c>
      <c r="J12">
        <v>148</v>
      </c>
      <c r="K12">
        <v>3858</v>
      </c>
      <c r="L12">
        <v>32362</v>
      </c>
    </row>
    <row r="13" spans="1:12" x14ac:dyDescent="0.25">
      <c r="A13" s="1">
        <v>43896.75</v>
      </c>
      <c r="B13" s="2" t="s">
        <v>12</v>
      </c>
      <c r="C13">
        <v>2394</v>
      </c>
      <c r="D13">
        <v>462</v>
      </c>
      <c r="E13">
        <v>2856</v>
      </c>
      <c r="F13">
        <v>1060</v>
      </c>
      <c r="G13">
        <v>3916</v>
      </c>
      <c r="H13">
        <v>620</v>
      </c>
      <c r="I13">
        <v>523</v>
      </c>
      <c r="J13">
        <v>197</v>
      </c>
      <c r="K13">
        <v>4636</v>
      </c>
      <c r="L13">
        <v>36359</v>
      </c>
    </row>
    <row r="14" spans="1:12" x14ac:dyDescent="0.25">
      <c r="A14" s="1">
        <v>43897.75</v>
      </c>
      <c r="B14" s="2" t="s">
        <v>12</v>
      </c>
      <c r="C14">
        <v>2651</v>
      </c>
      <c r="D14">
        <v>567</v>
      </c>
      <c r="E14">
        <v>3218</v>
      </c>
      <c r="F14">
        <v>1843</v>
      </c>
      <c r="G14">
        <v>5061</v>
      </c>
      <c r="H14">
        <v>1145</v>
      </c>
      <c r="I14">
        <v>589</v>
      </c>
      <c r="J14">
        <v>233</v>
      </c>
      <c r="K14">
        <v>5883</v>
      </c>
      <c r="L14">
        <v>42062</v>
      </c>
    </row>
    <row r="15" spans="1:12" x14ac:dyDescent="0.25">
      <c r="A15" s="1">
        <v>43898.75</v>
      </c>
      <c r="B15" s="2" t="s">
        <v>12</v>
      </c>
      <c r="C15">
        <v>3557</v>
      </c>
      <c r="D15">
        <v>650</v>
      </c>
      <c r="E15">
        <v>4207</v>
      </c>
      <c r="F15">
        <v>2180</v>
      </c>
      <c r="G15">
        <v>6387</v>
      </c>
      <c r="H15">
        <v>1326</v>
      </c>
      <c r="I15">
        <v>622</v>
      </c>
      <c r="J15">
        <v>366</v>
      </c>
      <c r="K15">
        <v>7375</v>
      </c>
      <c r="L15">
        <v>49937</v>
      </c>
    </row>
    <row r="16" spans="1:12" x14ac:dyDescent="0.25">
      <c r="A16" s="1">
        <v>43899.75</v>
      </c>
      <c r="B16" s="2" t="s">
        <v>12</v>
      </c>
      <c r="C16">
        <v>4316</v>
      </c>
      <c r="D16">
        <v>733</v>
      </c>
      <c r="E16">
        <v>5049</v>
      </c>
      <c r="F16">
        <v>2936</v>
      </c>
      <c r="G16">
        <v>7985</v>
      </c>
      <c r="H16">
        <v>1598</v>
      </c>
      <c r="I16">
        <v>724</v>
      </c>
      <c r="J16">
        <v>463</v>
      </c>
      <c r="K16">
        <v>9172</v>
      </c>
      <c r="L16">
        <v>53826</v>
      </c>
    </row>
    <row r="17" spans="1:12" x14ac:dyDescent="0.25">
      <c r="A17" s="1">
        <v>43900.75</v>
      </c>
      <c r="B17" s="2" t="s">
        <v>12</v>
      </c>
      <c r="C17">
        <v>5038</v>
      </c>
      <c r="D17">
        <v>877</v>
      </c>
      <c r="E17">
        <v>5915</v>
      </c>
      <c r="F17">
        <v>2599</v>
      </c>
      <c r="G17">
        <v>8514</v>
      </c>
      <c r="H17">
        <v>529</v>
      </c>
      <c r="I17">
        <v>1004</v>
      </c>
      <c r="J17">
        <v>631</v>
      </c>
      <c r="K17">
        <v>10149</v>
      </c>
      <c r="L17">
        <v>60761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2945-C539-40A1-A43D-88745D7B83AE}">
  <dimension ref="A1:P337"/>
  <sheetViews>
    <sheetView topLeftCell="A34" workbookViewId="0">
      <selection activeCell="D319" sqref="D319"/>
    </sheetView>
  </sheetViews>
  <sheetFormatPr defaultRowHeight="15" x14ac:dyDescent="0.25"/>
  <cols>
    <col min="1" max="1" width="15.85546875" bestFit="1" customWidth="1"/>
    <col min="2" max="2" width="7.7109375" bestFit="1" customWidth="1"/>
    <col min="3" max="3" width="17" bestFit="1" customWidth="1"/>
    <col min="4" max="4" width="25.42578125" bestFit="1" customWidth="1"/>
    <col min="5" max="6" width="11" bestFit="1" customWidth="1"/>
    <col min="7" max="7" width="24" bestFit="1" customWidth="1"/>
    <col min="8" max="8" width="18.85546875" bestFit="1" customWidth="1"/>
    <col min="9" max="9" width="21.42578125" bestFit="1" customWidth="1"/>
    <col min="10" max="10" width="24.7109375" bestFit="1" customWidth="1"/>
    <col min="11" max="11" width="28.7109375" bestFit="1" customWidth="1"/>
    <col min="12" max="12" width="28.42578125" bestFit="1" customWidth="1"/>
    <col min="13" max="13" width="17" bestFit="1" customWidth="1"/>
    <col min="14" max="14" width="11.140625" bestFit="1" customWidth="1"/>
    <col min="15" max="15" width="12.85546875" bestFit="1" customWidth="1"/>
    <col min="16" max="16" width="10.7109375" bestFit="1" customWidth="1"/>
  </cols>
  <sheetData>
    <row r="1" spans="1:16" x14ac:dyDescent="0.25">
      <c r="A1" t="s">
        <v>0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s="1">
        <v>43885.75</v>
      </c>
      <c r="B2" s="2" t="s">
        <v>12</v>
      </c>
      <c r="C2">
        <v>13</v>
      </c>
      <c r="D2" s="2" t="s">
        <v>38</v>
      </c>
      <c r="E2">
        <v>4235122196</v>
      </c>
      <c r="F2">
        <v>1339843823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</v>
      </c>
    </row>
    <row r="3" spans="1:16" x14ac:dyDescent="0.25">
      <c r="A3" s="1">
        <v>43885.75</v>
      </c>
      <c r="B3" s="2" t="s">
        <v>12</v>
      </c>
      <c r="C3">
        <v>17</v>
      </c>
      <c r="D3" s="2" t="s">
        <v>39</v>
      </c>
      <c r="E3">
        <v>4063947052</v>
      </c>
      <c r="F3">
        <v>1580514834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s="1">
        <v>43885.75</v>
      </c>
      <c r="B4" s="2" t="s">
        <v>12</v>
      </c>
      <c r="C4">
        <v>4</v>
      </c>
      <c r="D4" s="2" t="s">
        <v>40</v>
      </c>
      <c r="E4">
        <v>4649933453</v>
      </c>
      <c r="F4">
        <v>1135662422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</row>
    <row r="5" spans="1:16" x14ac:dyDescent="0.25">
      <c r="A5" s="1">
        <v>43885.75</v>
      </c>
      <c r="B5" s="2" t="s">
        <v>12</v>
      </c>
      <c r="C5">
        <v>18</v>
      </c>
      <c r="D5" s="2" t="s">
        <v>41</v>
      </c>
      <c r="E5">
        <v>3890597598</v>
      </c>
      <c r="F5">
        <v>1659440194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25">
      <c r="A6" s="1">
        <v>43885.75</v>
      </c>
      <c r="B6" s="2" t="s">
        <v>12</v>
      </c>
      <c r="C6">
        <v>15</v>
      </c>
      <c r="D6" s="2" t="s">
        <v>42</v>
      </c>
      <c r="E6">
        <v>4083956555</v>
      </c>
      <c r="F6">
        <v>1425084984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</row>
    <row r="7" spans="1:16" x14ac:dyDescent="0.25">
      <c r="A7" s="1">
        <v>43885.75</v>
      </c>
      <c r="B7" s="2" t="s">
        <v>12</v>
      </c>
      <c r="C7">
        <v>8</v>
      </c>
      <c r="D7" s="2" t="s">
        <v>43</v>
      </c>
      <c r="E7">
        <v>4449436681</v>
      </c>
      <c r="F7">
        <v>113417208</v>
      </c>
      <c r="G7">
        <v>10</v>
      </c>
      <c r="H7">
        <v>2</v>
      </c>
      <c r="I7">
        <v>12</v>
      </c>
      <c r="J7">
        <v>6</v>
      </c>
      <c r="K7">
        <v>18</v>
      </c>
      <c r="L7">
        <v>18</v>
      </c>
      <c r="M7">
        <v>0</v>
      </c>
      <c r="N7">
        <v>0</v>
      </c>
      <c r="O7">
        <v>18</v>
      </c>
      <c r="P7">
        <v>148</v>
      </c>
    </row>
    <row r="8" spans="1:16" x14ac:dyDescent="0.25">
      <c r="A8" s="1">
        <v>43885.75</v>
      </c>
      <c r="B8" s="2" t="s">
        <v>12</v>
      </c>
      <c r="C8">
        <v>6</v>
      </c>
      <c r="D8" s="2" t="s">
        <v>44</v>
      </c>
      <c r="E8">
        <v>456494354</v>
      </c>
      <c r="F8">
        <v>1376813649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58</v>
      </c>
    </row>
    <row r="9" spans="1:16" x14ac:dyDescent="0.25">
      <c r="A9" s="1">
        <v>43885.75</v>
      </c>
      <c r="B9" s="2" t="s">
        <v>12</v>
      </c>
      <c r="C9">
        <v>12</v>
      </c>
      <c r="D9" s="2" t="s">
        <v>45</v>
      </c>
      <c r="E9">
        <v>4189277044</v>
      </c>
      <c r="F9">
        <v>1248366722</v>
      </c>
      <c r="G9">
        <v>1</v>
      </c>
      <c r="H9">
        <v>1</v>
      </c>
      <c r="I9">
        <v>2</v>
      </c>
      <c r="J9">
        <v>0</v>
      </c>
      <c r="K9">
        <v>2</v>
      </c>
      <c r="L9">
        <v>2</v>
      </c>
      <c r="M9">
        <v>1</v>
      </c>
      <c r="N9">
        <v>0</v>
      </c>
      <c r="O9">
        <v>3</v>
      </c>
      <c r="P9">
        <v>124</v>
      </c>
    </row>
    <row r="10" spans="1:16" x14ac:dyDescent="0.25">
      <c r="A10" s="1">
        <v>43885.75</v>
      </c>
      <c r="B10" s="2" t="s">
        <v>12</v>
      </c>
      <c r="C10">
        <v>7</v>
      </c>
      <c r="D10" s="2" t="s">
        <v>46</v>
      </c>
      <c r="E10">
        <v>4441149315</v>
      </c>
      <c r="F10">
        <v>89326992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5">
      <c r="A11" s="1">
        <v>43885.75</v>
      </c>
      <c r="B11" s="2" t="s">
        <v>12</v>
      </c>
      <c r="C11">
        <v>3</v>
      </c>
      <c r="D11" s="2" t="s">
        <v>47</v>
      </c>
      <c r="E11">
        <v>4546679409</v>
      </c>
      <c r="F11">
        <v>9190347404</v>
      </c>
      <c r="G11">
        <v>76</v>
      </c>
      <c r="H11">
        <v>19</v>
      </c>
      <c r="I11">
        <v>95</v>
      </c>
      <c r="J11">
        <v>71</v>
      </c>
      <c r="K11">
        <v>166</v>
      </c>
      <c r="L11">
        <v>166</v>
      </c>
      <c r="M11">
        <v>0</v>
      </c>
      <c r="N11">
        <v>6</v>
      </c>
      <c r="O11">
        <v>172</v>
      </c>
      <c r="P11">
        <v>1463</v>
      </c>
    </row>
    <row r="12" spans="1:16" x14ac:dyDescent="0.25">
      <c r="A12" s="1">
        <v>43885.75</v>
      </c>
      <c r="B12" s="2" t="s">
        <v>12</v>
      </c>
      <c r="C12">
        <v>11</v>
      </c>
      <c r="D12" s="2" t="s">
        <v>48</v>
      </c>
      <c r="E12">
        <v>4361675973</v>
      </c>
      <c r="F12">
        <v>135188753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</v>
      </c>
    </row>
    <row r="13" spans="1:16" x14ac:dyDescent="0.25">
      <c r="A13" s="1">
        <v>43885.75</v>
      </c>
      <c r="B13" s="2" t="s">
        <v>12</v>
      </c>
      <c r="C13">
        <v>14</v>
      </c>
      <c r="D13" s="2" t="s">
        <v>49</v>
      </c>
      <c r="E13">
        <v>4155774754</v>
      </c>
      <c r="F13">
        <v>1465916051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s="1">
        <v>43885.75</v>
      </c>
      <c r="B14" s="2" t="s">
        <v>12</v>
      </c>
      <c r="C14">
        <v>1</v>
      </c>
      <c r="D14" s="2" t="s">
        <v>50</v>
      </c>
      <c r="E14">
        <v>450732745</v>
      </c>
      <c r="F14">
        <v>7680687483</v>
      </c>
      <c r="G14">
        <v>2</v>
      </c>
      <c r="H14">
        <v>0</v>
      </c>
      <c r="I14">
        <v>2</v>
      </c>
      <c r="J14">
        <v>1</v>
      </c>
      <c r="K14">
        <v>3</v>
      </c>
      <c r="L14">
        <v>3</v>
      </c>
      <c r="M14">
        <v>0</v>
      </c>
      <c r="N14">
        <v>0</v>
      </c>
      <c r="O14">
        <v>3</v>
      </c>
      <c r="P14">
        <v>141</v>
      </c>
    </row>
    <row r="15" spans="1:16" x14ac:dyDescent="0.25">
      <c r="A15" s="1">
        <v>43885.75</v>
      </c>
      <c r="B15" s="2" t="s">
        <v>12</v>
      </c>
      <c r="C15">
        <v>16</v>
      </c>
      <c r="D15" s="2" t="s">
        <v>51</v>
      </c>
      <c r="E15">
        <v>4112559576</v>
      </c>
      <c r="F15">
        <v>1686736689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s="1">
        <v>43885.75</v>
      </c>
      <c r="B16" s="2" t="s">
        <v>12</v>
      </c>
      <c r="C16">
        <v>20</v>
      </c>
      <c r="D16" s="2" t="s">
        <v>52</v>
      </c>
      <c r="E16">
        <v>3921531192</v>
      </c>
      <c r="F16">
        <v>9110616306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7" spans="1:16" x14ac:dyDescent="0.25">
      <c r="A17" s="1">
        <v>43885.75</v>
      </c>
      <c r="B17" s="2" t="s">
        <v>12</v>
      </c>
      <c r="C17">
        <v>19</v>
      </c>
      <c r="D17" s="2" t="s">
        <v>53</v>
      </c>
      <c r="E17">
        <v>3811569725</v>
      </c>
      <c r="F17">
        <v>133623567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</v>
      </c>
    </row>
    <row r="18" spans="1:16" x14ac:dyDescent="0.25">
      <c r="A18" s="1">
        <v>43885.75</v>
      </c>
      <c r="B18" s="2" t="s">
        <v>12</v>
      </c>
      <c r="C18">
        <v>9</v>
      </c>
      <c r="D18" s="2" t="s">
        <v>54</v>
      </c>
      <c r="E18">
        <v>4376923077</v>
      </c>
      <c r="F18">
        <v>1125588885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140</v>
      </c>
    </row>
    <row r="19" spans="1:16" x14ac:dyDescent="0.25">
      <c r="A19" s="1">
        <v>43885.75</v>
      </c>
      <c r="B19" s="2" t="s">
        <v>12</v>
      </c>
      <c r="C19">
        <v>4</v>
      </c>
      <c r="D19" s="2" t="s">
        <v>55</v>
      </c>
      <c r="E19">
        <v>4606893511</v>
      </c>
      <c r="F19">
        <v>1112123097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</row>
    <row r="20" spans="1:16" x14ac:dyDescent="0.25">
      <c r="A20" s="1">
        <v>43885.75</v>
      </c>
      <c r="B20" s="2" t="s">
        <v>12</v>
      </c>
      <c r="C20">
        <v>10</v>
      </c>
      <c r="D20" s="2" t="s">
        <v>56</v>
      </c>
      <c r="E20">
        <v>4310675841</v>
      </c>
      <c r="F20">
        <v>1238824698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s="1">
        <v>43885.75</v>
      </c>
      <c r="B21" s="2" t="s">
        <v>12</v>
      </c>
      <c r="C21">
        <v>2</v>
      </c>
      <c r="D21" s="2" t="s">
        <v>57</v>
      </c>
      <c r="E21">
        <v>4573750286</v>
      </c>
      <c r="F21">
        <v>7320149366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</v>
      </c>
    </row>
    <row r="22" spans="1:16" x14ac:dyDescent="0.25">
      <c r="A22" s="1">
        <v>43885.75</v>
      </c>
      <c r="B22" s="2" t="s">
        <v>12</v>
      </c>
      <c r="C22">
        <v>5</v>
      </c>
      <c r="D22" s="2" t="s">
        <v>58</v>
      </c>
      <c r="E22">
        <v>4543490485</v>
      </c>
      <c r="F22">
        <v>1233845213</v>
      </c>
      <c r="G22">
        <v>12</v>
      </c>
      <c r="H22">
        <v>4</v>
      </c>
      <c r="I22">
        <v>16</v>
      </c>
      <c r="J22">
        <v>16</v>
      </c>
      <c r="K22">
        <v>32</v>
      </c>
      <c r="L22">
        <v>32</v>
      </c>
      <c r="M22">
        <v>0</v>
      </c>
      <c r="N22">
        <v>1</v>
      </c>
      <c r="O22">
        <v>33</v>
      </c>
      <c r="P22">
        <v>2200</v>
      </c>
    </row>
    <row r="23" spans="1:16" x14ac:dyDescent="0.25">
      <c r="A23" s="1">
        <v>43886.75</v>
      </c>
      <c r="B23" s="2" t="s">
        <v>12</v>
      </c>
      <c r="C23">
        <v>13</v>
      </c>
      <c r="D23" s="2" t="s">
        <v>38</v>
      </c>
      <c r="E23">
        <v>4235122196</v>
      </c>
      <c r="F23">
        <v>1339843823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</row>
    <row r="24" spans="1:16" x14ac:dyDescent="0.25">
      <c r="A24" s="1">
        <v>43886.75</v>
      </c>
      <c r="B24" s="2" t="s">
        <v>12</v>
      </c>
      <c r="C24">
        <v>17</v>
      </c>
      <c r="D24" s="2" t="s">
        <v>39</v>
      </c>
      <c r="E24">
        <v>4063947052</v>
      </c>
      <c r="F24">
        <v>1580514834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s="1">
        <v>43886.75</v>
      </c>
      <c r="B25" s="2" t="s">
        <v>12</v>
      </c>
      <c r="C25">
        <v>4</v>
      </c>
      <c r="D25" s="2" t="s">
        <v>40</v>
      </c>
      <c r="E25">
        <v>4649933453</v>
      </c>
      <c r="F25">
        <v>1135662422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0</v>
      </c>
      <c r="N25">
        <v>0</v>
      </c>
      <c r="O25">
        <v>1</v>
      </c>
      <c r="P25">
        <v>1</v>
      </c>
    </row>
    <row r="26" spans="1:16" x14ac:dyDescent="0.25">
      <c r="A26" s="1">
        <v>43886.75</v>
      </c>
      <c r="B26" s="2" t="s">
        <v>12</v>
      </c>
      <c r="C26">
        <v>18</v>
      </c>
      <c r="D26" s="2" t="s">
        <v>41</v>
      </c>
      <c r="E26">
        <v>3890597598</v>
      </c>
      <c r="F26">
        <v>1659440194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</row>
    <row r="27" spans="1:16" x14ac:dyDescent="0.25">
      <c r="A27" s="1">
        <v>43886.75</v>
      </c>
      <c r="B27" s="2" t="s">
        <v>12</v>
      </c>
      <c r="C27">
        <v>15</v>
      </c>
      <c r="D27" s="2" t="s">
        <v>42</v>
      </c>
      <c r="E27">
        <v>4083956555</v>
      </c>
      <c r="F27">
        <v>1425084984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</v>
      </c>
    </row>
    <row r="28" spans="1:16" x14ac:dyDescent="0.25">
      <c r="A28" s="1">
        <v>43886.75</v>
      </c>
      <c r="B28" s="2" t="s">
        <v>12</v>
      </c>
      <c r="C28">
        <v>8</v>
      </c>
      <c r="D28" s="2" t="s">
        <v>43</v>
      </c>
      <c r="E28">
        <v>4449436681</v>
      </c>
      <c r="F28">
        <v>113417208</v>
      </c>
      <c r="G28">
        <v>15</v>
      </c>
      <c r="H28">
        <v>2</v>
      </c>
      <c r="I28">
        <v>17</v>
      </c>
      <c r="J28">
        <v>9</v>
      </c>
      <c r="K28">
        <v>26</v>
      </c>
      <c r="L28">
        <v>8</v>
      </c>
      <c r="M28">
        <v>0</v>
      </c>
      <c r="N28">
        <v>0</v>
      </c>
      <c r="O28">
        <v>26</v>
      </c>
      <c r="P28">
        <v>391</v>
      </c>
    </row>
    <row r="29" spans="1:16" x14ac:dyDescent="0.25">
      <c r="A29" s="1">
        <v>43886.75</v>
      </c>
      <c r="B29" s="2" t="s">
        <v>12</v>
      </c>
      <c r="C29">
        <v>6</v>
      </c>
      <c r="D29" s="2" t="s">
        <v>44</v>
      </c>
      <c r="E29">
        <v>456494354</v>
      </c>
      <c r="F29">
        <v>1376813649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89</v>
      </c>
    </row>
    <row r="30" spans="1:16" x14ac:dyDescent="0.25">
      <c r="A30" s="1">
        <v>43886.75</v>
      </c>
      <c r="B30" s="2" t="s">
        <v>12</v>
      </c>
      <c r="C30">
        <v>12</v>
      </c>
      <c r="D30" s="2" t="s">
        <v>45</v>
      </c>
      <c r="E30">
        <v>4189277044</v>
      </c>
      <c r="F30">
        <v>1248366722</v>
      </c>
      <c r="G30">
        <v>1</v>
      </c>
      <c r="H30">
        <v>1</v>
      </c>
      <c r="I30">
        <v>2</v>
      </c>
      <c r="J30">
        <v>0</v>
      </c>
      <c r="K30">
        <v>2</v>
      </c>
      <c r="L30">
        <v>0</v>
      </c>
      <c r="M30">
        <v>1</v>
      </c>
      <c r="N30">
        <v>0</v>
      </c>
      <c r="O30">
        <v>3</v>
      </c>
      <c r="P30">
        <v>124</v>
      </c>
    </row>
    <row r="31" spans="1:16" x14ac:dyDescent="0.25">
      <c r="A31" s="1">
        <v>43886.75</v>
      </c>
      <c r="B31" s="2" t="s">
        <v>12</v>
      </c>
      <c r="C31">
        <v>7</v>
      </c>
      <c r="D31" s="2" t="s">
        <v>46</v>
      </c>
      <c r="E31">
        <v>4441149315</v>
      </c>
      <c r="F31">
        <v>89326992</v>
      </c>
      <c r="G31">
        <v>1</v>
      </c>
      <c r="H31">
        <v>0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39</v>
      </c>
    </row>
    <row r="32" spans="1:16" x14ac:dyDescent="0.25">
      <c r="A32" s="1">
        <v>43886.75</v>
      </c>
      <c r="B32" s="2" t="s">
        <v>12</v>
      </c>
      <c r="C32">
        <v>3</v>
      </c>
      <c r="D32" s="2" t="s">
        <v>47</v>
      </c>
      <c r="E32">
        <v>4546679409</v>
      </c>
      <c r="F32">
        <v>9190347404</v>
      </c>
      <c r="G32">
        <v>79</v>
      </c>
      <c r="H32">
        <v>25</v>
      </c>
      <c r="I32">
        <v>104</v>
      </c>
      <c r="J32">
        <v>127</v>
      </c>
      <c r="K32">
        <v>231</v>
      </c>
      <c r="L32">
        <v>65</v>
      </c>
      <c r="M32">
        <v>0</v>
      </c>
      <c r="N32">
        <v>9</v>
      </c>
      <c r="O32">
        <v>240</v>
      </c>
      <c r="P32">
        <v>3700</v>
      </c>
    </row>
    <row r="33" spans="1:16" x14ac:dyDescent="0.25">
      <c r="A33" s="1">
        <v>43886.75</v>
      </c>
      <c r="B33" s="2" t="s">
        <v>12</v>
      </c>
      <c r="C33">
        <v>11</v>
      </c>
      <c r="D33" s="2" t="s">
        <v>48</v>
      </c>
      <c r="E33">
        <v>4361675973</v>
      </c>
      <c r="F33">
        <v>135188753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21</v>
      </c>
    </row>
    <row r="34" spans="1:16" x14ac:dyDescent="0.25">
      <c r="A34" s="1">
        <v>43886.75</v>
      </c>
      <c r="B34" s="2" t="s">
        <v>12</v>
      </c>
      <c r="C34">
        <v>14</v>
      </c>
      <c r="D34" s="2" t="s">
        <v>49</v>
      </c>
      <c r="E34">
        <v>4155774754</v>
      </c>
      <c r="F34">
        <v>1465916051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s="1">
        <v>43886.75</v>
      </c>
      <c r="B35" s="2" t="s">
        <v>12</v>
      </c>
      <c r="C35">
        <v>1</v>
      </c>
      <c r="D35" s="2" t="s">
        <v>50</v>
      </c>
      <c r="E35">
        <v>450732745</v>
      </c>
      <c r="F35">
        <v>7680687483</v>
      </c>
      <c r="G35">
        <v>2</v>
      </c>
      <c r="H35">
        <v>0</v>
      </c>
      <c r="I35">
        <v>2</v>
      </c>
      <c r="J35">
        <v>1</v>
      </c>
      <c r="K35">
        <v>3</v>
      </c>
      <c r="L35">
        <v>0</v>
      </c>
      <c r="M35">
        <v>0</v>
      </c>
      <c r="N35">
        <v>0</v>
      </c>
      <c r="O35">
        <v>3</v>
      </c>
      <c r="P35">
        <v>141</v>
      </c>
    </row>
    <row r="36" spans="1:16" x14ac:dyDescent="0.25">
      <c r="A36" s="1">
        <v>43886.75</v>
      </c>
      <c r="B36" s="2" t="s">
        <v>12</v>
      </c>
      <c r="C36">
        <v>16</v>
      </c>
      <c r="D36" s="2" t="s">
        <v>51</v>
      </c>
      <c r="E36">
        <v>4112559576</v>
      </c>
      <c r="F36">
        <v>1686736689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s="1">
        <v>43886.75</v>
      </c>
      <c r="B37" s="2" t="s">
        <v>12</v>
      </c>
      <c r="C37">
        <v>20</v>
      </c>
      <c r="D37" s="2" t="s">
        <v>52</v>
      </c>
      <c r="E37">
        <v>3921531192</v>
      </c>
      <c r="F37">
        <v>9110616306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 spans="1:16" x14ac:dyDescent="0.25">
      <c r="A38" s="1">
        <v>43886.75</v>
      </c>
      <c r="B38" s="2" t="s">
        <v>12</v>
      </c>
      <c r="C38">
        <v>19</v>
      </c>
      <c r="D38" s="2" t="s">
        <v>53</v>
      </c>
      <c r="E38">
        <v>3811569725</v>
      </c>
      <c r="F38">
        <v>133623567</v>
      </c>
      <c r="G38">
        <v>1</v>
      </c>
      <c r="H38">
        <v>0</v>
      </c>
      <c r="I38">
        <v>2</v>
      </c>
      <c r="J38">
        <v>2</v>
      </c>
      <c r="K38">
        <v>3</v>
      </c>
      <c r="L38">
        <v>3</v>
      </c>
      <c r="M38">
        <v>0</v>
      </c>
      <c r="N38">
        <v>0</v>
      </c>
      <c r="O38">
        <v>3</v>
      </c>
      <c r="P38">
        <v>5</v>
      </c>
    </row>
    <row r="39" spans="1:16" x14ac:dyDescent="0.25">
      <c r="A39" s="1">
        <v>43886.75</v>
      </c>
      <c r="B39" s="2" t="s">
        <v>12</v>
      </c>
      <c r="C39">
        <v>9</v>
      </c>
      <c r="D39" s="2" t="s">
        <v>54</v>
      </c>
      <c r="E39">
        <v>4376923077</v>
      </c>
      <c r="F39">
        <v>1125588885</v>
      </c>
      <c r="G39">
        <v>2</v>
      </c>
      <c r="H39">
        <v>0</v>
      </c>
      <c r="I39">
        <v>2</v>
      </c>
      <c r="J39">
        <v>0</v>
      </c>
      <c r="K39">
        <v>2</v>
      </c>
      <c r="L39">
        <v>2</v>
      </c>
      <c r="M39">
        <v>0</v>
      </c>
      <c r="N39">
        <v>0</v>
      </c>
      <c r="O39">
        <v>2</v>
      </c>
      <c r="P39">
        <v>296</v>
      </c>
    </row>
    <row r="40" spans="1:16" x14ac:dyDescent="0.25">
      <c r="A40" s="1">
        <v>43886.75</v>
      </c>
      <c r="B40" s="2" t="s">
        <v>12</v>
      </c>
      <c r="C40">
        <v>4</v>
      </c>
      <c r="D40" s="2" t="s">
        <v>55</v>
      </c>
      <c r="E40">
        <v>4606893511</v>
      </c>
      <c r="F40">
        <v>1112123097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</row>
    <row r="41" spans="1:16" x14ac:dyDescent="0.25">
      <c r="A41" s="1">
        <v>43886.75</v>
      </c>
      <c r="B41" s="2" t="s">
        <v>12</v>
      </c>
      <c r="C41">
        <v>10</v>
      </c>
      <c r="D41" s="2" t="s">
        <v>56</v>
      </c>
      <c r="E41">
        <v>4310675841</v>
      </c>
      <c r="F41">
        <v>1238824698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</v>
      </c>
    </row>
    <row r="42" spans="1:16" x14ac:dyDescent="0.25">
      <c r="A42" s="1">
        <v>43886.75</v>
      </c>
      <c r="B42" s="2" t="s">
        <v>12</v>
      </c>
      <c r="C42">
        <v>2</v>
      </c>
      <c r="D42" s="2" t="s">
        <v>57</v>
      </c>
      <c r="E42">
        <v>4573750286</v>
      </c>
      <c r="F42">
        <v>7320149366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</v>
      </c>
    </row>
    <row r="43" spans="1:16" x14ac:dyDescent="0.25">
      <c r="A43" s="1">
        <v>43886.75</v>
      </c>
      <c r="B43" s="2" t="s">
        <v>12</v>
      </c>
      <c r="C43">
        <v>5</v>
      </c>
      <c r="D43" s="2" t="s">
        <v>58</v>
      </c>
      <c r="E43">
        <v>4543490485</v>
      </c>
      <c r="F43">
        <v>1233845213</v>
      </c>
      <c r="G43">
        <v>12</v>
      </c>
      <c r="H43">
        <v>7</v>
      </c>
      <c r="I43">
        <v>19</v>
      </c>
      <c r="J43">
        <v>23</v>
      </c>
      <c r="K43">
        <v>42</v>
      </c>
      <c r="L43">
        <v>10</v>
      </c>
      <c r="M43">
        <v>0</v>
      </c>
      <c r="N43">
        <v>1</v>
      </c>
      <c r="O43">
        <v>43</v>
      </c>
      <c r="P43">
        <v>3780</v>
      </c>
    </row>
    <row r="44" spans="1:16" x14ac:dyDescent="0.25">
      <c r="A44" s="1">
        <v>43887.75</v>
      </c>
      <c r="B44" s="2" t="s">
        <v>12</v>
      </c>
      <c r="C44">
        <v>13</v>
      </c>
      <c r="D44" s="2" t="s">
        <v>38</v>
      </c>
      <c r="E44">
        <v>4235122196</v>
      </c>
      <c r="F44">
        <v>1339843823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13</v>
      </c>
    </row>
    <row r="45" spans="1:16" x14ac:dyDescent="0.25">
      <c r="A45" s="1">
        <v>43887.75</v>
      </c>
      <c r="B45" s="2" t="s">
        <v>12</v>
      </c>
      <c r="C45">
        <v>17</v>
      </c>
      <c r="D45" s="2" t="s">
        <v>39</v>
      </c>
      <c r="E45">
        <v>4063947052</v>
      </c>
      <c r="F45">
        <v>1580514834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s="1">
        <v>43887.75</v>
      </c>
      <c r="B46" s="2" t="s">
        <v>12</v>
      </c>
      <c r="C46">
        <v>4</v>
      </c>
      <c r="D46" s="2" t="s">
        <v>40</v>
      </c>
      <c r="E46">
        <v>4649933453</v>
      </c>
      <c r="F46">
        <v>1135662422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x14ac:dyDescent="0.25">
      <c r="A47" s="1">
        <v>43887.75</v>
      </c>
      <c r="B47" s="2" t="s">
        <v>12</v>
      </c>
      <c r="C47">
        <v>18</v>
      </c>
      <c r="D47" s="2" t="s">
        <v>41</v>
      </c>
      <c r="E47">
        <v>3890597598</v>
      </c>
      <c r="F47">
        <v>1659440194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</row>
    <row r="48" spans="1:16" x14ac:dyDescent="0.25">
      <c r="A48" s="1">
        <v>43887.75</v>
      </c>
      <c r="B48" s="2" t="s">
        <v>12</v>
      </c>
      <c r="C48">
        <v>15</v>
      </c>
      <c r="D48" s="2" t="s">
        <v>42</v>
      </c>
      <c r="E48">
        <v>4083956555</v>
      </c>
      <c r="F48">
        <v>1425084984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</v>
      </c>
    </row>
    <row r="49" spans="1:16" x14ac:dyDescent="0.25">
      <c r="A49" s="1">
        <v>43887.75</v>
      </c>
      <c r="B49" s="2" t="s">
        <v>12</v>
      </c>
      <c r="C49">
        <v>8</v>
      </c>
      <c r="D49" s="2" t="s">
        <v>43</v>
      </c>
      <c r="E49">
        <v>4449436681</v>
      </c>
      <c r="F49">
        <v>113417208</v>
      </c>
      <c r="G49">
        <v>20</v>
      </c>
      <c r="H49">
        <v>3</v>
      </c>
      <c r="I49">
        <v>23</v>
      </c>
      <c r="J49">
        <v>23</v>
      </c>
      <c r="K49">
        <v>46</v>
      </c>
      <c r="L49">
        <v>20</v>
      </c>
      <c r="M49">
        <v>0</v>
      </c>
      <c r="N49">
        <v>1</v>
      </c>
      <c r="O49">
        <v>47</v>
      </c>
      <c r="P49">
        <v>577</v>
      </c>
    </row>
    <row r="50" spans="1:16" x14ac:dyDescent="0.25">
      <c r="A50" s="1">
        <v>43887.75</v>
      </c>
      <c r="B50" s="2" t="s">
        <v>12</v>
      </c>
      <c r="C50">
        <v>6</v>
      </c>
      <c r="D50" s="2" t="s">
        <v>44</v>
      </c>
      <c r="E50">
        <v>456494354</v>
      </c>
      <c r="F50">
        <v>1376813649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114</v>
      </c>
    </row>
    <row r="51" spans="1:16" x14ac:dyDescent="0.25">
      <c r="A51" s="1">
        <v>43887.75</v>
      </c>
      <c r="B51" s="2" t="s">
        <v>12</v>
      </c>
      <c r="C51">
        <v>12</v>
      </c>
      <c r="D51" s="2" t="s">
        <v>45</v>
      </c>
      <c r="E51">
        <v>4189277044</v>
      </c>
      <c r="F51">
        <v>1248366722</v>
      </c>
      <c r="G51">
        <v>0</v>
      </c>
      <c r="H51">
        <v>0</v>
      </c>
      <c r="I51">
        <v>0</v>
      </c>
      <c r="J51">
        <v>0</v>
      </c>
      <c r="K51">
        <v>0</v>
      </c>
      <c r="L51">
        <v>-2</v>
      </c>
      <c r="M51">
        <v>3</v>
      </c>
      <c r="N51">
        <v>0</v>
      </c>
      <c r="O51">
        <v>3</v>
      </c>
      <c r="P51">
        <v>124</v>
      </c>
    </row>
    <row r="52" spans="1:16" x14ac:dyDescent="0.25">
      <c r="A52" s="1">
        <v>43887.75</v>
      </c>
      <c r="B52" s="2" t="s">
        <v>12</v>
      </c>
      <c r="C52">
        <v>7</v>
      </c>
      <c r="D52" s="2" t="s">
        <v>46</v>
      </c>
      <c r="E52">
        <v>4441149315</v>
      </c>
      <c r="F52">
        <v>89326992</v>
      </c>
      <c r="G52">
        <v>6</v>
      </c>
      <c r="H52">
        <v>0</v>
      </c>
      <c r="I52">
        <v>6</v>
      </c>
      <c r="J52">
        <v>5</v>
      </c>
      <c r="K52">
        <v>11</v>
      </c>
      <c r="L52">
        <v>10</v>
      </c>
      <c r="M52">
        <v>0</v>
      </c>
      <c r="N52">
        <v>0</v>
      </c>
      <c r="O52">
        <v>11</v>
      </c>
      <c r="P52">
        <v>66</v>
      </c>
    </row>
    <row r="53" spans="1:16" x14ac:dyDescent="0.25">
      <c r="A53" s="1">
        <v>43887.75</v>
      </c>
      <c r="B53" s="2" t="s">
        <v>12</v>
      </c>
      <c r="C53">
        <v>3</v>
      </c>
      <c r="D53" s="2" t="s">
        <v>47</v>
      </c>
      <c r="E53">
        <v>4546679409</v>
      </c>
      <c r="F53">
        <v>9190347404</v>
      </c>
      <c r="G53">
        <v>79</v>
      </c>
      <c r="H53">
        <v>25</v>
      </c>
      <c r="I53">
        <v>104</v>
      </c>
      <c r="J53">
        <v>145</v>
      </c>
      <c r="K53">
        <v>249</v>
      </c>
      <c r="L53">
        <v>18</v>
      </c>
      <c r="M53">
        <v>0</v>
      </c>
      <c r="N53">
        <v>9</v>
      </c>
      <c r="O53">
        <v>258</v>
      </c>
      <c r="P53">
        <v>3208</v>
      </c>
    </row>
    <row r="54" spans="1:16" x14ac:dyDescent="0.25">
      <c r="A54" s="1">
        <v>43887.75</v>
      </c>
      <c r="B54" s="2" t="s">
        <v>12</v>
      </c>
      <c r="C54">
        <v>11</v>
      </c>
      <c r="D54" s="2" t="s">
        <v>48</v>
      </c>
      <c r="E54">
        <v>4361675973</v>
      </c>
      <c r="F54">
        <v>135188753</v>
      </c>
      <c r="G54">
        <v>1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1</v>
      </c>
      <c r="P54">
        <v>28</v>
      </c>
    </row>
    <row r="55" spans="1:16" x14ac:dyDescent="0.25">
      <c r="A55" s="1">
        <v>43887.75</v>
      </c>
      <c r="B55" s="2" t="s">
        <v>12</v>
      </c>
      <c r="C55">
        <v>14</v>
      </c>
      <c r="D55" s="2" t="s">
        <v>49</v>
      </c>
      <c r="E55">
        <v>4155774754</v>
      </c>
      <c r="F55">
        <v>1465916051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s="1">
        <v>43887.75</v>
      </c>
      <c r="B56" s="2" t="s">
        <v>12</v>
      </c>
      <c r="C56">
        <v>1</v>
      </c>
      <c r="D56" s="2" t="s">
        <v>50</v>
      </c>
      <c r="E56">
        <v>450732745</v>
      </c>
      <c r="F56">
        <v>7680687483</v>
      </c>
      <c r="G56">
        <v>2</v>
      </c>
      <c r="H56">
        <v>0</v>
      </c>
      <c r="I56">
        <v>2</v>
      </c>
      <c r="J56">
        <v>1</v>
      </c>
      <c r="K56">
        <v>3</v>
      </c>
      <c r="L56">
        <v>0</v>
      </c>
      <c r="M56">
        <v>0</v>
      </c>
      <c r="N56">
        <v>0</v>
      </c>
      <c r="O56">
        <v>3</v>
      </c>
      <c r="P56">
        <v>156</v>
      </c>
    </row>
    <row r="57" spans="1:16" x14ac:dyDescent="0.25">
      <c r="A57" s="1">
        <v>43887.75</v>
      </c>
      <c r="B57" s="2" t="s">
        <v>12</v>
      </c>
      <c r="C57">
        <v>16</v>
      </c>
      <c r="D57" s="2" t="s">
        <v>51</v>
      </c>
      <c r="E57">
        <v>4112559576</v>
      </c>
      <c r="F57">
        <v>1686736689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s="1">
        <v>43887.75</v>
      </c>
      <c r="B58" s="2" t="s">
        <v>12</v>
      </c>
      <c r="C58">
        <v>20</v>
      </c>
      <c r="D58" s="2" t="s">
        <v>52</v>
      </c>
      <c r="E58">
        <v>3921531192</v>
      </c>
      <c r="F58">
        <v>9110616306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 spans="1:16" x14ac:dyDescent="0.25">
      <c r="A59" s="1">
        <v>43887.75</v>
      </c>
      <c r="B59" s="2" t="s">
        <v>12</v>
      </c>
      <c r="C59">
        <v>19</v>
      </c>
      <c r="D59" s="2" t="s">
        <v>53</v>
      </c>
      <c r="E59">
        <v>3811569725</v>
      </c>
      <c r="F59">
        <v>133623567</v>
      </c>
      <c r="G59">
        <v>1</v>
      </c>
      <c r="H59">
        <v>0</v>
      </c>
      <c r="I59">
        <v>1</v>
      </c>
      <c r="J59">
        <v>2</v>
      </c>
      <c r="K59">
        <v>3</v>
      </c>
      <c r="L59">
        <v>0</v>
      </c>
      <c r="M59">
        <v>0</v>
      </c>
      <c r="N59">
        <v>0</v>
      </c>
      <c r="O59">
        <v>3</v>
      </c>
      <c r="P59">
        <v>5</v>
      </c>
    </row>
    <row r="60" spans="1:16" x14ac:dyDescent="0.25">
      <c r="A60" s="1">
        <v>43887.75</v>
      </c>
      <c r="B60" s="2" t="s">
        <v>12</v>
      </c>
      <c r="C60">
        <v>9</v>
      </c>
      <c r="D60" s="2" t="s">
        <v>54</v>
      </c>
      <c r="E60">
        <v>4376923077</v>
      </c>
      <c r="F60">
        <v>1125588885</v>
      </c>
      <c r="G60">
        <v>2</v>
      </c>
      <c r="H60">
        <v>0</v>
      </c>
      <c r="I60">
        <v>2</v>
      </c>
      <c r="J60">
        <v>0</v>
      </c>
      <c r="K60">
        <v>2</v>
      </c>
      <c r="L60">
        <v>0</v>
      </c>
      <c r="M60">
        <v>0</v>
      </c>
      <c r="N60">
        <v>0</v>
      </c>
      <c r="O60">
        <v>2</v>
      </c>
      <c r="P60">
        <v>363</v>
      </c>
    </row>
    <row r="61" spans="1:16" x14ac:dyDescent="0.25">
      <c r="A61" s="1">
        <v>43887.75</v>
      </c>
      <c r="B61" s="2" t="s">
        <v>12</v>
      </c>
      <c r="C61">
        <v>4</v>
      </c>
      <c r="D61" s="2" t="s">
        <v>55</v>
      </c>
      <c r="E61">
        <v>4606893511</v>
      </c>
      <c r="F61">
        <v>1112123097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</row>
    <row r="62" spans="1:16" x14ac:dyDescent="0.25">
      <c r="A62" s="1">
        <v>43887.75</v>
      </c>
      <c r="B62" s="2" t="s">
        <v>12</v>
      </c>
      <c r="C62">
        <v>10</v>
      </c>
      <c r="D62" s="2" t="s">
        <v>56</v>
      </c>
      <c r="E62">
        <v>4310675841</v>
      </c>
      <c r="F62">
        <v>1238824698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</v>
      </c>
    </row>
    <row r="63" spans="1:16" x14ac:dyDescent="0.25">
      <c r="A63" s="1">
        <v>43887.75</v>
      </c>
      <c r="B63" s="2" t="s">
        <v>12</v>
      </c>
      <c r="C63">
        <v>2</v>
      </c>
      <c r="D63" s="2" t="s">
        <v>57</v>
      </c>
      <c r="E63">
        <v>4573750286</v>
      </c>
      <c r="F63">
        <v>7320149366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</v>
      </c>
    </row>
    <row r="64" spans="1:16" x14ac:dyDescent="0.25">
      <c r="A64" s="1">
        <v>43887.75</v>
      </c>
      <c r="B64" s="2" t="s">
        <v>12</v>
      </c>
      <c r="C64">
        <v>5</v>
      </c>
      <c r="D64" s="2" t="s">
        <v>58</v>
      </c>
      <c r="E64">
        <v>4543490485</v>
      </c>
      <c r="F64">
        <v>1233845213</v>
      </c>
      <c r="G64">
        <v>16</v>
      </c>
      <c r="H64">
        <v>8</v>
      </c>
      <c r="I64">
        <v>24</v>
      </c>
      <c r="J64">
        <v>45</v>
      </c>
      <c r="K64">
        <v>69</v>
      </c>
      <c r="L64">
        <v>27</v>
      </c>
      <c r="M64">
        <v>0</v>
      </c>
      <c r="N64">
        <v>2</v>
      </c>
      <c r="O64">
        <v>71</v>
      </c>
      <c r="P64">
        <v>4900</v>
      </c>
    </row>
    <row r="65" spans="1:16" x14ac:dyDescent="0.25">
      <c r="A65" s="1">
        <v>43888.75</v>
      </c>
      <c r="B65" s="2" t="s">
        <v>12</v>
      </c>
      <c r="C65">
        <v>13</v>
      </c>
      <c r="D65" s="2" t="s">
        <v>38</v>
      </c>
      <c r="E65">
        <v>4235122196</v>
      </c>
      <c r="F65">
        <v>1339843823</v>
      </c>
      <c r="G65">
        <v>1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33</v>
      </c>
    </row>
    <row r="66" spans="1:16" x14ac:dyDescent="0.25">
      <c r="A66" s="1">
        <v>43888.75</v>
      </c>
      <c r="B66" s="2" t="s">
        <v>12</v>
      </c>
      <c r="C66">
        <v>17</v>
      </c>
      <c r="D66" s="2" t="s">
        <v>39</v>
      </c>
      <c r="E66">
        <v>4063947052</v>
      </c>
      <c r="F66">
        <v>1580514834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s="1">
        <v>43888.75</v>
      </c>
      <c r="B67" s="2" t="s">
        <v>12</v>
      </c>
      <c r="C67">
        <v>4</v>
      </c>
      <c r="D67" s="2" t="s">
        <v>40</v>
      </c>
      <c r="E67">
        <v>4649933453</v>
      </c>
      <c r="F67">
        <v>1135662422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2</v>
      </c>
    </row>
    <row r="68" spans="1:16" x14ac:dyDescent="0.25">
      <c r="A68" s="1">
        <v>43888.75</v>
      </c>
      <c r="B68" s="2" t="s">
        <v>12</v>
      </c>
      <c r="C68">
        <v>18</v>
      </c>
      <c r="D68" s="2" t="s">
        <v>41</v>
      </c>
      <c r="E68">
        <v>3890597598</v>
      </c>
      <c r="F68">
        <v>1659440194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14</v>
      </c>
    </row>
    <row r="69" spans="1:16" x14ac:dyDescent="0.25">
      <c r="A69" s="1">
        <v>43888.75</v>
      </c>
      <c r="B69" s="2" t="s">
        <v>12</v>
      </c>
      <c r="C69">
        <v>15</v>
      </c>
      <c r="D69" s="2" t="s">
        <v>42</v>
      </c>
      <c r="E69">
        <v>4083956555</v>
      </c>
      <c r="F69">
        <v>1425084984</v>
      </c>
      <c r="G69">
        <v>2</v>
      </c>
      <c r="H69">
        <v>0</v>
      </c>
      <c r="I69">
        <v>2</v>
      </c>
      <c r="J69">
        <v>1</v>
      </c>
      <c r="K69">
        <v>3</v>
      </c>
      <c r="L69">
        <v>3</v>
      </c>
      <c r="M69">
        <v>0</v>
      </c>
      <c r="N69">
        <v>0</v>
      </c>
      <c r="O69">
        <v>3</v>
      </c>
      <c r="P69">
        <v>10</v>
      </c>
    </row>
    <row r="70" spans="1:16" x14ac:dyDescent="0.25">
      <c r="A70" s="1">
        <v>43888.75</v>
      </c>
      <c r="B70" s="2" t="s">
        <v>12</v>
      </c>
      <c r="C70">
        <v>8</v>
      </c>
      <c r="D70" s="2" t="s">
        <v>43</v>
      </c>
      <c r="E70">
        <v>4449436681</v>
      </c>
      <c r="F70">
        <v>113417208</v>
      </c>
      <c r="G70">
        <v>36</v>
      </c>
      <c r="H70">
        <v>6</v>
      </c>
      <c r="I70">
        <v>42</v>
      </c>
      <c r="J70">
        <v>54</v>
      </c>
      <c r="K70">
        <v>96</v>
      </c>
      <c r="L70">
        <v>50</v>
      </c>
      <c r="M70">
        <v>0</v>
      </c>
      <c r="N70">
        <v>1</v>
      </c>
      <c r="O70">
        <v>97</v>
      </c>
      <c r="P70">
        <v>1033</v>
      </c>
    </row>
    <row r="71" spans="1:16" x14ac:dyDescent="0.25">
      <c r="A71" s="1">
        <v>43888.75</v>
      </c>
      <c r="B71" s="2" t="s">
        <v>12</v>
      </c>
      <c r="C71">
        <v>6</v>
      </c>
      <c r="D71" s="2" t="s">
        <v>44</v>
      </c>
      <c r="E71">
        <v>456494354</v>
      </c>
      <c r="F71">
        <v>1376813649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141</v>
      </c>
    </row>
    <row r="72" spans="1:16" x14ac:dyDescent="0.25">
      <c r="A72" s="1">
        <v>43888.75</v>
      </c>
      <c r="B72" s="2" t="s">
        <v>12</v>
      </c>
      <c r="C72">
        <v>12</v>
      </c>
      <c r="D72" s="2" t="s">
        <v>45</v>
      </c>
      <c r="E72">
        <v>4189277044</v>
      </c>
      <c r="F72">
        <v>1248366722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3</v>
      </c>
      <c r="P72">
        <v>552</v>
      </c>
    </row>
    <row r="73" spans="1:16" x14ac:dyDescent="0.25">
      <c r="A73" s="1">
        <v>43888.75</v>
      </c>
      <c r="B73" s="2" t="s">
        <v>12</v>
      </c>
      <c r="C73">
        <v>7</v>
      </c>
      <c r="D73" s="2" t="s">
        <v>46</v>
      </c>
      <c r="E73">
        <v>4441149315</v>
      </c>
      <c r="F73">
        <v>89326992</v>
      </c>
      <c r="G73">
        <v>9</v>
      </c>
      <c r="H73">
        <v>0</v>
      </c>
      <c r="I73">
        <v>9</v>
      </c>
      <c r="J73">
        <v>10</v>
      </c>
      <c r="K73">
        <v>19</v>
      </c>
      <c r="L73">
        <v>8</v>
      </c>
      <c r="M73">
        <v>0</v>
      </c>
      <c r="N73">
        <v>0</v>
      </c>
      <c r="O73">
        <v>19</v>
      </c>
      <c r="P73">
        <v>78</v>
      </c>
    </row>
    <row r="74" spans="1:16" x14ac:dyDescent="0.25">
      <c r="A74" s="1">
        <v>43888.75</v>
      </c>
      <c r="B74" s="2" t="s">
        <v>12</v>
      </c>
      <c r="C74">
        <v>3</v>
      </c>
      <c r="D74" s="2" t="s">
        <v>47</v>
      </c>
      <c r="E74">
        <v>4546679409</v>
      </c>
      <c r="F74">
        <v>9190347404</v>
      </c>
      <c r="G74">
        <v>172</v>
      </c>
      <c r="H74">
        <v>41</v>
      </c>
      <c r="I74">
        <v>213</v>
      </c>
      <c r="J74">
        <v>136</v>
      </c>
      <c r="K74">
        <v>349</v>
      </c>
      <c r="L74">
        <v>100</v>
      </c>
      <c r="M74">
        <v>40</v>
      </c>
      <c r="N74">
        <v>14</v>
      </c>
      <c r="O74">
        <v>403</v>
      </c>
      <c r="P74">
        <v>3320</v>
      </c>
    </row>
    <row r="75" spans="1:16" x14ac:dyDescent="0.25">
      <c r="A75" s="1">
        <v>43888.75</v>
      </c>
      <c r="B75" s="2" t="s">
        <v>12</v>
      </c>
      <c r="C75">
        <v>11</v>
      </c>
      <c r="D75" s="2" t="s">
        <v>48</v>
      </c>
      <c r="E75">
        <v>4361675973</v>
      </c>
      <c r="F75">
        <v>135188753</v>
      </c>
      <c r="G75">
        <v>2</v>
      </c>
      <c r="H75">
        <v>1</v>
      </c>
      <c r="I75">
        <v>3</v>
      </c>
      <c r="J75">
        <v>0</v>
      </c>
      <c r="K75">
        <v>3</v>
      </c>
      <c r="L75">
        <v>2</v>
      </c>
      <c r="M75">
        <v>0</v>
      </c>
      <c r="N75">
        <v>0</v>
      </c>
      <c r="O75">
        <v>3</v>
      </c>
      <c r="P75">
        <v>46</v>
      </c>
    </row>
    <row r="76" spans="1:16" x14ac:dyDescent="0.25">
      <c r="A76" s="1">
        <v>43888.75</v>
      </c>
      <c r="B76" s="2" t="s">
        <v>12</v>
      </c>
      <c r="C76">
        <v>14</v>
      </c>
      <c r="D76" s="2" t="s">
        <v>49</v>
      </c>
      <c r="E76">
        <v>4155774754</v>
      </c>
      <c r="F76">
        <v>1465916051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 s="1">
        <v>43888.75</v>
      </c>
      <c r="B77" s="2" t="s">
        <v>12</v>
      </c>
      <c r="C77">
        <v>1</v>
      </c>
      <c r="D77" s="2" t="s">
        <v>50</v>
      </c>
      <c r="E77">
        <v>450732745</v>
      </c>
      <c r="F77">
        <v>7680687483</v>
      </c>
      <c r="G77">
        <v>2</v>
      </c>
      <c r="H77">
        <v>0</v>
      </c>
      <c r="I77">
        <v>2</v>
      </c>
      <c r="J77">
        <v>0</v>
      </c>
      <c r="K77">
        <v>2</v>
      </c>
      <c r="L77">
        <v>-1</v>
      </c>
      <c r="M77">
        <v>0</v>
      </c>
      <c r="N77">
        <v>0</v>
      </c>
      <c r="O77">
        <v>2</v>
      </c>
      <c r="P77">
        <v>156</v>
      </c>
    </row>
    <row r="78" spans="1:16" x14ac:dyDescent="0.25">
      <c r="A78" s="1">
        <v>43888.75</v>
      </c>
      <c r="B78" s="2" t="s">
        <v>12</v>
      </c>
      <c r="C78">
        <v>16</v>
      </c>
      <c r="D78" s="2" t="s">
        <v>51</v>
      </c>
      <c r="E78">
        <v>4112559576</v>
      </c>
      <c r="F78">
        <v>1686736689</v>
      </c>
      <c r="G78">
        <v>1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</row>
    <row r="79" spans="1:16" x14ac:dyDescent="0.25">
      <c r="A79" s="1">
        <v>43888.75</v>
      </c>
      <c r="B79" s="2" t="s">
        <v>12</v>
      </c>
      <c r="C79">
        <v>20</v>
      </c>
      <c r="D79" s="2" t="s">
        <v>52</v>
      </c>
      <c r="E79">
        <v>3921531192</v>
      </c>
      <c r="F79">
        <v>9110616306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 spans="1:16" x14ac:dyDescent="0.25">
      <c r="A80" s="1">
        <v>43888.75</v>
      </c>
      <c r="B80" s="2" t="s">
        <v>12</v>
      </c>
      <c r="C80">
        <v>19</v>
      </c>
      <c r="D80" s="2" t="s">
        <v>53</v>
      </c>
      <c r="E80">
        <v>3811569725</v>
      </c>
      <c r="F80">
        <v>133623567</v>
      </c>
      <c r="G80">
        <v>1</v>
      </c>
      <c r="H80">
        <v>0</v>
      </c>
      <c r="I80">
        <v>1</v>
      </c>
      <c r="J80">
        <v>1</v>
      </c>
      <c r="K80">
        <v>2</v>
      </c>
      <c r="L80">
        <v>-1</v>
      </c>
      <c r="M80">
        <v>2</v>
      </c>
      <c r="N80">
        <v>0</v>
      </c>
      <c r="O80">
        <v>4</v>
      </c>
      <c r="P80">
        <v>5</v>
      </c>
    </row>
    <row r="81" spans="1:16" x14ac:dyDescent="0.25">
      <c r="A81" s="1">
        <v>43888.75</v>
      </c>
      <c r="B81" s="2" t="s">
        <v>12</v>
      </c>
      <c r="C81">
        <v>9</v>
      </c>
      <c r="D81" s="2" t="s">
        <v>54</v>
      </c>
      <c r="E81">
        <v>4376923077</v>
      </c>
      <c r="F81">
        <v>1125588885</v>
      </c>
      <c r="G81">
        <v>2</v>
      </c>
      <c r="H81">
        <v>0</v>
      </c>
      <c r="I81">
        <v>2</v>
      </c>
      <c r="J81">
        <v>0</v>
      </c>
      <c r="K81">
        <v>2</v>
      </c>
      <c r="L81">
        <v>0</v>
      </c>
      <c r="M81">
        <v>0</v>
      </c>
      <c r="N81">
        <v>0</v>
      </c>
      <c r="O81">
        <v>2</v>
      </c>
      <c r="P81">
        <v>410</v>
      </c>
    </row>
    <row r="82" spans="1:16" x14ac:dyDescent="0.25">
      <c r="A82" s="1">
        <v>43888.75</v>
      </c>
      <c r="B82" s="2" t="s">
        <v>12</v>
      </c>
      <c r="C82">
        <v>4</v>
      </c>
      <c r="D82" s="2" t="s">
        <v>55</v>
      </c>
      <c r="E82">
        <v>4606893511</v>
      </c>
      <c r="F82">
        <v>1112123097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32</v>
      </c>
    </row>
    <row r="83" spans="1:16" x14ac:dyDescent="0.25">
      <c r="A83" s="1">
        <v>43888.75</v>
      </c>
      <c r="B83" s="2" t="s">
        <v>12</v>
      </c>
      <c r="C83">
        <v>10</v>
      </c>
      <c r="D83" s="2" t="s">
        <v>56</v>
      </c>
      <c r="E83">
        <v>4310675841</v>
      </c>
      <c r="F83">
        <v>1238824698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</v>
      </c>
    </row>
    <row r="84" spans="1:16" x14ac:dyDescent="0.25">
      <c r="A84" s="1">
        <v>43888.75</v>
      </c>
      <c r="B84" s="2" t="s">
        <v>12</v>
      </c>
      <c r="C84">
        <v>2</v>
      </c>
      <c r="D84" s="2" t="s">
        <v>57</v>
      </c>
      <c r="E84">
        <v>4573750286</v>
      </c>
      <c r="F84">
        <v>7320149366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9</v>
      </c>
    </row>
    <row r="85" spans="1:16" x14ac:dyDescent="0.25">
      <c r="A85" s="1">
        <v>43888.75</v>
      </c>
      <c r="B85" s="2" t="s">
        <v>12</v>
      </c>
      <c r="C85">
        <v>5</v>
      </c>
      <c r="D85" s="2" t="s">
        <v>58</v>
      </c>
      <c r="E85">
        <v>4543490485</v>
      </c>
      <c r="F85">
        <v>1233845213</v>
      </c>
      <c r="G85">
        <v>19</v>
      </c>
      <c r="H85">
        <v>8</v>
      </c>
      <c r="I85">
        <v>27</v>
      </c>
      <c r="J85">
        <v>82</v>
      </c>
      <c r="K85">
        <v>109</v>
      </c>
      <c r="L85">
        <v>40</v>
      </c>
      <c r="M85">
        <v>0</v>
      </c>
      <c r="N85">
        <v>2</v>
      </c>
      <c r="O85">
        <v>111</v>
      </c>
      <c r="P85">
        <v>6164</v>
      </c>
    </row>
    <row r="86" spans="1:16" x14ac:dyDescent="0.25">
      <c r="A86" s="1">
        <v>43889.75</v>
      </c>
      <c r="B86" s="2" t="s">
        <v>12</v>
      </c>
      <c r="C86">
        <v>13</v>
      </c>
      <c r="D86" s="2" t="s">
        <v>38</v>
      </c>
      <c r="E86">
        <v>4235122196</v>
      </c>
      <c r="F86">
        <v>1339843823</v>
      </c>
      <c r="G86">
        <v>1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33</v>
      </c>
    </row>
    <row r="87" spans="1:16" x14ac:dyDescent="0.25">
      <c r="A87" s="1">
        <v>43889.75</v>
      </c>
      <c r="B87" s="2" t="s">
        <v>12</v>
      </c>
      <c r="C87">
        <v>17</v>
      </c>
      <c r="D87" s="2" t="s">
        <v>39</v>
      </c>
      <c r="E87">
        <v>4063947052</v>
      </c>
      <c r="F87">
        <v>1580514834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s="1">
        <v>43889.75</v>
      </c>
      <c r="B88" s="2" t="s">
        <v>12</v>
      </c>
      <c r="C88">
        <v>4</v>
      </c>
      <c r="D88" s="2" t="s">
        <v>40</v>
      </c>
      <c r="E88">
        <v>4649933453</v>
      </c>
      <c r="F88">
        <v>1135662422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2</v>
      </c>
    </row>
    <row r="89" spans="1:16" x14ac:dyDescent="0.25">
      <c r="A89" s="1">
        <v>43889.75</v>
      </c>
      <c r="B89" s="2" t="s">
        <v>12</v>
      </c>
      <c r="C89">
        <v>18</v>
      </c>
      <c r="D89" s="2" t="s">
        <v>41</v>
      </c>
      <c r="E89">
        <v>3890597598</v>
      </c>
      <c r="F89">
        <v>1659440194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1</v>
      </c>
      <c r="P89">
        <v>21</v>
      </c>
    </row>
    <row r="90" spans="1:16" x14ac:dyDescent="0.25">
      <c r="A90" s="1">
        <v>43889.75</v>
      </c>
      <c r="B90" s="2" t="s">
        <v>12</v>
      </c>
      <c r="C90">
        <v>15</v>
      </c>
      <c r="D90" s="2" t="s">
        <v>42</v>
      </c>
      <c r="E90">
        <v>4083956555</v>
      </c>
      <c r="F90">
        <v>1425084984</v>
      </c>
      <c r="G90">
        <v>2</v>
      </c>
      <c r="H90">
        <v>0</v>
      </c>
      <c r="I90">
        <v>2</v>
      </c>
      <c r="J90">
        <v>2</v>
      </c>
      <c r="K90">
        <v>4</v>
      </c>
      <c r="L90">
        <v>1</v>
      </c>
      <c r="M90">
        <v>0</v>
      </c>
      <c r="N90">
        <v>0</v>
      </c>
      <c r="O90">
        <v>4</v>
      </c>
      <c r="P90">
        <v>213</v>
      </c>
    </row>
    <row r="91" spans="1:16" x14ac:dyDescent="0.25">
      <c r="A91" s="1">
        <v>43889.75</v>
      </c>
      <c r="B91" s="2" t="s">
        <v>12</v>
      </c>
      <c r="C91">
        <v>8</v>
      </c>
      <c r="D91" s="2" t="s">
        <v>43</v>
      </c>
      <c r="E91">
        <v>4449436681</v>
      </c>
      <c r="F91">
        <v>113417208</v>
      </c>
      <c r="G91">
        <v>56</v>
      </c>
      <c r="H91">
        <v>6</v>
      </c>
      <c r="I91">
        <v>62</v>
      </c>
      <c r="J91">
        <v>81</v>
      </c>
      <c r="K91">
        <v>143</v>
      </c>
      <c r="L91">
        <v>47</v>
      </c>
      <c r="M91">
        <v>0</v>
      </c>
      <c r="N91">
        <v>2</v>
      </c>
      <c r="O91">
        <v>145</v>
      </c>
      <c r="P91">
        <v>1277</v>
      </c>
    </row>
    <row r="92" spans="1:16" x14ac:dyDescent="0.25">
      <c r="A92" s="1">
        <v>43889.75</v>
      </c>
      <c r="B92" s="2" t="s">
        <v>12</v>
      </c>
      <c r="C92">
        <v>6</v>
      </c>
      <c r="D92" s="2" t="s">
        <v>44</v>
      </c>
      <c r="E92">
        <v>456494354</v>
      </c>
      <c r="F92">
        <v>1376813649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169</v>
      </c>
    </row>
    <row r="93" spans="1:16" x14ac:dyDescent="0.25">
      <c r="A93" s="1">
        <v>43889.75</v>
      </c>
      <c r="B93" s="2" t="s">
        <v>12</v>
      </c>
      <c r="C93">
        <v>12</v>
      </c>
      <c r="D93" s="2" t="s">
        <v>45</v>
      </c>
      <c r="E93">
        <v>4189277044</v>
      </c>
      <c r="F93">
        <v>1248366722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</v>
      </c>
      <c r="N93">
        <v>0</v>
      </c>
      <c r="O93">
        <v>3</v>
      </c>
      <c r="P93">
        <v>611</v>
      </c>
    </row>
    <row r="94" spans="1:16" x14ac:dyDescent="0.25">
      <c r="A94" s="1">
        <v>43889.75</v>
      </c>
      <c r="B94" s="2" t="s">
        <v>12</v>
      </c>
      <c r="C94">
        <v>7</v>
      </c>
      <c r="D94" s="2" t="s">
        <v>46</v>
      </c>
      <c r="E94">
        <v>4441149315</v>
      </c>
      <c r="F94">
        <v>89326992</v>
      </c>
      <c r="G94">
        <v>9</v>
      </c>
      <c r="H94">
        <v>0</v>
      </c>
      <c r="I94">
        <v>9</v>
      </c>
      <c r="J94">
        <v>10</v>
      </c>
      <c r="K94">
        <v>19</v>
      </c>
      <c r="L94">
        <v>0</v>
      </c>
      <c r="M94">
        <v>0</v>
      </c>
      <c r="N94">
        <v>0</v>
      </c>
      <c r="O94">
        <v>19</v>
      </c>
      <c r="P94">
        <v>112</v>
      </c>
    </row>
    <row r="95" spans="1:16" x14ac:dyDescent="0.25">
      <c r="A95" s="1">
        <v>43889.75</v>
      </c>
      <c r="B95" s="2" t="s">
        <v>12</v>
      </c>
      <c r="C95">
        <v>3</v>
      </c>
      <c r="D95" s="2" t="s">
        <v>47</v>
      </c>
      <c r="E95">
        <v>4546679409</v>
      </c>
      <c r="F95">
        <v>9190347404</v>
      </c>
      <c r="G95">
        <v>235</v>
      </c>
      <c r="H95">
        <v>47</v>
      </c>
      <c r="I95">
        <v>282</v>
      </c>
      <c r="J95">
        <v>192</v>
      </c>
      <c r="K95">
        <v>474</v>
      </c>
      <c r="L95">
        <v>125</v>
      </c>
      <c r="M95">
        <v>40</v>
      </c>
      <c r="N95">
        <v>17</v>
      </c>
      <c r="O95">
        <v>531</v>
      </c>
      <c r="P95">
        <v>4835</v>
      </c>
    </row>
    <row r="96" spans="1:16" x14ac:dyDescent="0.25">
      <c r="A96" s="1">
        <v>43889.75</v>
      </c>
      <c r="B96" s="2" t="s">
        <v>12</v>
      </c>
      <c r="C96">
        <v>11</v>
      </c>
      <c r="D96" s="2" t="s">
        <v>48</v>
      </c>
      <c r="E96">
        <v>4361675973</v>
      </c>
      <c r="F96">
        <v>135188753</v>
      </c>
      <c r="G96">
        <v>3</v>
      </c>
      <c r="H96">
        <v>2</v>
      </c>
      <c r="I96">
        <v>5</v>
      </c>
      <c r="J96">
        <v>1</v>
      </c>
      <c r="K96">
        <v>6</v>
      </c>
      <c r="L96">
        <v>3</v>
      </c>
      <c r="M96">
        <v>0</v>
      </c>
      <c r="N96">
        <v>0</v>
      </c>
      <c r="O96">
        <v>6</v>
      </c>
      <c r="P96">
        <v>47</v>
      </c>
    </row>
    <row r="97" spans="1:16" x14ac:dyDescent="0.25">
      <c r="A97" s="1">
        <v>43889.75</v>
      </c>
      <c r="B97" s="2" t="s">
        <v>12</v>
      </c>
      <c r="C97">
        <v>14</v>
      </c>
      <c r="D97" s="2" t="s">
        <v>49</v>
      </c>
      <c r="E97">
        <v>4155774754</v>
      </c>
      <c r="F97">
        <v>1465916051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s="1">
        <v>43889.75</v>
      </c>
      <c r="B98" s="2" t="s">
        <v>12</v>
      </c>
      <c r="C98">
        <v>1</v>
      </c>
      <c r="D98" s="2" t="s">
        <v>50</v>
      </c>
      <c r="E98">
        <v>450732745</v>
      </c>
      <c r="F98">
        <v>7680687483</v>
      </c>
      <c r="G98">
        <v>7</v>
      </c>
      <c r="H98">
        <v>0</v>
      </c>
      <c r="I98">
        <v>7</v>
      </c>
      <c r="J98">
        <v>4</v>
      </c>
      <c r="K98">
        <v>11</v>
      </c>
      <c r="L98">
        <v>9</v>
      </c>
      <c r="M98">
        <v>0</v>
      </c>
      <c r="N98">
        <v>0</v>
      </c>
      <c r="O98">
        <v>11</v>
      </c>
      <c r="P98">
        <v>227</v>
      </c>
    </row>
    <row r="99" spans="1:16" x14ac:dyDescent="0.25">
      <c r="A99" s="1">
        <v>43889.75</v>
      </c>
      <c r="B99" s="2" t="s">
        <v>12</v>
      </c>
      <c r="C99">
        <v>16</v>
      </c>
      <c r="D99" s="2" t="s">
        <v>51</v>
      </c>
      <c r="E99">
        <v>4112559576</v>
      </c>
      <c r="F99">
        <v>1686736689</v>
      </c>
      <c r="G99">
        <v>1</v>
      </c>
      <c r="H99">
        <v>0</v>
      </c>
      <c r="I99">
        <v>1</v>
      </c>
      <c r="J99">
        <v>2</v>
      </c>
      <c r="K99">
        <v>3</v>
      </c>
      <c r="L99">
        <v>2</v>
      </c>
      <c r="M99">
        <v>0</v>
      </c>
      <c r="N99">
        <v>0</v>
      </c>
      <c r="O99">
        <v>3</v>
      </c>
      <c r="P99">
        <v>242</v>
      </c>
    </row>
    <row r="100" spans="1:16" x14ac:dyDescent="0.25">
      <c r="A100" s="1">
        <v>43889.75</v>
      </c>
      <c r="B100" s="2" t="s">
        <v>12</v>
      </c>
      <c r="C100">
        <v>20</v>
      </c>
      <c r="D100" s="2" t="s">
        <v>52</v>
      </c>
      <c r="E100">
        <v>3921531192</v>
      </c>
      <c r="F100">
        <v>9110616306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 x14ac:dyDescent="0.25">
      <c r="A101" s="1">
        <v>43889.75</v>
      </c>
      <c r="B101" s="2" t="s">
        <v>12</v>
      </c>
      <c r="C101">
        <v>19</v>
      </c>
      <c r="D101" s="2" t="s">
        <v>53</v>
      </c>
      <c r="E101">
        <v>3811569725</v>
      </c>
      <c r="F101">
        <v>133623567</v>
      </c>
      <c r="G101">
        <v>1</v>
      </c>
      <c r="H101">
        <v>0</v>
      </c>
      <c r="I101">
        <v>1</v>
      </c>
      <c r="J101">
        <v>1</v>
      </c>
      <c r="K101">
        <v>2</v>
      </c>
      <c r="L101">
        <v>0</v>
      </c>
      <c r="M101">
        <v>2</v>
      </c>
      <c r="N101">
        <v>0</v>
      </c>
      <c r="O101">
        <v>4</v>
      </c>
      <c r="P101">
        <v>5</v>
      </c>
    </row>
    <row r="102" spans="1:16" x14ac:dyDescent="0.25">
      <c r="A102" s="1">
        <v>43889.75</v>
      </c>
      <c r="B102" s="2" t="s">
        <v>12</v>
      </c>
      <c r="C102">
        <v>9</v>
      </c>
      <c r="D102" s="2" t="s">
        <v>54</v>
      </c>
      <c r="E102">
        <v>4376923077</v>
      </c>
      <c r="F102">
        <v>1125588885</v>
      </c>
      <c r="G102">
        <v>5</v>
      </c>
      <c r="H102">
        <v>0</v>
      </c>
      <c r="I102">
        <v>5</v>
      </c>
      <c r="J102">
        <v>2</v>
      </c>
      <c r="K102">
        <v>7</v>
      </c>
      <c r="L102">
        <v>5</v>
      </c>
      <c r="M102">
        <v>1</v>
      </c>
      <c r="N102">
        <v>0</v>
      </c>
      <c r="O102">
        <v>8</v>
      </c>
      <c r="P102">
        <v>437</v>
      </c>
    </row>
    <row r="103" spans="1:16" x14ac:dyDescent="0.25">
      <c r="A103" s="1">
        <v>43889.75</v>
      </c>
      <c r="B103" s="2" t="s">
        <v>12</v>
      </c>
      <c r="C103">
        <v>4</v>
      </c>
      <c r="D103" s="2" t="s">
        <v>55</v>
      </c>
      <c r="E103">
        <v>4606893511</v>
      </c>
      <c r="F103">
        <v>1112123097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32</v>
      </c>
    </row>
    <row r="104" spans="1:16" x14ac:dyDescent="0.25">
      <c r="A104" s="1">
        <v>43889.75</v>
      </c>
      <c r="B104" s="2" t="s">
        <v>12</v>
      </c>
      <c r="C104">
        <v>10</v>
      </c>
      <c r="D104" s="2" t="s">
        <v>56</v>
      </c>
      <c r="E104">
        <v>4310675841</v>
      </c>
      <c r="F104">
        <v>1238824698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</v>
      </c>
    </row>
    <row r="105" spans="1:16" x14ac:dyDescent="0.25">
      <c r="A105" s="1">
        <v>43889.75</v>
      </c>
      <c r="B105" s="2" t="s">
        <v>12</v>
      </c>
      <c r="C105">
        <v>2</v>
      </c>
      <c r="D105" s="2" t="s">
        <v>57</v>
      </c>
      <c r="E105">
        <v>4573750286</v>
      </c>
      <c r="F105">
        <v>7320149366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</v>
      </c>
    </row>
    <row r="106" spans="1:16" x14ac:dyDescent="0.25">
      <c r="A106" s="1">
        <v>43889.75</v>
      </c>
      <c r="B106" s="2" t="s">
        <v>12</v>
      </c>
      <c r="C106">
        <v>5</v>
      </c>
      <c r="D106" s="2" t="s">
        <v>58</v>
      </c>
      <c r="E106">
        <v>4543490485</v>
      </c>
      <c r="F106">
        <v>1233845213</v>
      </c>
      <c r="G106">
        <v>24</v>
      </c>
      <c r="H106">
        <v>9</v>
      </c>
      <c r="I106">
        <v>33</v>
      </c>
      <c r="J106">
        <v>116</v>
      </c>
      <c r="K106">
        <v>149</v>
      </c>
      <c r="L106">
        <v>40</v>
      </c>
      <c r="M106">
        <v>0</v>
      </c>
      <c r="N106">
        <v>2</v>
      </c>
      <c r="O106">
        <v>151</v>
      </c>
      <c r="P106">
        <v>7414</v>
      </c>
    </row>
    <row r="107" spans="1:16" x14ac:dyDescent="0.25">
      <c r="A107" s="1">
        <v>43890.708333333336</v>
      </c>
      <c r="B107" s="2" t="s">
        <v>12</v>
      </c>
      <c r="C107">
        <v>13</v>
      </c>
      <c r="D107" s="2" t="s">
        <v>38</v>
      </c>
      <c r="E107">
        <v>4235122196</v>
      </c>
      <c r="F107">
        <v>1339843823</v>
      </c>
      <c r="G107">
        <v>2</v>
      </c>
      <c r="H107">
        <v>0</v>
      </c>
      <c r="I107">
        <v>2</v>
      </c>
      <c r="J107">
        <v>0</v>
      </c>
      <c r="K107">
        <v>2</v>
      </c>
      <c r="L107">
        <v>1</v>
      </c>
      <c r="M107">
        <v>0</v>
      </c>
      <c r="N107">
        <v>0</v>
      </c>
      <c r="O107">
        <v>2</v>
      </c>
      <c r="P107">
        <v>43</v>
      </c>
    </row>
    <row r="108" spans="1:16" x14ac:dyDescent="0.25">
      <c r="A108" s="1">
        <v>43890.708333333336</v>
      </c>
      <c r="B108" s="2" t="s">
        <v>12</v>
      </c>
      <c r="C108">
        <v>17</v>
      </c>
      <c r="D108" s="2" t="s">
        <v>39</v>
      </c>
      <c r="E108">
        <v>4063947052</v>
      </c>
      <c r="F108">
        <v>1580514834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32</v>
      </c>
    </row>
    <row r="109" spans="1:16" x14ac:dyDescent="0.25">
      <c r="A109" s="1">
        <v>43890.708333333336</v>
      </c>
      <c r="B109" s="2" t="s">
        <v>12</v>
      </c>
      <c r="C109">
        <v>4</v>
      </c>
      <c r="D109" s="2" t="s">
        <v>40</v>
      </c>
      <c r="E109">
        <v>4649933453</v>
      </c>
      <c r="F109">
        <v>1135662422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16</v>
      </c>
    </row>
    <row r="110" spans="1:16" x14ac:dyDescent="0.25">
      <c r="A110" s="1">
        <v>43890.708333333336</v>
      </c>
      <c r="B110" s="2" t="s">
        <v>12</v>
      </c>
      <c r="C110">
        <v>18</v>
      </c>
      <c r="D110" s="2" t="s">
        <v>41</v>
      </c>
      <c r="E110">
        <v>3890597598</v>
      </c>
      <c r="F110">
        <v>1659440194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27</v>
      </c>
    </row>
    <row r="111" spans="1:16" x14ac:dyDescent="0.25">
      <c r="A111" s="1">
        <v>43890.708333333336</v>
      </c>
      <c r="B111" s="2" t="s">
        <v>12</v>
      </c>
      <c r="C111">
        <v>15</v>
      </c>
      <c r="D111" s="2" t="s">
        <v>42</v>
      </c>
      <c r="E111">
        <v>4083956555</v>
      </c>
      <c r="F111">
        <v>1425084984</v>
      </c>
      <c r="G111">
        <v>3</v>
      </c>
      <c r="H111">
        <v>0</v>
      </c>
      <c r="I111">
        <v>3</v>
      </c>
      <c r="J111">
        <v>10</v>
      </c>
      <c r="K111">
        <v>13</v>
      </c>
      <c r="L111">
        <v>9</v>
      </c>
      <c r="M111">
        <v>0</v>
      </c>
      <c r="N111">
        <v>0</v>
      </c>
      <c r="O111">
        <v>13</v>
      </c>
      <c r="P111">
        <v>373</v>
      </c>
    </row>
    <row r="112" spans="1:16" x14ac:dyDescent="0.25">
      <c r="A112" s="1">
        <v>43890.708333333336</v>
      </c>
      <c r="B112" s="2" t="s">
        <v>12</v>
      </c>
      <c r="C112">
        <v>8</v>
      </c>
      <c r="D112" s="2" t="s">
        <v>43</v>
      </c>
      <c r="E112">
        <v>4449436681</v>
      </c>
      <c r="F112">
        <v>113417208</v>
      </c>
      <c r="G112">
        <v>86</v>
      </c>
      <c r="H112">
        <v>11</v>
      </c>
      <c r="I112">
        <v>97</v>
      </c>
      <c r="J112">
        <v>116</v>
      </c>
      <c r="K112">
        <v>213</v>
      </c>
      <c r="L112">
        <v>70</v>
      </c>
      <c r="M112">
        <v>0</v>
      </c>
      <c r="N112">
        <v>4</v>
      </c>
      <c r="O112">
        <v>217</v>
      </c>
      <c r="P112">
        <v>1550</v>
      </c>
    </row>
    <row r="113" spans="1:16" x14ac:dyDescent="0.25">
      <c r="A113" s="1">
        <v>43890.708333333336</v>
      </c>
      <c r="B113" s="2" t="s">
        <v>12</v>
      </c>
      <c r="C113">
        <v>6</v>
      </c>
      <c r="D113" s="2" t="s">
        <v>44</v>
      </c>
      <c r="E113">
        <v>456494354</v>
      </c>
      <c r="F113">
        <v>1376813649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189</v>
      </c>
    </row>
    <row r="114" spans="1:16" x14ac:dyDescent="0.25">
      <c r="A114" s="1">
        <v>43890.708333333336</v>
      </c>
      <c r="B114" s="2" t="s">
        <v>12</v>
      </c>
      <c r="C114">
        <v>12</v>
      </c>
      <c r="D114" s="2" t="s">
        <v>45</v>
      </c>
      <c r="E114">
        <v>4189277044</v>
      </c>
      <c r="F114">
        <v>1248366722</v>
      </c>
      <c r="G114">
        <v>3</v>
      </c>
      <c r="H114">
        <v>0</v>
      </c>
      <c r="I114">
        <v>3</v>
      </c>
      <c r="J114">
        <v>0</v>
      </c>
      <c r="K114">
        <v>3</v>
      </c>
      <c r="L114">
        <v>3</v>
      </c>
      <c r="M114">
        <v>3</v>
      </c>
      <c r="N114">
        <v>0</v>
      </c>
      <c r="O114">
        <v>6</v>
      </c>
      <c r="P114">
        <v>679</v>
      </c>
    </row>
    <row r="115" spans="1:16" x14ac:dyDescent="0.25">
      <c r="A115" s="1">
        <v>43890.708333333336</v>
      </c>
      <c r="B115" s="2" t="s">
        <v>12</v>
      </c>
      <c r="C115">
        <v>7</v>
      </c>
      <c r="D115" s="2" t="s">
        <v>46</v>
      </c>
      <c r="E115">
        <v>4441149315</v>
      </c>
      <c r="F115">
        <v>89326992</v>
      </c>
      <c r="G115">
        <v>4</v>
      </c>
      <c r="H115">
        <v>1</v>
      </c>
      <c r="I115">
        <v>5</v>
      </c>
      <c r="J115">
        <v>33</v>
      </c>
      <c r="K115">
        <v>38</v>
      </c>
      <c r="L115">
        <v>19</v>
      </c>
      <c r="M115">
        <v>4</v>
      </c>
      <c r="N115">
        <v>0</v>
      </c>
      <c r="O115">
        <v>42</v>
      </c>
      <c r="P115">
        <v>121</v>
      </c>
    </row>
    <row r="116" spans="1:16" x14ac:dyDescent="0.25">
      <c r="A116" s="1">
        <v>43890.708333333336</v>
      </c>
      <c r="B116" s="2" t="s">
        <v>12</v>
      </c>
      <c r="C116">
        <v>3</v>
      </c>
      <c r="D116" s="2" t="s">
        <v>47</v>
      </c>
      <c r="E116">
        <v>4546679409</v>
      </c>
      <c r="F116">
        <v>9190347404</v>
      </c>
      <c r="G116">
        <v>256</v>
      </c>
      <c r="H116">
        <v>80</v>
      </c>
      <c r="I116">
        <v>336</v>
      </c>
      <c r="J116">
        <v>216</v>
      </c>
      <c r="K116">
        <v>552</v>
      </c>
      <c r="L116">
        <v>78</v>
      </c>
      <c r="M116">
        <v>40</v>
      </c>
      <c r="N116">
        <v>23</v>
      </c>
      <c r="O116">
        <v>615</v>
      </c>
      <c r="P116">
        <v>5723</v>
      </c>
    </row>
    <row r="117" spans="1:16" x14ac:dyDescent="0.25">
      <c r="A117" s="1">
        <v>43890.708333333336</v>
      </c>
      <c r="B117" s="2" t="s">
        <v>12</v>
      </c>
      <c r="C117">
        <v>11</v>
      </c>
      <c r="D117" s="2" t="s">
        <v>48</v>
      </c>
      <c r="E117">
        <v>4361675973</v>
      </c>
      <c r="F117">
        <v>135188753</v>
      </c>
      <c r="G117">
        <v>6</v>
      </c>
      <c r="H117">
        <v>2</v>
      </c>
      <c r="I117">
        <v>8</v>
      </c>
      <c r="J117">
        <v>3</v>
      </c>
      <c r="K117">
        <v>11</v>
      </c>
      <c r="L117">
        <v>5</v>
      </c>
      <c r="M117">
        <v>0</v>
      </c>
      <c r="N117">
        <v>0</v>
      </c>
      <c r="O117">
        <v>11</v>
      </c>
      <c r="P117">
        <v>68</v>
      </c>
    </row>
    <row r="118" spans="1:16" x14ac:dyDescent="0.25">
      <c r="A118" s="1">
        <v>43890.708333333336</v>
      </c>
      <c r="B118" s="2" t="s">
        <v>12</v>
      </c>
      <c r="C118">
        <v>14</v>
      </c>
      <c r="D118" s="2" t="s">
        <v>49</v>
      </c>
      <c r="E118">
        <v>4155774754</v>
      </c>
      <c r="F118">
        <v>1465916051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 s="1">
        <v>43890.708333333336</v>
      </c>
      <c r="B119" s="2" t="s">
        <v>12</v>
      </c>
      <c r="C119">
        <v>1</v>
      </c>
      <c r="D119" s="2" t="s">
        <v>50</v>
      </c>
      <c r="E119">
        <v>450732745</v>
      </c>
      <c r="F119">
        <v>7680687483</v>
      </c>
      <c r="G119">
        <v>7</v>
      </c>
      <c r="H119">
        <v>0</v>
      </c>
      <c r="I119">
        <v>7</v>
      </c>
      <c r="J119">
        <v>4</v>
      </c>
      <c r="K119">
        <v>11</v>
      </c>
      <c r="L119">
        <v>0</v>
      </c>
      <c r="M119">
        <v>0</v>
      </c>
      <c r="N119">
        <v>0</v>
      </c>
      <c r="O119">
        <v>11</v>
      </c>
      <c r="P119">
        <v>308</v>
      </c>
    </row>
    <row r="120" spans="1:16" x14ac:dyDescent="0.25">
      <c r="A120" s="1">
        <v>43890.708333333336</v>
      </c>
      <c r="B120" s="2" t="s">
        <v>12</v>
      </c>
      <c r="C120">
        <v>16</v>
      </c>
      <c r="D120" s="2" t="s">
        <v>51</v>
      </c>
      <c r="E120">
        <v>4112559576</v>
      </c>
      <c r="F120">
        <v>1686736689</v>
      </c>
      <c r="G120">
        <v>1</v>
      </c>
      <c r="H120">
        <v>0</v>
      </c>
      <c r="I120">
        <v>1</v>
      </c>
      <c r="J120">
        <v>2</v>
      </c>
      <c r="K120">
        <v>3</v>
      </c>
      <c r="L120">
        <v>0</v>
      </c>
      <c r="M120">
        <v>0</v>
      </c>
      <c r="N120">
        <v>0</v>
      </c>
      <c r="O120">
        <v>3</v>
      </c>
      <c r="P120">
        <v>252</v>
      </c>
    </row>
    <row r="121" spans="1:16" x14ac:dyDescent="0.25">
      <c r="A121" s="1">
        <v>43890.708333333336</v>
      </c>
      <c r="B121" s="2" t="s">
        <v>12</v>
      </c>
      <c r="C121">
        <v>20</v>
      </c>
      <c r="D121" s="2" t="s">
        <v>52</v>
      </c>
      <c r="E121">
        <v>3921531192</v>
      </c>
      <c r="F121">
        <v>9110616306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 x14ac:dyDescent="0.25">
      <c r="A122" s="1">
        <v>43890.708333333336</v>
      </c>
      <c r="B122" s="2" t="s">
        <v>12</v>
      </c>
      <c r="C122">
        <v>19</v>
      </c>
      <c r="D122" s="2" t="s">
        <v>53</v>
      </c>
      <c r="E122">
        <v>3811569725</v>
      </c>
      <c r="F122">
        <v>133623567</v>
      </c>
      <c r="G122">
        <v>1</v>
      </c>
      <c r="H122">
        <v>0</v>
      </c>
      <c r="I122">
        <v>1</v>
      </c>
      <c r="J122">
        <v>1</v>
      </c>
      <c r="K122">
        <v>2</v>
      </c>
      <c r="L122">
        <v>0</v>
      </c>
      <c r="M122">
        <v>2</v>
      </c>
      <c r="N122">
        <v>0</v>
      </c>
      <c r="O122">
        <v>4</v>
      </c>
      <c r="P122">
        <v>6</v>
      </c>
    </row>
    <row r="123" spans="1:16" x14ac:dyDescent="0.25">
      <c r="A123" s="1">
        <v>43890.708333333336</v>
      </c>
      <c r="B123" s="2" t="s">
        <v>12</v>
      </c>
      <c r="C123">
        <v>9</v>
      </c>
      <c r="D123" s="2" t="s">
        <v>54</v>
      </c>
      <c r="E123">
        <v>4376923077</v>
      </c>
      <c r="F123">
        <v>1125588885</v>
      </c>
      <c r="G123">
        <v>7</v>
      </c>
      <c r="H123">
        <v>0</v>
      </c>
      <c r="I123">
        <v>7</v>
      </c>
      <c r="J123">
        <v>3</v>
      </c>
      <c r="K123">
        <v>10</v>
      </c>
      <c r="L123">
        <v>3</v>
      </c>
      <c r="M123">
        <v>1</v>
      </c>
      <c r="N123">
        <v>0</v>
      </c>
      <c r="O123">
        <v>11</v>
      </c>
      <c r="P123">
        <v>531</v>
      </c>
    </row>
    <row r="124" spans="1:16" x14ac:dyDescent="0.25">
      <c r="A124" s="1">
        <v>43890.708333333336</v>
      </c>
      <c r="B124" s="2" t="s">
        <v>12</v>
      </c>
      <c r="C124">
        <v>4</v>
      </c>
      <c r="D124" s="2" t="s">
        <v>55</v>
      </c>
      <c r="E124">
        <v>4606893511</v>
      </c>
      <c r="F124">
        <v>1112123097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43</v>
      </c>
    </row>
    <row r="125" spans="1:16" x14ac:dyDescent="0.25">
      <c r="A125" s="1">
        <v>43890.708333333336</v>
      </c>
      <c r="B125" s="2" t="s">
        <v>12</v>
      </c>
      <c r="C125">
        <v>10</v>
      </c>
      <c r="D125" s="2" t="s">
        <v>56</v>
      </c>
      <c r="E125">
        <v>4310675841</v>
      </c>
      <c r="F125">
        <v>1238824698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31</v>
      </c>
    </row>
    <row r="126" spans="1:16" x14ac:dyDescent="0.25">
      <c r="A126" s="1">
        <v>43890.708333333336</v>
      </c>
      <c r="B126" s="2" t="s">
        <v>12</v>
      </c>
      <c r="C126">
        <v>2</v>
      </c>
      <c r="D126" s="2" t="s">
        <v>57</v>
      </c>
      <c r="E126">
        <v>4573750286</v>
      </c>
      <c r="F126">
        <v>7320149366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9</v>
      </c>
    </row>
    <row r="127" spans="1:16" x14ac:dyDescent="0.25">
      <c r="A127" s="1">
        <v>43890.708333333336</v>
      </c>
      <c r="B127" s="2" t="s">
        <v>12</v>
      </c>
      <c r="C127">
        <v>5</v>
      </c>
      <c r="D127" s="2" t="s">
        <v>58</v>
      </c>
      <c r="E127">
        <v>4543490485</v>
      </c>
      <c r="F127">
        <v>1233845213</v>
      </c>
      <c r="G127">
        <v>24</v>
      </c>
      <c r="H127">
        <v>11</v>
      </c>
      <c r="I127">
        <v>35</v>
      </c>
      <c r="J127">
        <v>154</v>
      </c>
      <c r="K127">
        <v>189</v>
      </c>
      <c r="L127">
        <v>40</v>
      </c>
      <c r="M127">
        <v>0</v>
      </c>
      <c r="N127">
        <v>2</v>
      </c>
      <c r="O127">
        <v>191</v>
      </c>
      <c r="P127">
        <v>8659</v>
      </c>
    </row>
    <row r="128" spans="1:16" x14ac:dyDescent="0.25">
      <c r="A128" s="1">
        <v>43891.708333333336</v>
      </c>
      <c r="B128" s="2" t="s">
        <v>12</v>
      </c>
      <c r="C128">
        <v>13</v>
      </c>
      <c r="D128" s="2" t="s">
        <v>38</v>
      </c>
      <c r="E128">
        <v>4235122196</v>
      </c>
      <c r="F128">
        <v>1339843823</v>
      </c>
      <c r="G128">
        <v>3</v>
      </c>
      <c r="H128">
        <v>0</v>
      </c>
      <c r="I128">
        <v>3</v>
      </c>
      <c r="J128">
        <v>2</v>
      </c>
      <c r="K128">
        <v>5</v>
      </c>
      <c r="L128">
        <v>3</v>
      </c>
      <c r="M128">
        <v>0</v>
      </c>
      <c r="N128">
        <v>0</v>
      </c>
      <c r="O128">
        <v>5</v>
      </c>
      <c r="P128">
        <v>52</v>
      </c>
    </row>
    <row r="129" spans="1:16" x14ac:dyDescent="0.25">
      <c r="A129" s="1">
        <v>43891.708333333336</v>
      </c>
      <c r="B129" s="2" t="s">
        <v>12</v>
      </c>
      <c r="C129">
        <v>17</v>
      </c>
      <c r="D129" s="2" t="s">
        <v>39</v>
      </c>
      <c r="E129">
        <v>4063947052</v>
      </c>
      <c r="F129">
        <v>1580514834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39</v>
      </c>
    </row>
    <row r="130" spans="1:16" x14ac:dyDescent="0.25">
      <c r="A130" s="1">
        <v>43891.708333333336</v>
      </c>
      <c r="B130" s="2" t="s">
        <v>12</v>
      </c>
      <c r="C130">
        <v>4</v>
      </c>
      <c r="D130" s="2" t="s">
        <v>40</v>
      </c>
      <c r="E130">
        <v>4649933453</v>
      </c>
      <c r="F130">
        <v>1135662422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20</v>
      </c>
    </row>
    <row r="131" spans="1:16" x14ac:dyDescent="0.25">
      <c r="A131" s="1">
        <v>43891.708333333336</v>
      </c>
      <c r="B131" s="2" t="s">
        <v>12</v>
      </c>
      <c r="C131">
        <v>18</v>
      </c>
      <c r="D131" s="2" t="s">
        <v>41</v>
      </c>
      <c r="E131">
        <v>3890597598</v>
      </c>
      <c r="F131">
        <v>1659440194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35</v>
      </c>
    </row>
    <row r="132" spans="1:16" x14ac:dyDescent="0.25">
      <c r="A132" s="1">
        <v>43891.708333333336</v>
      </c>
      <c r="B132" s="2" t="s">
        <v>12</v>
      </c>
      <c r="C132">
        <v>15</v>
      </c>
      <c r="D132" s="2" t="s">
        <v>42</v>
      </c>
      <c r="E132">
        <v>4083956555</v>
      </c>
      <c r="F132">
        <v>1425084984</v>
      </c>
      <c r="G132">
        <v>4</v>
      </c>
      <c r="H132">
        <v>0</v>
      </c>
      <c r="I132">
        <v>4</v>
      </c>
      <c r="J132">
        <v>13</v>
      </c>
      <c r="K132">
        <v>17</v>
      </c>
      <c r="L132">
        <v>4</v>
      </c>
      <c r="M132">
        <v>0</v>
      </c>
      <c r="N132">
        <v>0</v>
      </c>
      <c r="O132">
        <v>17</v>
      </c>
      <c r="P132">
        <v>373</v>
      </c>
    </row>
    <row r="133" spans="1:16" x14ac:dyDescent="0.25">
      <c r="A133" s="1">
        <v>43891.708333333336</v>
      </c>
      <c r="B133" s="2" t="s">
        <v>12</v>
      </c>
      <c r="C133">
        <v>8</v>
      </c>
      <c r="D133" s="2" t="s">
        <v>43</v>
      </c>
      <c r="E133">
        <v>4449436681</v>
      </c>
      <c r="F133">
        <v>113417208</v>
      </c>
      <c r="G133">
        <v>127</v>
      </c>
      <c r="H133">
        <v>13</v>
      </c>
      <c r="I133">
        <v>140</v>
      </c>
      <c r="J133">
        <v>137</v>
      </c>
      <c r="K133">
        <v>277</v>
      </c>
      <c r="L133">
        <v>64</v>
      </c>
      <c r="M133">
        <v>0</v>
      </c>
      <c r="N133">
        <v>8</v>
      </c>
      <c r="O133">
        <v>285</v>
      </c>
      <c r="P133">
        <v>1795</v>
      </c>
    </row>
    <row r="134" spans="1:16" x14ac:dyDescent="0.25">
      <c r="A134" s="1">
        <v>43891.708333333336</v>
      </c>
      <c r="B134" s="2" t="s">
        <v>12</v>
      </c>
      <c r="C134">
        <v>6</v>
      </c>
      <c r="D134" s="2" t="s">
        <v>44</v>
      </c>
      <c r="E134">
        <v>456494354</v>
      </c>
      <c r="F134">
        <v>1376813649</v>
      </c>
      <c r="G134">
        <v>0</v>
      </c>
      <c r="H134">
        <v>0</v>
      </c>
      <c r="I134">
        <v>0</v>
      </c>
      <c r="J134">
        <v>6</v>
      </c>
      <c r="K134">
        <v>6</v>
      </c>
      <c r="L134">
        <v>6</v>
      </c>
      <c r="M134">
        <v>0</v>
      </c>
      <c r="N134">
        <v>0</v>
      </c>
      <c r="O134">
        <v>6</v>
      </c>
      <c r="P134">
        <v>243</v>
      </c>
    </row>
    <row r="135" spans="1:16" x14ac:dyDescent="0.25">
      <c r="A135" s="1">
        <v>43891.708333333336</v>
      </c>
      <c r="B135" s="2" t="s">
        <v>12</v>
      </c>
      <c r="C135">
        <v>12</v>
      </c>
      <c r="D135" s="2" t="s">
        <v>45</v>
      </c>
      <c r="E135">
        <v>4189277044</v>
      </c>
      <c r="F135">
        <v>1248366722</v>
      </c>
      <c r="G135">
        <v>3</v>
      </c>
      <c r="H135">
        <v>0</v>
      </c>
      <c r="I135">
        <v>3</v>
      </c>
      <c r="J135">
        <v>0</v>
      </c>
      <c r="K135">
        <v>3</v>
      </c>
      <c r="L135">
        <v>0</v>
      </c>
      <c r="M135">
        <v>3</v>
      </c>
      <c r="N135">
        <v>0</v>
      </c>
      <c r="O135">
        <v>6</v>
      </c>
      <c r="P135">
        <v>724</v>
      </c>
    </row>
    <row r="136" spans="1:16" x14ac:dyDescent="0.25">
      <c r="A136" s="1">
        <v>43891.708333333336</v>
      </c>
      <c r="B136" s="2" t="s">
        <v>12</v>
      </c>
      <c r="C136">
        <v>7</v>
      </c>
      <c r="D136" s="2" t="s">
        <v>46</v>
      </c>
      <c r="E136">
        <v>4441149315</v>
      </c>
      <c r="F136">
        <v>89326992</v>
      </c>
      <c r="G136">
        <v>12</v>
      </c>
      <c r="H136">
        <v>1</v>
      </c>
      <c r="I136">
        <v>13</v>
      </c>
      <c r="J136">
        <v>8</v>
      </c>
      <c r="K136">
        <v>21</v>
      </c>
      <c r="L136">
        <v>-17</v>
      </c>
      <c r="M136">
        <v>4</v>
      </c>
      <c r="N136">
        <v>0</v>
      </c>
      <c r="O136">
        <v>25</v>
      </c>
      <c r="P136">
        <v>121</v>
      </c>
    </row>
    <row r="137" spans="1:16" x14ac:dyDescent="0.25">
      <c r="A137" s="1">
        <v>43891.708333333336</v>
      </c>
      <c r="B137" s="2" t="s">
        <v>12</v>
      </c>
      <c r="C137">
        <v>3</v>
      </c>
      <c r="D137" s="2" t="s">
        <v>47</v>
      </c>
      <c r="E137">
        <v>4546679409</v>
      </c>
      <c r="F137">
        <v>9190347404</v>
      </c>
      <c r="G137">
        <v>406</v>
      </c>
      <c r="H137">
        <v>106</v>
      </c>
      <c r="I137">
        <v>512</v>
      </c>
      <c r="J137">
        <v>375</v>
      </c>
      <c r="K137">
        <v>887</v>
      </c>
      <c r="L137">
        <v>335</v>
      </c>
      <c r="M137">
        <v>73</v>
      </c>
      <c r="N137">
        <v>24</v>
      </c>
      <c r="O137">
        <v>984</v>
      </c>
      <c r="P137">
        <v>6879</v>
      </c>
    </row>
    <row r="138" spans="1:16" x14ac:dyDescent="0.25">
      <c r="A138" s="1">
        <v>43891.708333333336</v>
      </c>
      <c r="B138" s="2" t="s">
        <v>12</v>
      </c>
      <c r="C138">
        <v>11</v>
      </c>
      <c r="D138" s="2" t="s">
        <v>48</v>
      </c>
      <c r="E138">
        <v>4361675973</v>
      </c>
      <c r="F138">
        <v>135188753</v>
      </c>
      <c r="G138">
        <v>12</v>
      </c>
      <c r="H138">
        <v>5</v>
      </c>
      <c r="I138">
        <v>17</v>
      </c>
      <c r="J138">
        <v>8</v>
      </c>
      <c r="K138">
        <v>25</v>
      </c>
      <c r="L138">
        <v>14</v>
      </c>
      <c r="M138">
        <v>0</v>
      </c>
      <c r="N138">
        <v>0</v>
      </c>
      <c r="O138">
        <v>25</v>
      </c>
      <c r="P138">
        <v>101</v>
      </c>
    </row>
    <row r="139" spans="1:16" x14ac:dyDescent="0.25">
      <c r="A139" s="1">
        <v>43891.708333333336</v>
      </c>
      <c r="B139" s="2" t="s">
        <v>12</v>
      </c>
      <c r="C139">
        <v>14</v>
      </c>
      <c r="D139" s="2" t="s">
        <v>49</v>
      </c>
      <c r="E139">
        <v>4155774754</v>
      </c>
      <c r="F139">
        <v>1465916051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</v>
      </c>
    </row>
    <row r="140" spans="1:16" x14ac:dyDescent="0.25">
      <c r="A140" s="1">
        <v>43891.708333333336</v>
      </c>
      <c r="B140" s="2" t="s">
        <v>12</v>
      </c>
      <c r="C140">
        <v>1</v>
      </c>
      <c r="D140" s="2" t="s">
        <v>50</v>
      </c>
      <c r="E140">
        <v>450732745</v>
      </c>
      <c r="F140">
        <v>7680687483</v>
      </c>
      <c r="G140">
        <v>11</v>
      </c>
      <c r="H140">
        <v>2</v>
      </c>
      <c r="I140">
        <v>13</v>
      </c>
      <c r="J140">
        <v>36</v>
      </c>
      <c r="K140">
        <v>49</v>
      </c>
      <c r="L140">
        <v>38</v>
      </c>
      <c r="M140">
        <v>0</v>
      </c>
      <c r="N140">
        <v>0</v>
      </c>
      <c r="O140">
        <v>49</v>
      </c>
      <c r="P140">
        <v>362</v>
      </c>
    </row>
    <row r="141" spans="1:16" x14ac:dyDescent="0.25">
      <c r="A141" s="1">
        <v>43891.708333333336</v>
      </c>
      <c r="B141" s="2" t="s">
        <v>12</v>
      </c>
      <c r="C141">
        <v>16</v>
      </c>
      <c r="D141" s="2" t="s">
        <v>51</v>
      </c>
      <c r="E141">
        <v>4112559576</v>
      </c>
      <c r="F141">
        <v>1686736689</v>
      </c>
      <c r="G141">
        <v>1</v>
      </c>
      <c r="H141">
        <v>0</v>
      </c>
      <c r="I141">
        <v>1</v>
      </c>
      <c r="J141">
        <v>2</v>
      </c>
      <c r="K141">
        <v>3</v>
      </c>
      <c r="L141">
        <v>0</v>
      </c>
      <c r="M141">
        <v>0</v>
      </c>
      <c r="N141">
        <v>0</v>
      </c>
      <c r="O141">
        <v>3</v>
      </c>
      <c r="P141">
        <v>262</v>
      </c>
    </row>
    <row r="142" spans="1:16" x14ac:dyDescent="0.25">
      <c r="A142" s="1">
        <v>43891.708333333336</v>
      </c>
      <c r="B142" s="2" t="s">
        <v>12</v>
      </c>
      <c r="C142">
        <v>20</v>
      </c>
      <c r="D142" s="2" t="s">
        <v>52</v>
      </c>
      <c r="E142">
        <v>3921531192</v>
      </c>
      <c r="F142">
        <v>9110616306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29</v>
      </c>
    </row>
    <row r="143" spans="1:16" x14ac:dyDescent="0.25">
      <c r="A143" s="1">
        <v>43891.708333333336</v>
      </c>
      <c r="B143" s="2" t="s">
        <v>12</v>
      </c>
      <c r="C143">
        <v>19</v>
      </c>
      <c r="D143" s="2" t="s">
        <v>53</v>
      </c>
      <c r="E143">
        <v>3811569725</v>
      </c>
      <c r="F143">
        <v>133623567</v>
      </c>
      <c r="G143">
        <v>1</v>
      </c>
      <c r="H143">
        <v>0</v>
      </c>
      <c r="I143">
        <v>1</v>
      </c>
      <c r="J143">
        <v>6</v>
      </c>
      <c r="K143">
        <v>7</v>
      </c>
      <c r="L143">
        <v>5</v>
      </c>
      <c r="M143">
        <v>2</v>
      </c>
      <c r="N143">
        <v>0</v>
      </c>
      <c r="O143">
        <v>9</v>
      </c>
      <c r="P143">
        <v>291</v>
      </c>
    </row>
    <row r="144" spans="1:16" x14ac:dyDescent="0.25">
      <c r="A144" s="1">
        <v>43891.708333333336</v>
      </c>
      <c r="B144" s="2" t="s">
        <v>12</v>
      </c>
      <c r="C144">
        <v>9</v>
      </c>
      <c r="D144" s="2" t="s">
        <v>54</v>
      </c>
      <c r="E144">
        <v>4376923077</v>
      </c>
      <c r="F144">
        <v>1125588885</v>
      </c>
      <c r="G144">
        <v>7</v>
      </c>
      <c r="H144">
        <v>0</v>
      </c>
      <c r="I144">
        <v>7</v>
      </c>
      <c r="J144">
        <v>5</v>
      </c>
      <c r="K144">
        <v>12</v>
      </c>
      <c r="L144">
        <v>2</v>
      </c>
      <c r="M144">
        <v>1</v>
      </c>
      <c r="N144">
        <v>0</v>
      </c>
      <c r="O144">
        <v>13</v>
      </c>
      <c r="P144">
        <v>572</v>
      </c>
    </row>
    <row r="145" spans="1:16" x14ac:dyDescent="0.25">
      <c r="A145" s="1">
        <v>43891.708333333336</v>
      </c>
      <c r="B145" s="2" t="s">
        <v>12</v>
      </c>
      <c r="C145">
        <v>4</v>
      </c>
      <c r="D145" s="2" t="s">
        <v>55</v>
      </c>
      <c r="E145">
        <v>4606893511</v>
      </c>
      <c r="F145">
        <v>1112123097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122</v>
      </c>
    </row>
    <row r="146" spans="1:16" x14ac:dyDescent="0.25">
      <c r="A146" s="1">
        <v>43891.708333333336</v>
      </c>
      <c r="B146" s="2" t="s">
        <v>12</v>
      </c>
      <c r="C146">
        <v>10</v>
      </c>
      <c r="D146" s="2" t="s">
        <v>56</v>
      </c>
      <c r="E146">
        <v>4310675841</v>
      </c>
      <c r="F146">
        <v>1238824698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2</v>
      </c>
      <c r="M146">
        <v>0</v>
      </c>
      <c r="N146">
        <v>0</v>
      </c>
      <c r="O146">
        <v>2</v>
      </c>
      <c r="P146">
        <v>35</v>
      </c>
    </row>
    <row r="147" spans="1:16" x14ac:dyDescent="0.25">
      <c r="A147" s="1">
        <v>43891.708333333336</v>
      </c>
      <c r="B147" s="2" t="s">
        <v>12</v>
      </c>
      <c r="C147">
        <v>2</v>
      </c>
      <c r="D147" s="2" t="s">
        <v>57</v>
      </c>
      <c r="E147">
        <v>4573750286</v>
      </c>
      <c r="F147">
        <v>7320149366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10</v>
      </c>
    </row>
    <row r="148" spans="1:16" x14ac:dyDescent="0.25">
      <c r="A148" s="1">
        <v>43891.708333333336</v>
      </c>
      <c r="B148" s="2" t="s">
        <v>12</v>
      </c>
      <c r="C148">
        <v>5</v>
      </c>
      <c r="D148" s="2" t="s">
        <v>58</v>
      </c>
      <c r="E148">
        <v>4543490485</v>
      </c>
      <c r="F148">
        <v>1233845213</v>
      </c>
      <c r="G148">
        <v>51</v>
      </c>
      <c r="H148">
        <v>13</v>
      </c>
      <c r="I148">
        <v>64</v>
      </c>
      <c r="J148">
        <v>197</v>
      </c>
      <c r="K148">
        <v>261</v>
      </c>
      <c r="L148">
        <v>72</v>
      </c>
      <c r="M148">
        <v>0</v>
      </c>
      <c r="N148">
        <v>2</v>
      </c>
      <c r="O148">
        <v>263</v>
      </c>
      <c r="P148">
        <v>9056</v>
      </c>
    </row>
    <row r="149" spans="1:16" x14ac:dyDescent="0.25">
      <c r="A149" s="1">
        <v>43892.75</v>
      </c>
      <c r="B149" s="2" t="s">
        <v>12</v>
      </c>
      <c r="C149">
        <v>13</v>
      </c>
      <c r="D149" s="2" t="s">
        <v>38</v>
      </c>
      <c r="E149">
        <v>4235122196</v>
      </c>
      <c r="F149">
        <v>1339843823</v>
      </c>
      <c r="G149">
        <v>3</v>
      </c>
      <c r="H149">
        <v>0</v>
      </c>
      <c r="I149">
        <v>3</v>
      </c>
      <c r="J149">
        <v>2</v>
      </c>
      <c r="K149">
        <v>5</v>
      </c>
      <c r="L149">
        <v>0</v>
      </c>
      <c r="M149">
        <v>0</v>
      </c>
      <c r="N149">
        <v>0</v>
      </c>
      <c r="O149">
        <v>5</v>
      </c>
      <c r="P149">
        <v>52</v>
      </c>
    </row>
    <row r="150" spans="1:16" x14ac:dyDescent="0.25">
      <c r="A150" s="1">
        <v>43892.75</v>
      </c>
      <c r="B150" s="2" t="s">
        <v>12</v>
      </c>
      <c r="C150">
        <v>17</v>
      </c>
      <c r="D150" s="2" t="s">
        <v>39</v>
      </c>
      <c r="E150">
        <v>4063947052</v>
      </c>
      <c r="F150">
        <v>1580514834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39</v>
      </c>
    </row>
    <row r="151" spans="1:16" x14ac:dyDescent="0.25">
      <c r="A151" s="1">
        <v>43892.75</v>
      </c>
      <c r="B151" s="2" t="s">
        <v>12</v>
      </c>
      <c r="C151">
        <v>4</v>
      </c>
      <c r="D151" s="2" t="s">
        <v>40</v>
      </c>
      <c r="E151">
        <v>4649933453</v>
      </c>
      <c r="F151">
        <v>1135662422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20</v>
      </c>
    </row>
    <row r="152" spans="1:16" x14ac:dyDescent="0.25">
      <c r="A152" s="1">
        <v>43892.75</v>
      </c>
      <c r="B152" s="2" t="s">
        <v>12</v>
      </c>
      <c r="C152">
        <v>18</v>
      </c>
      <c r="D152" s="2" t="s">
        <v>41</v>
      </c>
      <c r="E152">
        <v>3890597598</v>
      </c>
      <c r="F152">
        <v>1659440194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39</v>
      </c>
    </row>
    <row r="153" spans="1:16" x14ac:dyDescent="0.25">
      <c r="A153" s="1">
        <v>43892.75</v>
      </c>
      <c r="B153" s="2" t="s">
        <v>12</v>
      </c>
      <c r="C153">
        <v>15</v>
      </c>
      <c r="D153" s="2" t="s">
        <v>42</v>
      </c>
      <c r="E153">
        <v>4083956555</v>
      </c>
      <c r="F153">
        <v>1425084984</v>
      </c>
      <c r="G153">
        <v>4</v>
      </c>
      <c r="H153">
        <v>0</v>
      </c>
      <c r="I153">
        <v>4</v>
      </c>
      <c r="J153">
        <v>13</v>
      </c>
      <c r="K153">
        <v>17</v>
      </c>
      <c r="L153">
        <v>0</v>
      </c>
      <c r="M153">
        <v>0</v>
      </c>
      <c r="N153">
        <v>0</v>
      </c>
      <c r="O153">
        <v>17</v>
      </c>
      <c r="P153">
        <v>373</v>
      </c>
    </row>
    <row r="154" spans="1:16" x14ac:dyDescent="0.25">
      <c r="A154" s="1">
        <v>43892.75</v>
      </c>
      <c r="B154" s="2" t="s">
        <v>12</v>
      </c>
      <c r="C154">
        <v>8</v>
      </c>
      <c r="D154" s="2" t="s">
        <v>43</v>
      </c>
      <c r="E154">
        <v>4449436681</v>
      </c>
      <c r="F154">
        <v>113417208</v>
      </c>
      <c r="G154">
        <v>148</v>
      </c>
      <c r="H154">
        <v>16</v>
      </c>
      <c r="I154">
        <v>164</v>
      </c>
      <c r="J154">
        <v>160</v>
      </c>
      <c r="K154">
        <v>324</v>
      </c>
      <c r="L154">
        <v>47</v>
      </c>
      <c r="M154">
        <v>0</v>
      </c>
      <c r="N154">
        <v>11</v>
      </c>
      <c r="O154">
        <v>335</v>
      </c>
      <c r="P154">
        <v>1973</v>
      </c>
    </row>
    <row r="155" spans="1:16" x14ac:dyDescent="0.25">
      <c r="A155" s="1">
        <v>43892.75</v>
      </c>
      <c r="B155" s="2" t="s">
        <v>12</v>
      </c>
      <c r="C155">
        <v>6</v>
      </c>
      <c r="D155" s="2" t="s">
        <v>44</v>
      </c>
      <c r="E155">
        <v>456494354</v>
      </c>
      <c r="F155">
        <v>1376813649</v>
      </c>
      <c r="G155">
        <v>0</v>
      </c>
      <c r="H155">
        <v>0</v>
      </c>
      <c r="I155">
        <v>0</v>
      </c>
      <c r="J155">
        <v>9</v>
      </c>
      <c r="K155">
        <v>9</v>
      </c>
      <c r="L155">
        <v>3</v>
      </c>
      <c r="M155">
        <v>0</v>
      </c>
      <c r="N155">
        <v>0</v>
      </c>
      <c r="O155">
        <v>9</v>
      </c>
      <c r="P155">
        <v>269</v>
      </c>
    </row>
    <row r="156" spans="1:16" x14ac:dyDescent="0.25">
      <c r="A156" s="1">
        <v>43892.75</v>
      </c>
      <c r="B156" s="2" t="s">
        <v>12</v>
      </c>
      <c r="C156">
        <v>12</v>
      </c>
      <c r="D156" s="2" t="s">
        <v>45</v>
      </c>
      <c r="E156">
        <v>4189277044</v>
      </c>
      <c r="F156">
        <v>1248366722</v>
      </c>
      <c r="G156">
        <v>3</v>
      </c>
      <c r="H156">
        <v>0</v>
      </c>
      <c r="I156">
        <v>3</v>
      </c>
      <c r="J156">
        <v>1</v>
      </c>
      <c r="K156">
        <v>4</v>
      </c>
      <c r="L156">
        <v>1</v>
      </c>
      <c r="M156">
        <v>3</v>
      </c>
      <c r="N156">
        <v>0</v>
      </c>
      <c r="O156">
        <v>7</v>
      </c>
      <c r="P156">
        <v>773</v>
      </c>
    </row>
    <row r="157" spans="1:16" x14ac:dyDescent="0.25">
      <c r="A157" s="1">
        <v>43892.75</v>
      </c>
      <c r="B157" s="2" t="s">
        <v>12</v>
      </c>
      <c r="C157">
        <v>7</v>
      </c>
      <c r="D157" s="2" t="s">
        <v>46</v>
      </c>
      <c r="E157">
        <v>4441149315</v>
      </c>
      <c r="F157">
        <v>89326992</v>
      </c>
      <c r="G157">
        <v>12</v>
      </c>
      <c r="H157">
        <v>1</v>
      </c>
      <c r="I157">
        <v>13</v>
      </c>
      <c r="J157">
        <v>5</v>
      </c>
      <c r="K157">
        <v>18</v>
      </c>
      <c r="L157">
        <v>-3</v>
      </c>
      <c r="M157">
        <v>4</v>
      </c>
      <c r="N157">
        <v>0</v>
      </c>
      <c r="O157">
        <v>22</v>
      </c>
      <c r="P157">
        <v>121</v>
      </c>
    </row>
    <row r="158" spans="1:16" x14ac:dyDescent="0.25">
      <c r="A158" s="1">
        <v>43892.75</v>
      </c>
      <c r="B158" s="2" t="s">
        <v>12</v>
      </c>
      <c r="C158">
        <v>3</v>
      </c>
      <c r="D158" s="2" t="s">
        <v>47</v>
      </c>
      <c r="E158">
        <v>4546679409</v>
      </c>
      <c r="F158">
        <v>9190347404</v>
      </c>
      <c r="G158">
        <v>478</v>
      </c>
      <c r="H158">
        <v>127</v>
      </c>
      <c r="I158">
        <v>605</v>
      </c>
      <c r="J158">
        <v>472</v>
      </c>
      <c r="K158">
        <v>1077</v>
      </c>
      <c r="L158">
        <v>190</v>
      </c>
      <c r="M158">
        <v>139</v>
      </c>
      <c r="N158">
        <v>38</v>
      </c>
      <c r="O158">
        <v>1254</v>
      </c>
      <c r="P158">
        <v>7925</v>
      </c>
    </row>
    <row r="159" spans="1:16" x14ac:dyDescent="0.25">
      <c r="A159" s="1">
        <v>43892.75</v>
      </c>
      <c r="B159" s="2" t="s">
        <v>12</v>
      </c>
      <c r="C159">
        <v>11</v>
      </c>
      <c r="D159" s="2" t="s">
        <v>48</v>
      </c>
      <c r="E159">
        <v>4361675973</v>
      </c>
      <c r="F159">
        <v>135188753</v>
      </c>
      <c r="G159">
        <v>17</v>
      </c>
      <c r="H159">
        <v>6</v>
      </c>
      <c r="I159">
        <v>23</v>
      </c>
      <c r="J159">
        <v>11</v>
      </c>
      <c r="K159">
        <v>34</v>
      </c>
      <c r="L159">
        <v>9</v>
      </c>
      <c r="M159">
        <v>0</v>
      </c>
      <c r="N159">
        <v>1</v>
      </c>
      <c r="O159">
        <v>35</v>
      </c>
      <c r="P159">
        <v>137</v>
      </c>
    </row>
    <row r="160" spans="1:16" x14ac:dyDescent="0.25">
      <c r="A160" s="1">
        <v>43892.75</v>
      </c>
      <c r="B160" s="2" t="s">
        <v>12</v>
      </c>
      <c r="C160">
        <v>14</v>
      </c>
      <c r="D160" s="2" t="s">
        <v>49</v>
      </c>
      <c r="E160">
        <v>4155774754</v>
      </c>
      <c r="F160">
        <v>1465916051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13</v>
      </c>
    </row>
    <row r="161" spans="1:16" x14ac:dyDescent="0.25">
      <c r="A161" s="1">
        <v>43892.75</v>
      </c>
      <c r="B161" s="2" t="s">
        <v>12</v>
      </c>
      <c r="C161">
        <v>1</v>
      </c>
      <c r="D161" s="2" t="s">
        <v>50</v>
      </c>
      <c r="E161">
        <v>450732745</v>
      </c>
      <c r="F161">
        <v>7680687483</v>
      </c>
      <c r="G161">
        <v>12</v>
      </c>
      <c r="H161">
        <v>2</v>
      </c>
      <c r="I161">
        <v>14</v>
      </c>
      <c r="J161">
        <v>37</v>
      </c>
      <c r="K161">
        <v>51</v>
      </c>
      <c r="L161">
        <v>2</v>
      </c>
      <c r="M161">
        <v>0</v>
      </c>
      <c r="N161">
        <v>0</v>
      </c>
      <c r="O161">
        <v>51</v>
      </c>
      <c r="P161">
        <v>434</v>
      </c>
    </row>
    <row r="162" spans="1:16" x14ac:dyDescent="0.25">
      <c r="A162" s="1">
        <v>43892.75</v>
      </c>
      <c r="B162" s="2" t="s">
        <v>12</v>
      </c>
      <c r="C162">
        <v>16</v>
      </c>
      <c r="D162" s="2" t="s">
        <v>51</v>
      </c>
      <c r="E162">
        <v>4112559576</v>
      </c>
      <c r="F162">
        <v>1686736689</v>
      </c>
      <c r="G162">
        <v>2</v>
      </c>
      <c r="H162">
        <v>0</v>
      </c>
      <c r="I162">
        <v>2</v>
      </c>
      <c r="J162">
        <v>2</v>
      </c>
      <c r="K162">
        <v>4</v>
      </c>
      <c r="L162">
        <v>1</v>
      </c>
      <c r="M162">
        <v>0</v>
      </c>
      <c r="N162">
        <v>0</v>
      </c>
      <c r="O162">
        <v>4</v>
      </c>
      <c r="P162">
        <v>278</v>
      </c>
    </row>
    <row r="163" spans="1:16" x14ac:dyDescent="0.25">
      <c r="A163" s="1">
        <v>43892.75</v>
      </c>
      <c r="B163" s="2" t="s">
        <v>12</v>
      </c>
      <c r="C163">
        <v>20</v>
      </c>
      <c r="D163" s="2" t="s">
        <v>52</v>
      </c>
      <c r="E163">
        <v>3921531192</v>
      </c>
      <c r="F163">
        <v>9110616306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29</v>
      </c>
    </row>
    <row r="164" spans="1:16" x14ac:dyDescent="0.25">
      <c r="A164" s="1">
        <v>43892.75</v>
      </c>
      <c r="B164" s="2" t="s">
        <v>12</v>
      </c>
      <c r="C164">
        <v>19</v>
      </c>
      <c r="D164" s="2" t="s">
        <v>53</v>
      </c>
      <c r="E164">
        <v>3811569725</v>
      </c>
      <c r="F164">
        <v>133623567</v>
      </c>
      <c r="G164">
        <v>2</v>
      </c>
      <c r="H164">
        <v>0</v>
      </c>
      <c r="I164">
        <v>2</v>
      </c>
      <c r="J164">
        <v>3</v>
      </c>
      <c r="K164">
        <v>5</v>
      </c>
      <c r="L164">
        <v>-2</v>
      </c>
      <c r="M164">
        <v>2</v>
      </c>
      <c r="N164">
        <v>0</v>
      </c>
      <c r="O164">
        <v>7</v>
      </c>
      <c r="P164">
        <v>307</v>
      </c>
    </row>
    <row r="165" spans="1:16" x14ac:dyDescent="0.25">
      <c r="A165" s="1">
        <v>43892.75</v>
      </c>
      <c r="B165" s="2" t="s">
        <v>12</v>
      </c>
      <c r="C165">
        <v>9</v>
      </c>
      <c r="D165" s="2" t="s">
        <v>54</v>
      </c>
      <c r="E165">
        <v>4376923077</v>
      </c>
      <c r="F165">
        <v>1125588885</v>
      </c>
      <c r="G165">
        <v>7</v>
      </c>
      <c r="H165">
        <v>0</v>
      </c>
      <c r="I165">
        <v>7</v>
      </c>
      <c r="J165">
        <v>5</v>
      </c>
      <c r="K165">
        <v>12</v>
      </c>
      <c r="L165">
        <v>0</v>
      </c>
      <c r="M165">
        <v>1</v>
      </c>
      <c r="N165">
        <v>0</v>
      </c>
      <c r="O165">
        <v>13</v>
      </c>
      <c r="P165">
        <v>613</v>
      </c>
    </row>
    <row r="166" spans="1:16" x14ac:dyDescent="0.25">
      <c r="A166" s="1">
        <v>43892.75</v>
      </c>
      <c r="B166" s="2" t="s">
        <v>12</v>
      </c>
      <c r="C166">
        <v>4</v>
      </c>
      <c r="D166" s="2" t="s">
        <v>55</v>
      </c>
      <c r="E166">
        <v>4606893511</v>
      </c>
      <c r="F166">
        <v>1112123097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122</v>
      </c>
    </row>
    <row r="167" spans="1:16" x14ac:dyDescent="0.25">
      <c r="A167" s="1">
        <v>43892.75</v>
      </c>
      <c r="B167" s="2" t="s">
        <v>12</v>
      </c>
      <c r="C167">
        <v>10</v>
      </c>
      <c r="D167" s="2" t="s">
        <v>56</v>
      </c>
      <c r="E167">
        <v>4310675841</v>
      </c>
      <c r="F167">
        <v>1238824698</v>
      </c>
      <c r="G167">
        <v>0</v>
      </c>
      <c r="H167">
        <v>0</v>
      </c>
      <c r="I167">
        <v>0</v>
      </c>
      <c r="J167">
        <v>2</v>
      </c>
      <c r="K167">
        <v>2</v>
      </c>
      <c r="L167">
        <v>0</v>
      </c>
      <c r="M167">
        <v>0</v>
      </c>
      <c r="N167">
        <v>0</v>
      </c>
      <c r="O167">
        <v>2</v>
      </c>
      <c r="P167">
        <v>35</v>
      </c>
    </row>
    <row r="168" spans="1:16" x14ac:dyDescent="0.25">
      <c r="A168" s="1">
        <v>43892.75</v>
      </c>
      <c r="B168" s="2" t="s">
        <v>12</v>
      </c>
      <c r="C168">
        <v>2</v>
      </c>
      <c r="D168" s="2" t="s">
        <v>57</v>
      </c>
      <c r="E168">
        <v>4573750286</v>
      </c>
      <c r="F168">
        <v>7320149366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11</v>
      </c>
    </row>
    <row r="169" spans="1:16" x14ac:dyDescent="0.25">
      <c r="A169" s="1">
        <v>43892.75</v>
      </c>
      <c r="B169" s="2" t="s">
        <v>12</v>
      </c>
      <c r="C169">
        <v>5</v>
      </c>
      <c r="D169" s="2" t="s">
        <v>58</v>
      </c>
      <c r="E169">
        <v>4543490485</v>
      </c>
      <c r="F169">
        <v>1233845213</v>
      </c>
      <c r="G169">
        <v>53</v>
      </c>
      <c r="H169">
        <v>14</v>
      </c>
      <c r="I169">
        <v>67</v>
      </c>
      <c r="J169">
        <v>204</v>
      </c>
      <c r="K169">
        <v>271</v>
      </c>
      <c r="L169">
        <v>10</v>
      </c>
      <c r="M169">
        <v>0</v>
      </c>
      <c r="N169">
        <v>2</v>
      </c>
      <c r="O169">
        <v>273</v>
      </c>
      <c r="P169">
        <v>9782</v>
      </c>
    </row>
    <row r="170" spans="1:16" x14ac:dyDescent="0.25">
      <c r="A170" s="1">
        <v>43893.75</v>
      </c>
      <c r="B170" s="2" t="s">
        <v>12</v>
      </c>
      <c r="C170">
        <v>13</v>
      </c>
      <c r="D170" s="2" t="s">
        <v>38</v>
      </c>
      <c r="E170">
        <v>4235122196</v>
      </c>
      <c r="F170">
        <v>1339843823</v>
      </c>
      <c r="G170">
        <v>5</v>
      </c>
      <c r="H170">
        <v>0</v>
      </c>
      <c r="I170">
        <v>5</v>
      </c>
      <c r="J170">
        <v>1</v>
      </c>
      <c r="K170">
        <v>6</v>
      </c>
      <c r="L170">
        <v>1</v>
      </c>
      <c r="M170">
        <v>0</v>
      </c>
      <c r="N170">
        <v>0</v>
      </c>
      <c r="O170">
        <v>6</v>
      </c>
      <c r="P170">
        <v>52</v>
      </c>
    </row>
    <row r="171" spans="1:16" x14ac:dyDescent="0.25">
      <c r="A171" s="1">
        <v>43893.75</v>
      </c>
      <c r="B171" s="2" t="s">
        <v>12</v>
      </c>
      <c r="C171">
        <v>17</v>
      </c>
      <c r="D171" s="2" t="s">
        <v>39</v>
      </c>
      <c r="E171">
        <v>4063947052</v>
      </c>
      <c r="F171">
        <v>1580514834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1</v>
      </c>
      <c r="P171">
        <v>42</v>
      </c>
    </row>
    <row r="172" spans="1:16" x14ac:dyDescent="0.25">
      <c r="A172" s="1">
        <v>43893.75</v>
      </c>
      <c r="B172" s="2" t="s">
        <v>12</v>
      </c>
      <c r="C172">
        <v>4</v>
      </c>
      <c r="D172" s="2" t="s">
        <v>40</v>
      </c>
      <c r="E172">
        <v>4649933453</v>
      </c>
      <c r="F172">
        <v>1135662422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20</v>
      </c>
    </row>
    <row r="173" spans="1:16" x14ac:dyDescent="0.25">
      <c r="A173" s="1">
        <v>43893.75</v>
      </c>
      <c r="B173" s="2" t="s">
        <v>12</v>
      </c>
      <c r="C173">
        <v>18</v>
      </c>
      <c r="D173" s="2" t="s">
        <v>41</v>
      </c>
      <c r="E173">
        <v>3890597598</v>
      </c>
      <c r="F173">
        <v>1659440194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39</v>
      </c>
    </row>
    <row r="174" spans="1:16" x14ac:dyDescent="0.25">
      <c r="A174" s="1">
        <v>43893.75</v>
      </c>
      <c r="B174" s="2" t="s">
        <v>12</v>
      </c>
      <c r="C174">
        <v>15</v>
      </c>
      <c r="D174" s="2" t="s">
        <v>42</v>
      </c>
      <c r="E174">
        <v>4083956555</v>
      </c>
      <c r="F174">
        <v>1425084984</v>
      </c>
      <c r="G174">
        <v>11</v>
      </c>
      <c r="H174">
        <v>0</v>
      </c>
      <c r="I174">
        <v>11</v>
      </c>
      <c r="J174">
        <v>19</v>
      </c>
      <c r="K174">
        <v>30</v>
      </c>
      <c r="L174">
        <v>13</v>
      </c>
      <c r="M174">
        <v>0</v>
      </c>
      <c r="N174">
        <v>0</v>
      </c>
      <c r="O174">
        <v>30</v>
      </c>
      <c r="P174">
        <v>405</v>
      </c>
    </row>
    <row r="175" spans="1:16" x14ac:dyDescent="0.25">
      <c r="A175" s="1">
        <v>43893.75</v>
      </c>
      <c r="B175" s="2" t="s">
        <v>12</v>
      </c>
      <c r="C175">
        <v>8</v>
      </c>
      <c r="D175" s="2" t="s">
        <v>43</v>
      </c>
      <c r="E175">
        <v>4449436681</v>
      </c>
      <c r="F175">
        <v>113417208</v>
      </c>
      <c r="G175">
        <v>187</v>
      </c>
      <c r="H175">
        <v>24</v>
      </c>
      <c r="I175">
        <v>211</v>
      </c>
      <c r="J175">
        <v>187</v>
      </c>
      <c r="K175">
        <v>398</v>
      </c>
      <c r="L175">
        <v>74</v>
      </c>
      <c r="M175">
        <v>4</v>
      </c>
      <c r="N175">
        <v>18</v>
      </c>
      <c r="O175">
        <v>420</v>
      </c>
      <c r="P175">
        <v>2012</v>
      </c>
    </row>
    <row r="176" spans="1:16" x14ac:dyDescent="0.25">
      <c r="A176" s="1">
        <v>43893.75</v>
      </c>
      <c r="B176" s="2" t="s">
        <v>12</v>
      </c>
      <c r="C176">
        <v>6</v>
      </c>
      <c r="D176" s="2" t="s">
        <v>44</v>
      </c>
      <c r="E176">
        <v>456494354</v>
      </c>
      <c r="F176">
        <v>1376813649</v>
      </c>
      <c r="G176">
        <v>1</v>
      </c>
      <c r="H176">
        <v>0</v>
      </c>
      <c r="I176">
        <v>1</v>
      </c>
      <c r="J176">
        <v>12</v>
      </c>
      <c r="K176">
        <v>13</v>
      </c>
      <c r="L176">
        <v>4</v>
      </c>
      <c r="M176">
        <v>0</v>
      </c>
      <c r="N176">
        <v>0</v>
      </c>
      <c r="O176">
        <v>13</v>
      </c>
      <c r="P176">
        <v>354</v>
      </c>
    </row>
    <row r="177" spans="1:16" x14ac:dyDescent="0.25">
      <c r="A177" s="1">
        <v>43893.75</v>
      </c>
      <c r="B177" s="2" t="s">
        <v>12</v>
      </c>
      <c r="C177">
        <v>12</v>
      </c>
      <c r="D177" s="2" t="s">
        <v>45</v>
      </c>
      <c r="E177">
        <v>4189277044</v>
      </c>
      <c r="F177">
        <v>1248366722</v>
      </c>
      <c r="G177">
        <v>10</v>
      </c>
      <c r="H177">
        <v>0</v>
      </c>
      <c r="I177">
        <v>10</v>
      </c>
      <c r="J177">
        <v>1</v>
      </c>
      <c r="K177">
        <v>11</v>
      </c>
      <c r="L177">
        <v>7</v>
      </c>
      <c r="M177">
        <v>3</v>
      </c>
      <c r="N177">
        <v>0</v>
      </c>
      <c r="O177">
        <v>14</v>
      </c>
      <c r="P177">
        <v>877</v>
      </c>
    </row>
    <row r="178" spans="1:16" x14ac:dyDescent="0.25">
      <c r="A178" s="1">
        <v>43893.75</v>
      </c>
      <c r="B178" s="2" t="s">
        <v>12</v>
      </c>
      <c r="C178">
        <v>7</v>
      </c>
      <c r="D178" s="2" t="s">
        <v>46</v>
      </c>
      <c r="E178">
        <v>4441149315</v>
      </c>
      <c r="F178">
        <v>89326992</v>
      </c>
      <c r="G178">
        <v>12</v>
      </c>
      <c r="H178">
        <v>2</v>
      </c>
      <c r="I178">
        <v>14</v>
      </c>
      <c r="J178">
        <v>5</v>
      </c>
      <c r="K178">
        <v>19</v>
      </c>
      <c r="L178">
        <v>1</v>
      </c>
      <c r="M178">
        <v>4</v>
      </c>
      <c r="N178">
        <v>1</v>
      </c>
      <c r="O178">
        <v>24</v>
      </c>
      <c r="P178">
        <v>121</v>
      </c>
    </row>
    <row r="179" spans="1:16" x14ac:dyDescent="0.25">
      <c r="A179" s="1">
        <v>43893.75</v>
      </c>
      <c r="B179" s="2" t="s">
        <v>12</v>
      </c>
      <c r="C179">
        <v>3</v>
      </c>
      <c r="D179" s="2" t="s">
        <v>47</v>
      </c>
      <c r="E179">
        <v>4546679409</v>
      </c>
      <c r="F179">
        <v>9190347404</v>
      </c>
      <c r="G179">
        <v>698</v>
      </c>
      <c r="H179">
        <v>167</v>
      </c>
      <c r="I179">
        <v>865</v>
      </c>
      <c r="J179">
        <v>461</v>
      </c>
      <c r="K179">
        <v>1326</v>
      </c>
      <c r="L179">
        <v>249</v>
      </c>
      <c r="M179">
        <v>139</v>
      </c>
      <c r="N179">
        <v>55</v>
      </c>
      <c r="O179">
        <v>1520</v>
      </c>
      <c r="P179">
        <v>9577</v>
      </c>
    </row>
    <row r="180" spans="1:16" x14ac:dyDescent="0.25">
      <c r="A180" s="1">
        <v>43893.75</v>
      </c>
      <c r="B180" s="2" t="s">
        <v>12</v>
      </c>
      <c r="C180">
        <v>11</v>
      </c>
      <c r="D180" s="2" t="s">
        <v>48</v>
      </c>
      <c r="E180">
        <v>4361675973</v>
      </c>
      <c r="F180">
        <v>135188753</v>
      </c>
      <c r="G180">
        <v>27</v>
      </c>
      <c r="H180">
        <v>13</v>
      </c>
      <c r="I180">
        <v>40</v>
      </c>
      <c r="J180">
        <v>19</v>
      </c>
      <c r="K180">
        <v>59</v>
      </c>
      <c r="L180">
        <v>25</v>
      </c>
      <c r="M180">
        <v>0</v>
      </c>
      <c r="N180">
        <v>2</v>
      </c>
      <c r="O180">
        <v>61</v>
      </c>
      <c r="P180">
        <v>200</v>
      </c>
    </row>
    <row r="181" spans="1:16" x14ac:dyDescent="0.25">
      <c r="A181" s="1">
        <v>43893.75</v>
      </c>
      <c r="B181" s="2" t="s">
        <v>12</v>
      </c>
      <c r="C181">
        <v>14</v>
      </c>
      <c r="D181" s="2" t="s">
        <v>49</v>
      </c>
      <c r="E181">
        <v>4155774754</v>
      </c>
      <c r="F181">
        <v>1465916051</v>
      </c>
      <c r="G181">
        <v>3</v>
      </c>
      <c r="H181">
        <v>0</v>
      </c>
      <c r="I181">
        <v>3</v>
      </c>
      <c r="J181">
        <v>0</v>
      </c>
      <c r="K181">
        <v>3</v>
      </c>
      <c r="L181">
        <v>3</v>
      </c>
      <c r="M181">
        <v>0</v>
      </c>
      <c r="N181">
        <v>0</v>
      </c>
      <c r="O181">
        <v>3</v>
      </c>
      <c r="P181">
        <v>13</v>
      </c>
    </row>
    <row r="182" spans="1:16" x14ac:dyDescent="0.25">
      <c r="A182" s="1">
        <v>43893.75</v>
      </c>
      <c r="B182" s="2" t="s">
        <v>12</v>
      </c>
      <c r="C182">
        <v>1</v>
      </c>
      <c r="D182" s="2" t="s">
        <v>50</v>
      </c>
      <c r="E182">
        <v>450732745</v>
      </c>
      <c r="F182">
        <v>7680687483</v>
      </c>
      <c r="G182">
        <v>13</v>
      </c>
      <c r="H182">
        <v>3</v>
      </c>
      <c r="I182">
        <v>16</v>
      </c>
      <c r="J182">
        <v>40</v>
      </c>
      <c r="K182">
        <v>56</v>
      </c>
      <c r="L182">
        <v>5</v>
      </c>
      <c r="M182">
        <v>0</v>
      </c>
      <c r="N182">
        <v>0</v>
      </c>
      <c r="O182">
        <v>56</v>
      </c>
      <c r="P182">
        <v>458</v>
      </c>
    </row>
    <row r="183" spans="1:16" x14ac:dyDescent="0.25">
      <c r="A183" s="1">
        <v>43893.75</v>
      </c>
      <c r="B183" s="2" t="s">
        <v>12</v>
      </c>
      <c r="C183">
        <v>16</v>
      </c>
      <c r="D183" s="2" t="s">
        <v>51</v>
      </c>
      <c r="E183">
        <v>4112559576</v>
      </c>
      <c r="F183">
        <v>1686736689</v>
      </c>
      <c r="G183">
        <v>2</v>
      </c>
      <c r="H183">
        <v>0</v>
      </c>
      <c r="I183">
        <v>2</v>
      </c>
      <c r="J183">
        <v>4</v>
      </c>
      <c r="K183">
        <v>6</v>
      </c>
      <c r="L183">
        <v>2</v>
      </c>
      <c r="M183">
        <v>0</v>
      </c>
      <c r="N183">
        <v>0</v>
      </c>
      <c r="O183">
        <v>6</v>
      </c>
      <c r="P183">
        <v>298</v>
      </c>
    </row>
    <row r="184" spans="1:16" x14ac:dyDescent="0.25">
      <c r="A184" s="1">
        <v>43893.75</v>
      </c>
      <c r="B184" s="2" t="s">
        <v>12</v>
      </c>
      <c r="C184">
        <v>20</v>
      </c>
      <c r="D184" s="2" t="s">
        <v>52</v>
      </c>
      <c r="E184">
        <v>3921531192</v>
      </c>
      <c r="F184">
        <v>9110616306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1</v>
      </c>
      <c r="P184">
        <v>29</v>
      </c>
    </row>
    <row r="185" spans="1:16" x14ac:dyDescent="0.25">
      <c r="A185" s="1">
        <v>43893.75</v>
      </c>
      <c r="B185" s="2" t="s">
        <v>12</v>
      </c>
      <c r="C185">
        <v>19</v>
      </c>
      <c r="D185" s="2" t="s">
        <v>53</v>
      </c>
      <c r="E185">
        <v>3811569725</v>
      </c>
      <c r="F185">
        <v>133623567</v>
      </c>
      <c r="G185">
        <v>2</v>
      </c>
      <c r="H185">
        <v>0</v>
      </c>
      <c r="I185">
        <v>2</v>
      </c>
      <c r="J185">
        <v>3</v>
      </c>
      <c r="K185">
        <v>5</v>
      </c>
      <c r="L185">
        <v>0</v>
      </c>
      <c r="M185">
        <v>2</v>
      </c>
      <c r="N185">
        <v>0</v>
      </c>
      <c r="O185">
        <v>7</v>
      </c>
      <c r="P185">
        <v>307</v>
      </c>
    </row>
    <row r="186" spans="1:16" x14ac:dyDescent="0.25">
      <c r="A186" s="1">
        <v>43893.75</v>
      </c>
      <c r="B186" s="2" t="s">
        <v>12</v>
      </c>
      <c r="C186">
        <v>9</v>
      </c>
      <c r="D186" s="2" t="s">
        <v>54</v>
      </c>
      <c r="E186">
        <v>4376923077</v>
      </c>
      <c r="F186">
        <v>1125588885</v>
      </c>
      <c r="G186">
        <v>10</v>
      </c>
      <c r="H186">
        <v>0</v>
      </c>
      <c r="I186">
        <v>10</v>
      </c>
      <c r="J186">
        <v>8</v>
      </c>
      <c r="K186">
        <v>18</v>
      </c>
      <c r="L186">
        <v>6</v>
      </c>
      <c r="M186">
        <v>1</v>
      </c>
      <c r="N186">
        <v>0</v>
      </c>
      <c r="O186">
        <v>19</v>
      </c>
      <c r="P186">
        <v>697</v>
      </c>
    </row>
    <row r="187" spans="1:16" x14ac:dyDescent="0.25">
      <c r="A187" s="1">
        <v>43893.75</v>
      </c>
      <c r="B187" s="2" t="s">
        <v>12</v>
      </c>
      <c r="C187">
        <v>4</v>
      </c>
      <c r="D187" s="2" t="s">
        <v>55</v>
      </c>
      <c r="E187">
        <v>4606893511</v>
      </c>
      <c r="F187">
        <v>1112123097</v>
      </c>
      <c r="G187">
        <v>1</v>
      </c>
      <c r="H187">
        <v>0</v>
      </c>
      <c r="I187">
        <v>1</v>
      </c>
      <c r="J187">
        <v>3</v>
      </c>
      <c r="K187">
        <v>4</v>
      </c>
      <c r="L187">
        <v>4</v>
      </c>
      <c r="M187">
        <v>0</v>
      </c>
      <c r="N187">
        <v>0</v>
      </c>
      <c r="O187">
        <v>4</v>
      </c>
      <c r="P187">
        <v>122</v>
      </c>
    </row>
    <row r="188" spans="1:16" x14ac:dyDescent="0.25">
      <c r="A188" s="1">
        <v>43893.75</v>
      </c>
      <c r="B188" s="2" t="s">
        <v>12</v>
      </c>
      <c r="C188">
        <v>10</v>
      </c>
      <c r="D188" s="2" t="s">
        <v>56</v>
      </c>
      <c r="E188">
        <v>4310675841</v>
      </c>
      <c r="F188">
        <v>1238824698</v>
      </c>
      <c r="G188">
        <v>1</v>
      </c>
      <c r="H188">
        <v>1</v>
      </c>
      <c r="I188">
        <v>2</v>
      </c>
      <c r="J188">
        <v>6</v>
      </c>
      <c r="K188">
        <v>8</v>
      </c>
      <c r="L188">
        <v>6</v>
      </c>
      <c r="M188">
        <v>0</v>
      </c>
      <c r="N188">
        <v>0</v>
      </c>
      <c r="O188">
        <v>8</v>
      </c>
      <c r="P188">
        <v>45</v>
      </c>
    </row>
    <row r="189" spans="1:16" x14ac:dyDescent="0.25">
      <c r="A189" s="1">
        <v>43893.75</v>
      </c>
      <c r="B189" s="2" t="s">
        <v>12</v>
      </c>
      <c r="C189">
        <v>2</v>
      </c>
      <c r="D189" s="2" t="s">
        <v>57</v>
      </c>
      <c r="E189">
        <v>4573750286</v>
      </c>
      <c r="F189">
        <v>7320149366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12</v>
      </c>
    </row>
    <row r="190" spans="1:16" x14ac:dyDescent="0.25">
      <c r="A190" s="1">
        <v>43893.75</v>
      </c>
      <c r="B190" s="2" t="s">
        <v>12</v>
      </c>
      <c r="C190">
        <v>5</v>
      </c>
      <c r="D190" s="2" t="s">
        <v>58</v>
      </c>
      <c r="E190">
        <v>4543490485</v>
      </c>
      <c r="F190">
        <v>1233845213</v>
      </c>
      <c r="G190">
        <v>49</v>
      </c>
      <c r="H190">
        <v>19</v>
      </c>
      <c r="I190">
        <v>68</v>
      </c>
      <c r="J190">
        <v>229</v>
      </c>
      <c r="K190">
        <v>297</v>
      </c>
      <c r="L190">
        <v>26</v>
      </c>
      <c r="M190">
        <v>7</v>
      </c>
      <c r="N190">
        <v>3</v>
      </c>
      <c r="O190">
        <v>307</v>
      </c>
      <c r="P190">
        <v>10176</v>
      </c>
    </row>
    <row r="191" spans="1:16" x14ac:dyDescent="0.25">
      <c r="A191" s="1">
        <v>43894.708333333336</v>
      </c>
      <c r="B191" s="2" t="s">
        <v>12</v>
      </c>
      <c r="C191">
        <v>13</v>
      </c>
      <c r="D191" s="2" t="s">
        <v>38</v>
      </c>
      <c r="E191">
        <v>4235122196</v>
      </c>
      <c r="F191">
        <v>1339843823</v>
      </c>
      <c r="G191">
        <v>7</v>
      </c>
      <c r="H191">
        <v>0</v>
      </c>
      <c r="I191">
        <v>7</v>
      </c>
      <c r="J191">
        <v>0</v>
      </c>
      <c r="K191">
        <v>7</v>
      </c>
      <c r="L191">
        <v>1</v>
      </c>
      <c r="M191">
        <v>0</v>
      </c>
      <c r="N191">
        <v>0</v>
      </c>
      <c r="O191">
        <v>7</v>
      </c>
      <c r="P191">
        <v>85</v>
      </c>
    </row>
    <row r="192" spans="1:16" x14ac:dyDescent="0.25">
      <c r="A192" s="1">
        <v>43894.708333333336</v>
      </c>
      <c r="B192" s="2" t="s">
        <v>12</v>
      </c>
      <c r="C192">
        <v>17</v>
      </c>
      <c r="D192" s="2" t="s">
        <v>39</v>
      </c>
      <c r="E192">
        <v>4063947052</v>
      </c>
      <c r="F192">
        <v>1580514834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48</v>
      </c>
    </row>
    <row r="193" spans="1:16" x14ac:dyDescent="0.25">
      <c r="A193" s="1">
        <v>43894.708333333336</v>
      </c>
      <c r="B193" s="2" t="s">
        <v>12</v>
      </c>
      <c r="C193">
        <v>4</v>
      </c>
      <c r="D193" s="2" t="s">
        <v>40</v>
      </c>
      <c r="E193">
        <v>4649933453</v>
      </c>
      <c r="F193">
        <v>1135662422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</v>
      </c>
      <c r="P193">
        <v>20</v>
      </c>
    </row>
    <row r="194" spans="1:16" x14ac:dyDescent="0.25">
      <c r="A194" s="1">
        <v>43894.708333333336</v>
      </c>
      <c r="B194" s="2" t="s">
        <v>12</v>
      </c>
      <c r="C194">
        <v>18</v>
      </c>
      <c r="D194" s="2" t="s">
        <v>41</v>
      </c>
      <c r="E194">
        <v>3890597598</v>
      </c>
      <c r="F194">
        <v>1659440194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46</v>
      </c>
    </row>
    <row r="195" spans="1:16" x14ac:dyDescent="0.25">
      <c r="A195" s="1">
        <v>43894.708333333336</v>
      </c>
      <c r="B195" s="2" t="s">
        <v>12</v>
      </c>
      <c r="C195">
        <v>15</v>
      </c>
      <c r="D195" s="2" t="s">
        <v>42</v>
      </c>
      <c r="E195">
        <v>4083956555</v>
      </c>
      <c r="F195">
        <v>1425084984</v>
      </c>
      <c r="G195">
        <v>11</v>
      </c>
      <c r="H195">
        <v>0</v>
      </c>
      <c r="I195">
        <v>11</v>
      </c>
      <c r="J195">
        <v>20</v>
      </c>
      <c r="K195">
        <v>31</v>
      </c>
      <c r="L195">
        <v>1</v>
      </c>
      <c r="M195">
        <v>0</v>
      </c>
      <c r="N195">
        <v>0</v>
      </c>
      <c r="O195">
        <v>31</v>
      </c>
      <c r="P195">
        <v>429</v>
      </c>
    </row>
    <row r="196" spans="1:16" x14ac:dyDescent="0.25">
      <c r="A196" s="1">
        <v>43894.708333333336</v>
      </c>
      <c r="B196" s="2" t="s">
        <v>12</v>
      </c>
      <c r="C196">
        <v>8</v>
      </c>
      <c r="D196" s="2" t="s">
        <v>43</v>
      </c>
      <c r="E196">
        <v>4449436681</v>
      </c>
      <c r="F196">
        <v>113417208</v>
      </c>
      <c r="G196">
        <v>256</v>
      </c>
      <c r="H196">
        <v>26</v>
      </c>
      <c r="I196">
        <v>282</v>
      </c>
      <c r="J196">
        <v>234</v>
      </c>
      <c r="K196">
        <v>516</v>
      </c>
      <c r="L196">
        <v>118</v>
      </c>
      <c r="M196">
        <v>6</v>
      </c>
      <c r="N196">
        <v>22</v>
      </c>
      <c r="O196">
        <v>544</v>
      </c>
      <c r="P196">
        <v>2500</v>
      </c>
    </row>
    <row r="197" spans="1:16" x14ac:dyDescent="0.25">
      <c r="A197" s="1">
        <v>43894.708333333336</v>
      </c>
      <c r="B197" s="2" t="s">
        <v>12</v>
      </c>
      <c r="C197">
        <v>6</v>
      </c>
      <c r="D197" s="2" t="s">
        <v>44</v>
      </c>
      <c r="E197">
        <v>456494354</v>
      </c>
      <c r="F197">
        <v>1376813649</v>
      </c>
      <c r="G197">
        <v>3</v>
      </c>
      <c r="H197">
        <v>0</v>
      </c>
      <c r="I197">
        <v>3</v>
      </c>
      <c r="J197">
        <v>15</v>
      </c>
      <c r="K197">
        <v>18</v>
      </c>
      <c r="L197">
        <v>5</v>
      </c>
      <c r="M197">
        <v>0</v>
      </c>
      <c r="N197">
        <v>0</v>
      </c>
      <c r="O197">
        <v>18</v>
      </c>
      <c r="P197">
        <v>376</v>
      </c>
    </row>
    <row r="198" spans="1:16" x14ac:dyDescent="0.25">
      <c r="A198" s="1">
        <v>43894.708333333336</v>
      </c>
      <c r="B198" s="2" t="s">
        <v>12</v>
      </c>
      <c r="C198">
        <v>12</v>
      </c>
      <c r="D198" s="2" t="s">
        <v>45</v>
      </c>
      <c r="E198">
        <v>4189277044</v>
      </c>
      <c r="F198">
        <v>1248366722</v>
      </c>
      <c r="G198">
        <v>15</v>
      </c>
      <c r="H198">
        <v>3</v>
      </c>
      <c r="I198">
        <v>18</v>
      </c>
      <c r="J198">
        <v>9</v>
      </c>
      <c r="K198">
        <v>27</v>
      </c>
      <c r="L198">
        <v>16</v>
      </c>
      <c r="M198">
        <v>3</v>
      </c>
      <c r="N198">
        <v>0</v>
      </c>
      <c r="O198">
        <v>30</v>
      </c>
      <c r="P198">
        <v>995</v>
      </c>
    </row>
    <row r="199" spans="1:16" x14ac:dyDescent="0.25">
      <c r="A199" s="1">
        <v>43894.708333333336</v>
      </c>
      <c r="B199" s="2" t="s">
        <v>12</v>
      </c>
      <c r="C199">
        <v>7</v>
      </c>
      <c r="D199" s="2" t="s">
        <v>46</v>
      </c>
      <c r="E199">
        <v>4441149315</v>
      </c>
      <c r="F199">
        <v>89326992</v>
      </c>
      <c r="G199">
        <v>10</v>
      </c>
      <c r="H199">
        <v>3</v>
      </c>
      <c r="I199">
        <v>13</v>
      </c>
      <c r="J199">
        <v>8</v>
      </c>
      <c r="K199">
        <v>21</v>
      </c>
      <c r="L199">
        <v>2</v>
      </c>
      <c r="M199">
        <v>4</v>
      </c>
      <c r="N199">
        <v>1</v>
      </c>
      <c r="O199">
        <v>26</v>
      </c>
      <c r="P199">
        <v>133</v>
      </c>
    </row>
    <row r="200" spans="1:16" x14ac:dyDescent="0.25">
      <c r="A200" s="1">
        <v>43894.708333333336</v>
      </c>
      <c r="B200" s="2" t="s">
        <v>12</v>
      </c>
      <c r="C200">
        <v>3</v>
      </c>
      <c r="D200" s="2" t="s">
        <v>47</v>
      </c>
      <c r="E200">
        <v>4546679409</v>
      </c>
      <c r="F200">
        <v>9190347404</v>
      </c>
      <c r="G200">
        <v>877</v>
      </c>
      <c r="H200">
        <v>209</v>
      </c>
      <c r="I200">
        <v>1086</v>
      </c>
      <c r="J200">
        <v>411</v>
      </c>
      <c r="K200">
        <v>1497</v>
      </c>
      <c r="L200">
        <v>171</v>
      </c>
      <c r="M200">
        <v>250</v>
      </c>
      <c r="N200">
        <v>73</v>
      </c>
      <c r="O200">
        <v>1820</v>
      </c>
      <c r="P200">
        <v>12138</v>
      </c>
    </row>
    <row r="201" spans="1:16" x14ac:dyDescent="0.25">
      <c r="A201" s="1">
        <v>43894.708333333336</v>
      </c>
      <c r="B201" s="2" t="s">
        <v>12</v>
      </c>
      <c r="C201">
        <v>11</v>
      </c>
      <c r="D201" s="2" t="s">
        <v>48</v>
      </c>
      <c r="E201">
        <v>4361675973</v>
      </c>
      <c r="F201">
        <v>135188753</v>
      </c>
      <c r="G201">
        <v>34</v>
      </c>
      <c r="H201">
        <v>15</v>
      </c>
      <c r="I201">
        <v>49</v>
      </c>
      <c r="J201">
        <v>31</v>
      </c>
      <c r="K201">
        <v>80</v>
      </c>
      <c r="L201">
        <v>21</v>
      </c>
      <c r="M201">
        <v>0</v>
      </c>
      <c r="N201">
        <v>4</v>
      </c>
      <c r="O201">
        <v>84</v>
      </c>
      <c r="P201">
        <v>288</v>
      </c>
    </row>
    <row r="202" spans="1:16" x14ac:dyDescent="0.25">
      <c r="A202" s="1">
        <v>43894.708333333336</v>
      </c>
      <c r="B202" s="2" t="s">
        <v>12</v>
      </c>
      <c r="C202">
        <v>14</v>
      </c>
      <c r="D202" s="2" t="s">
        <v>49</v>
      </c>
      <c r="E202">
        <v>4155774754</v>
      </c>
      <c r="F202">
        <v>1465916051</v>
      </c>
      <c r="G202">
        <v>3</v>
      </c>
      <c r="H202">
        <v>0</v>
      </c>
      <c r="I202">
        <v>3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3</v>
      </c>
      <c r="P202">
        <v>19</v>
      </c>
    </row>
    <row r="203" spans="1:16" x14ac:dyDescent="0.25">
      <c r="A203" s="1">
        <v>43894.708333333336</v>
      </c>
      <c r="B203" s="2" t="s">
        <v>12</v>
      </c>
      <c r="C203">
        <v>1</v>
      </c>
      <c r="D203" s="2" t="s">
        <v>50</v>
      </c>
      <c r="E203">
        <v>450732745</v>
      </c>
      <c r="F203">
        <v>7680687483</v>
      </c>
      <c r="G203">
        <v>26</v>
      </c>
      <c r="H203">
        <v>13</v>
      </c>
      <c r="I203">
        <v>39</v>
      </c>
      <c r="J203">
        <v>43</v>
      </c>
      <c r="K203">
        <v>82</v>
      </c>
      <c r="L203">
        <v>26</v>
      </c>
      <c r="M203">
        <v>0</v>
      </c>
      <c r="N203">
        <v>0</v>
      </c>
      <c r="O203">
        <v>82</v>
      </c>
      <c r="P203">
        <v>543</v>
      </c>
    </row>
    <row r="204" spans="1:16" x14ac:dyDescent="0.25">
      <c r="A204" s="1">
        <v>43894.708333333336</v>
      </c>
      <c r="B204" s="2" t="s">
        <v>12</v>
      </c>
      <c r="C204">
        <v>16</v>
      </c>
      <c r="D204" s="2" t="s">
        <v>51</v>
      </c>
      <c r="E204">
        <v>4112559576</v>
      </c>
      <c r="F204">
        <v>1686736689</v>
      </c>
      <c r="G204">
        <v>4</v>
      </c>
      <c r="H204">
        <v>0</v>
      </c>
      <c r="I204">
        <v>4</v>
      </c>
      <c r="J204">
        <v>3</v>
      </c>
      <c r="K204">
        <v>7</v>
      </c>
      <c r="L204">
        <v>1</v>
      </c>
      <c r="M204">
        <v>1</v>
      </c>
      <c r="N204">
        <v>1</v>
      </c>
      <c r="O204">
        <v>9</v>
      </c>
      <c r="P204">
        <v>322</v>
      </c>
    </row>
    <row r="205" spans="1:16" x14ac:dyDescent="0.25">
      <c r="A205" s="1">
        <v>43894.708333333336</v>
      </c>
      <c r="B205" s="2" t="s">
        <v>12</v>
      </c>
      <c r="C205">
        <v>20</v>
      </c>
      <c r="D205" s="2" t="s">
        <v>52</v>
      </c>
      <c r="E205">
        <v>3921531192</v>
      </c>
      <c r="F205">
        <v>9110616306</v>
      </c>
      <c r="G205">
        <v>1</v>
      </c>
      <c r="H205">
        <v>0</v>
      </c>
      <c r="I205">
        <v>1</v>
      </c>
      <c r="J205">
        <v>1</v>
      </c>
      <c r="K205">
        <v>2</v>
      </c>
      <c r="L205">
        <v>1</v>
      </c>
      <c r="M205">
        <v>0</v>
      </c>
      <c r="N205">
        <v>0</v>
      </c>
      <c r="O205">
        <v>2</v>
      </c>
      <c r="P205">
        <v>42</v>
      </c>
    </row>
    <row r="206" spans="1:16" x14ac:dyDescent="0.25">
      <c r="A206" s="1">
        <v>43894.708333333336</v>
      </c>
      <c r="B206" s="2" t="s">
        <v>12</v>
      </c>
      <c r="C206">
        <v>19</v>
      </c>
      <c r="D206" s="2" t="s">
        <v>53</v>
      </c>
      <c r="E206">
        <v>3811569725</v>
      </c>
      <c r="F206">
        <v>133623567</v>
      </c>
      <c r="G206">
        <v>5</v>
      </c>
      <c r="H206">
        <v>0</v>
      </c>
      <c r="I206">
        <v>5</v>
      </c>
      <c r="J206">
        <v>11</v>
      </c>
      <c r="K206">
        <v>16</v>
      </c>
      <c r="L206">
        <v>11</v>
      </c>
      <c r="M206">
        <v>2</v>
      </c>
      <c r="N206">
        <v>0</v>
      </c>
      <c r="O206">
        <v>18</v>
      </c>
      <c r="P206">
        <v>367</v>
      </c>
    </row>
    <row r="207" spans="1:16" x14ac:dyDescent="0.25">
      <c r="A207" s="1">
        <v>43894.708333333336</v>
      </c>
      <c r="B207" s="2" t="s">
        <v>12</v>
      </c>
      <c r="C207">
        <v>9</v>
      </c>
      <c r="D207" s="2" t="s">
        <v>54</v>
      </c>
      <c r="E207">
        <v>4376923077</v>
      </c>
      <c r="F207">
        <v>1125588885</v>
      </c>
      <c r="G207">
        <v>15</v>
      </c>
      <c r="H207">
        <v>2</v>
      </c>
      <c r="I207">
        <v>17</v>
      </c>
      <c r="J207">
        <v>20</v>
      </c>
      <c r="K207">
        <v>37</v>
      </c>
      <c r="L207">
        <v>19</v>
      </c>
      <c r="M207">
        <v>1</v>
      </c>
      <c r="N207">
        <v>0</v>
      </c>
      <c r="O207">
        <v>38</v>
      </c>
      <c r="P207">
        <v>776</v>
      </c>
    </row>
    <row r="208" spans="1:16" x14ac:dyDescent="0.25">
      <c r="A208" s="1">
        <v>43894.708333333336</v>
      </c>
      <c r="B208" s="2" t="s">
        <v>12</v>
      </c>
      <c r="C208">
        <v>4</v>
      </c>
      <c r="D208" s="2" t="s">
        <v>55</v>
      </c>
      <c r="E208">
        <v>4606893511</v>
      </c>
      <c r="F208">
        <v>1112123097</v>
      </c>
      <c r="G208">
        <v>1</v>
      </c>
      <c r="H208">
        <v>0</v>
      </c>
      <c r="I208">
        <v>1</v>
      </c>
      <c r="J208">
        <v>4</v>
      </c>
      <c r="K208">
        <v>5</v>
      </c>
      <c r="L208">
        <v>1</v>
      </c>
      <c r="M208">
        <v>0</v>
      </c>
      <c r="N208">
        <v>0</v>
      </c>
      <c r="O208">
        <v>5</v>
      </c>
      <c r="P208">
        <v>122</v>
      </c>
    </row>
    <row r="209" spans="1:16" x14ac:dyDescent="0.25">
      <c r="A209" s="1">
        <v>43894.708333333336</v>
      </c>
      <c r="B209" s="2" t="s">
        <v>12</v>
      </c>
      <c r="C209">
        <v>10</v>
      </c>
      <c r="D209" s="2" t="s">
        <v>56</v>
      </c>
      <c r="E209">
        <v>4310675841</v>
      </c>
      <c r="F209">
        <v>1238824698</v>
      </c>
      <c r="G209">
        <v>1</v>
      </c>
      <c r="H209">
        <v>1</v>
      </c>
      <c r="I209">
        <v>2</v>
      </c>
      <c r="J209">
        <v>7</v>
      </c>
      <c r="K209">
        <v>9</v>
      </c>
      <c r="L209">
        <v>1</v>
      </c>
      <c r="M209">
        <v>0</v>
      </c>
      <c r="N209">
        <v>0</v>
      </c>
      <c r="O209">
        <v>9</v>
      </c>
      <c r="P209">
        <v>58</v>
      </c>
    </row>
    <row r="210" spans="1:16" x14ac:dyDescent="0.25">
      <c r="A210" s="1">
        <v>43894.708333333336</v>
      </c>
      <c r="B210" s="2" t="s">
        <v>12</v>
      </c>
      <c r="C210">
        <v>2</v>
      </c>
      <c r="D210" s="2" t="s">
        <v>57</v>
      </c>
      <c r="E210">
        <v>4573750286</v>
      </c>
      <c r="F210">
        <v>7320149366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15</v>
      </c>
    </row>
    <row r="211" spans="1:16" x14ac:dyDescent="0.25">
      <c r="A211" s="1">
        <v>43894.708333333336</v>
      </c>
      <c r="B211" s="2" t="s">
        <v>12</v>
      </c>
      <c r="C211">
        <v>5</v>
      </c>
      <c r="D211" s="2" t="s">
        <v>58</v>
      </c>
      <c r="E211">
        <v>4543490485</v>
      </c>
      <c r="F211">
        <v>1233845213</v>
      </c>
      <c r="G211">
        <v>76</v>
      </c>
      <c r="H211">
        <v>23</v>
      </c>
      <c r="I211">
        <v>99</v>
      </c>
      <c r="J211">
        <v>246</v>
      </c>
      <c r="K211">
        <v>345</v>
      </c>
      <c r="L211">
        <v>48</v>
      </c>
      <c r="M211">
        <v>9</v>
      </c>
      <c r="N211">
        <v>6</v>
      </c>
      <c r="O211">
        <v>360</v>
      </c>
      <c r="P211">
        <v>10515</v>
      </c>
    </row>
    <row r="212" spans="1:16" x14ac:dyDescent="0.25">
      <c r="A212" s="1">
        <v>43895.708333333336</v>
      </c>
      <c r="B212" s="2" t="s">
        <v>12</v>
      </c>
      <c r="C212">
        <v>13</v>
      </c>
      <c r="D212" s="2" t="s">
        <v>38</v>
      </c>
      <c r="E212">
        <v>4235122196</v>
      </c>
      <c r="F212">
        <v>1339843823</v>
      </c>
      <c r="G212">
        <v>8</v>
      </c>
      <c r="H212">
        <v>0</v>
      </c>
      <c r="I212">
        <v>8</v>
      </c>
      <c r="J212">
        <v>0</v>
      </c>
      <c r="K212">
        <v>8</v>
      </c>
      <c r="L212">
        <v>1</v>
      </c>
      <c r="M212">
        <v>0</v>
      </c>
      <c r="N212">
        <v>0</v>
      </c>
      <c r="O212">
        <v>8</v>
      </c>
      <c r="P212">
        <v>96</v>
      </c>
    </row>
    <row r="213" spans="1:16" x14ac:dyDescent="0.25">
      <c r="A213" s="1">
        <v>43895.708333333336</v>
      </c>
      <c r="B213" s="2" t="s">
        <v>12</v>
      </c>
      <c r="C213">
        <v>17</v>
      </c>
      <c r="D213" s="2" t="s">
        <v>39</v>
      </c>
      <c r="E213">
        <v>4063947052</v>
      </c>
      <c r="F213">
        <v>1580514834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54</v>
      </c>
    </row>
    <row r="214" spans="1:16" x14ac:dyDescent="0.25">
      <c r="A214" s="1">
        <v>43895.708333333336</v>
      </c>
      <c r="B214" s="2" t="s">
        <v>12</v>
      </c>
      <c r="C214">
        <v>4</v>
      </c>
      <c r="D214" s="2" t="s">
        <v>40</v>
      </c>
      <c r="E214">
        <v>4649933453</v>
      </c>
      <c r="F214">
        <v>1135662422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20</v>
      </c>
    </row>
    <row r="215" spans="1:16" x14ac:dyDescent="0.25">
      <c r="A215" s="1">
        <v>43895.708333333336</v>
      </c>
      <c r="B215" s="2" t="s">
        <v>12</v>
      </c>
      <c r="C215">
        <v>18</v>
      </c>
      <c r="D215" s="2" t="s">
        <v>41</v>
      </c>
      <c r="E215">
        <v>3890597598</v>
      </c>
      <c r="F215">
        <v>1659440194</v>
      </c>
      <c r="G215">
        <v>1</v>
      </c>
      <c r="H215">
        <v>0</v>
      </c>
      <c r="I215">
        <v>1</v>
      </c>
      <c r="J215">
        <v>1</v>
      </c>
      <c r="K215">
        <v>2</v>
      </c>
      <c r="L215">
        <v>1</v>
      </c>
      <c r="M215">
        <v>0</v>
      </c>
      <c r="N215">
        <v>0</v>
      </c>
      <c r="O215">
        <v>2</v>
      </c>
      <c r="P215">
        <v>53</v>
      </c>
    </row>
    <row r="216" spans="1:16" x14ac:dyDescent="0.25">
      <c r="A216" s="1">
        <v>43895.708333333336</v>
      </c>
      <c r="B216" s="2" t="s">
        <v>12</v>
      </c>
      <c r="C216">
        <v>15</v>
      </c>
      <c r="D216" s="2" t="s">
        <v>42</v>
      </c>
      <c r="E216">
        <v>4083956555</v>
      </c>
      <c r="F216">
        <v>1425084984</v>
      </c>
      <c r="G216">
        <v>12</v>
      </c>
      <c r="H216">
        <v>0</v>
      </c>
      <c r="I216">
        <v>12</v>
      </c>
      <c r="J216">
        <v>33</v>
      </c>
      <c r="K216">
        <v>45</v>
      </c>
      <c r="L216">
        <v>14</v>
      </c>
      <c r="M216">
        <v>0</v>
      </c>
      <c r="N216">
        <v>0</v>
      </c>
      <c r="O216">
        <v>45</v>
      </c>
      <c r="P216">
        <v>471</v>
      </c>
    </row>
    <row r="217" spans="1:16" x14ac:dyDescent="0.25">
      <c r="A217" s="1">
        <v>43895.708333333336</v>
      </c>
      <c r="B217" s="2" t="s">
        <v>12</v>
      </c>
      <c r="C217">
        <v>8</v>
      </c>
      <c r="D217" s="2" t="s">
        <v>43</v>
      </c>
      <c r="E217">
        <v>4449436681</v>
      </c>
      <c r="F217">
        <v>113417208</v>
      </c>
      <c r="G217">
        <v>327</v>
      </c>
      <c r="H217">
        <v>32</v>
      </c>
      <c r="I217">
        <v>359</v>
      </c>
      <c r="J217">
        <v>299</v>
      </c>
      <c r="K217">
        <v>658</v>
      </c>
      <c r="L217">
        <v>142</v>
      </c>
      <c r="M217">
        <v>10</v>
      </c>
      <c r="N217">
        <v>30</v>
      </c>
      <c r="O217">
        <v>698</v>
      </c>
      <c r="P217">
        <v>2884</v>
      </c>
    </row>
    <row r="218" spans="1:16" x14ac:dyDescent="0.25">
      <c r="A218" s="1">
        <v>43895.708333333336</v>
      </c>
      <c r="B218" s="2" t="s">
        <v>12</v>
      </c>
      <c r="C218">
        <v>6</v>
      </c>
      <c r="D218" s="2" t="s">
        <v>44</v>
      </c>
      <c r="E218">
        <v>456494354</v>
      </c>
      <c r="F218">
        <v>1376813649</v>
      </c>
      <c r="G218">
        <v>4</v>
      </c>
      <c r="H218">
        <v>0</v>
      </c>
      <c r="I218">
        <v>4</v>
      </c>
      <c r="J218">
        <v>17</v>
      </c>
      <c r="K218">
        <v>21</v>
      </c>
      <c r="L218">
        <v>3</v>
      </c>
      <c r="M218">
        <v>0</v>
      </c>
      <c r="N218">
        <v>0</v>
      </c>
      <c r="O218">
        <v>21</v>
      </c>
      <c r="P218">
        <v>397</v>
      </c>
    </row>
    <row r="219" spans="1:16" x14ac:dyDescent="0.25">
      <c r="A219" s="1">
        <v>43895.708333333336</v>
      </c>
      <c r="B219" s="2" t="s">
        <v>12</v>
      </c>
      <c r="C219">
        <v>12</v>
      </c>
      <c r="D219" s="2" t="s">
        <v>45</v>
      </c>
      <c r="E219">
        <v>4189277044</v>
      </c>
      <c r="F219">
        <v>1248366722</v>
      </c>
      <c r="G219">
        <v>20</v>
      </c>
      <c r="H219">
        <v>7</v>
      </c>
      <c r="I219">
        <v>27</v>
      </c>
      <c r="J219">
        <v>14</v>
      </c>
      <c r="K219">
        <v>41</v>
      </c>
      <c r="L219">
        <v>14</v>
      </c>
      <c r="M219">
        <v>3</v>
      </c>
      <c r="N219">
        <v>0</v>
      </c>
      <c r="O219">
        <v>44</v>
      </c>
      <c r="P219">
        <v>1175</v>
      </c>
    </row>
    <row r="220" spans="1:16" x14ac:dyDescent="0.25">
      <c r="A220" s="1">
        <v>43895.708333333336</v>
      </c>
      <c r="B220" s="2" t="s">
        <v>12</v>
      </c>
      <c r="C220">
        <v>7</v>
      </c>
      <c r="D220" s="2" t="s">
        <v>46</v>
      </c>
      <c r="E220">
        <v>4441149315</v>
      </c>
      <c r="F220">
        <v>89326992</v>
      </c>
      <c r="G220">
        <v>11</v>
      </c>
      <c r="H220">
        <v>3</v>
      </c>
      <c r="I220">
        <v>14</v>
      </c>
      <c r="J220">
        <v>7</v>
      </c>
      <c r="K220">
        <v>21</v>
      </c>
      <c r="L220">
        <v>0</v>
      </c>
      <c r="M220">
        <v>4</v>
      </c>
      <c r="N220">
        <v>3</v>
      </c>
      <c r="O220">
        <v>28</v>
      </c>
      <c r="P220">
        <v>146</v>
      </c>
    </row>
    <row r="221" spans="1:16" x14ac:dyDescent="0.25">
      <c r="A221" s="1">
        <v>43895.708333333336</v>
      </c>
      <c r="B221" s="2" t="s">
        <v>12</v>
      </c>
      <c r="C221">
        <v>3</v>
      </c>
      <c r="D221" s="2" t="s">
        <v>47</v>
      </c>
      <c r="E221">
        <v>4546679409</v>
      </c>
      <c r="F221">
        <v>9190347404</v>
      </c>
      <c r="G221">
        <v>1169</v>
      </c>
      <c r="H221">
        <v>244</v>
      </c>
      <c r="I221">
        <v>1413</v>
      </c>
      <c r="J221">
        <v>364</v>
      </c>
      <c r="K221">
        <v>1777</v>
      </c>
      <c r="L221">
        <v>280</v>
      </c>
      <c r="M221">
        <v>376</v>
      </c>
      <c r="N221">
        <v>98</v>
      </c>
      <c r="O221">
        <v>2251</v>
      </c>
      <c r="P221">
        <v>12354</v>
      </c>
    </row>
    <row r="222" spans="1:16" x14ac:dyDescent="0.25">
      <c r="A222" s="1">
        <v>43895.708333333336</v>
      </c>
      <c r="B222" s="2" t="s">
        <v>12</v>
      </c>
      <c r="C222">
        <v>11</v>
      </c>
      <c r="D222" s="2" t="s">
        <v>48</v>
      </c>
      <c r="E222">
        <v>4361675973</v>
      </c>
      <c r="F222">
        <v>135188753</v>
      </c>
      <c r="G222">
        <v>57</v>
      </c>
      <c r="H222">
        <v>19</v>
      </c>
      <c r="I222">
        <v>76</v>
      </c>
      <c r="J222">
        <v>44</v>
      </c>
      <c r="K222">
        <v>120</v>
      </c>
      <c r="L222">
        <v>40</v>
      </c>
      <c r="M222">
        <v>0</v>
      </c>
      <c r="N222">
        <v>4</v>
      </c>
      <c r="O222">
        <v>124</v>
      </c>
      <c r="P222">
        <v>413</v>
      </c>
    </row>
    <row r="223" spans="1:16" x14ac:dyDescent="0.25">
      <c r="A223" s="1">
        <v>43895.708333333336</v>
      </c>
      <c r="B223" s="2" t="s">
        <v>12</v>
      </c>
      <c r="C223">
        <v>14</v>
      </c>
      <c r="D223" s="2" t="s">
        <v>49</v>
      </c>
      <c r="E223">
        <v>4155774754</v>
      </c>
      <c r="F223">
        <v>1465916051</v>
      </c>
      <c r="G223">
        <v>4</v>
      </c>
      <c r="H223">
        <v>0</v>
      </c>
      <c r="I223">
        <v>4</v>
      </c>
      <c r="J223">
        <v>3</v>
      </c>
      <c r="K223">
        <v>7</v>
      </c>
      <c r="L223">
        <v>4</v>
      </c>
      <c r="M223">
        <v>0</v>
      </c>
      <c r="N223">
        <v>0</v>
      </c>
      <c r="O223">
        <v>7</v>
      </c>
      <c r="P223">
        <v>24</v>
      </c>
    </row>
    <row r="224" spans="1:16" x14ac:dyDescent="0.25">
      <c r="A224" s="1">
        <v>43895.708333333336</v>
      </c>
      <c r="B224" s="2" t="s">
        <v>12</v>
      </c>
      <c r="C224">
        <v>1</v>
      </c>
      <c r="D224" s="2" t="s">
        <v>50</v>
      </c>
      <c r="E224">
        <v>450732745</v>
      </c>
      <c r="F224">
        <v>7680687483</v>
      </c>
      <c r="G224">
        <v>43</v>
      </c>
      <c r="H224">
        <v>17</v>
      </c>
      <c r="I224">
        <v>60</v>
      </c>
      <c r="J224">
        <v>46</v>
      </c>
      <c r="K224">
        <v>106</v>
      </c>
      <c r="L224">
        <v>24</v>
      </c>
      <c r="M224">
        <v>0</v>
      </c>
      <c r="N224">
        <v>2</v>
      </c>
      <c r="O224">
        <v>108</v>
      </c>
      <c r="P224">
        <v>543</v>
      </c>
    </row>
    <row r="225" spans="1:16" x14ac:dyDescent="0.25">
      <c r="A225" s="1">
        <v>43895.708333333336</v>
      </c>
      <c r="B225" s="2" t="s">
        <v>12</v>
      </c>
      <c r="C225">
        <v>16</v>
      </c>
      <c r="D225" s="2" t="s">
        <v>51</v>
      </c>
      <c r="E225">
        <v>4112559576</v>
      </c>
      <c r="F225">
        <v>1686736689</v>
      </c>
      <c r="G225">
        <v>5</v>
      </c>
      <c r="H225">
        <v>1</v>
      </c>
      <c r="I225">
        <v>6</v>
      </c>
      <c r="J225">
        <v>6</v>
      </c>
      <c r="K225">
        <v>12</v>
      </c>
      <c r="L225">
        <v>5</v>
      </c>
      <c r="M225">
        <v>1</v>
      </c>
      <c r="N225">
        <v>1</v>
      </c>
      <c r="O225">
        <v>14</v>
      </c>
      <c r="P225">
        <v>359</v>
      </c>
    </row>
    <row r="226" spans="1:16" x14ac:dyDescent="0.25">
      <c r="A226" s="1">
        <v>43895.708333333336</v>
      </c>
      <c r="B226" s="2" t="s">
        <v>12</v>
      </c>
      <c r="C226">
        <v>20</v>
      </c>
      <c r="D226" s="2" t="s">
        <v>52</v>
      </c>
      <c r="E226">
        <v>3921531192</v>
      </c>
      <c r="F226">
        <v>9110616306</v>
      </c>
      <c r="G226">
        <v>2</v>
      </c>
      <c r="H226">
        <v>0</v>
      </c>
      <c r="I226">
        <v>2</v>
      </c>
      <c r="J226">
        <v>0</v>
      </c>
      <c r="K226">
        <v>2</v>
      </c>
      <c r="L226">
        <v>0</v>
      </c>
      <c r="M226">
        <v>0</v>
      </c>
      <c r="N226">
        <v>0</v>
      </c>
      <c r="O226">
        <v>2</v>
      </c>
      <c r="P226">
        <v>50</v>
      </c>
    </row>
    <row r="227" spans="1:16" x14ac:dyDescent="0.25">
      <c r="A227" s="1">
        <v>43895.708333333336</v>
      </c>
      <c r="B227" s="2" t="s">
        <v>12</v>
      </c>
      <c r="C227">
        <v>19</v>
      </c>
      <c r="D227" s="2" t="s">
        <v>53</v>
      </c>
      <c r="E227">
        <v>3811569725</v>
      </c>
      <c r="F227">
        <v>133623567</v>
      </c>
      <c r="G227">
        <v>5</v>
      </c>
      <c r="H227">
        <v>0</v>
      </c>
      <c r="I227">
        <v>5</v>
      </c>
      <c r="J227">
        <v>11</v>
      </c>
      <c r="K227">
        <v>16</v>
      </c>
      <c r="L227">
        <v>0</v>
      </c>
      <c r="M227">
        <v>2</v>
      </c>
      <c r="N227">
        <v>0</v>
      </c>
      <c r="O227">
        <v>18</v>
      </c>
      <c r="P227">
        <v>367</v>
      </c>
    </row>
    <row r="228" spans="1:16" x14ac:dyDescent="0.25">
      <c r="A228" s="1">
        <v>43895.708333333336</v>
      </c>
      <c r="B228" s="2" t="s">
        <v>12</v>
      </c>
      <c r="C228">
        <v>9</v>
      </c>
      <c r="D228" s="2" t="s">
        <v>54</v>
      </c>
      <c r="E228">
        <v>4376923077</v>
      </c>
      <c r="F228">
        <v>1125588885</v>
      </c>
      <c r="G228">
        <v>26</v>
      </c>
      <c r="H228">
        <v>3</v>
      </c>
      <c r="I228">
        <v>29</v>
      </c>
      <c r="J228">
        <v>31</v>
      </c>
      <c r="K228">
        <v>60</v>
      </c>
      <c r="L228">
        <v>23</v>
      </c>
      <c r="M228">
        <v>1</v>
      </c>
      <c r="N228">
        <v>0</v>
      </c>
      <c r="O228">
        <v>61</v>
      </c>
      <c r="P228">
        <v>776</v>
      </c>
    </row>
    <row r="229" spans="1:16" x14ac:dyDescent="0.25">
      <c r="A229" s="1">
        <v>43895.708333333336</v>
      </c>
      <c r="B229" s="2" t="s">
        <v>12</v>
      </c>
      <c r="C229">
        <v>4</v>
      </c>
      <c r="D229" s="2" t="s">
        <v>55</v>
      </c>
      <c r="E229">
        <v>4606893511</v>
      </c>
      <c r="F229">
        <v>1112123097</v>
      </c>
      <c r="G229">
        <v>2</v>
      </c>
      <c r="H229">
        <v>0</v>
      </c>
      <c r="I229">
        <v>2</v>
      </c>
      <c r="J229">
        <v>5</v>
      </c>
      <c r="K229">
        <v>7</v>
      </c>
      <c r="L229">
        <v>2</v>
      </c>
      <c r="M229">
        <v>0</v>
      </c>
      <c r="N229">
        <v>0</v>
      </c>
      <c r="O229">
        <v>7</v>
      </c>
      <c r="P229">
        <v>122</v>
      </c>
    </row>
    <row r="230" spans="1:16" x14ac:dyDescent="0.25">
      <c r="A230" s="1">
        <v>43895.708333333336</v>
      </c>
      <c r="B230" s="2" t="s">
        <v>12</v>
      </c>
      <c r="C230">
        <v>10</v>
      </c>
      <c r="D230" s="2" t="s">
        <v>56</v>
      </c>
      <c r="E230">
        <v>4310675841</v>
      </c>
      <c r="F230">
        <v>1238824698</v>
      </c>
      <c r="G230">
        <v>1</v>
      </c>
      <c r="H230">
        <v>1</v>
      </c>
      <c r="I230">
        <v>2</v>
      </c>
      <c r="J230">
        <v>7</v>
      </c>
      <c r="K230">
        <v>9</v>
      </c>
      <c r="L230">
        <v>0</v>
      </c>
      <c r="M230">
        <v>0</v>
      </c>
      <c r="N230">
        <v>0</v>
      </c>
      <c r="O230">
        <v>9</v>
      </c>
      <c r="P230">
        <v>88</v>
      </c>
    </row>
    <row r="231" spans="1:16" x14ac:dyDescent="0.25">
      <c r="A231" s="1">
        <v>43895.708333333336</v>
      </c>
      <c r="B231" s="2" t="s">
        <v>12</v>
      </c>
      <c r="C231">
        <v>2</v>
      </c>
      <c r="D231" s="2" t="s">
        <v>57</v>
      </c>
      <c r="E231">
        <v>4573750286</v>
      </c>
      <c r="F231">
        <v>7320149366</v>
      </c>
      <c r="G231">
        <v>0</v>
      </c>
      <c r="H231">
        <v>0</v>
      </c>
      <c r="I231">
        <v>0</v>
      </c>
      <c r="J231">
        <v>2</v>
      </c>
      <c r="K231">
        <v>2</v>
      </c>
      <c r="L231">
        <v>2</v>
      </c>
      <c r="M231">
        <v>0</v>
      </c>
      <c r="N231">
        <v>0</v>
      </c>
      <c r="O231">
        <v>2</v>
      </c>
      <c r="P231">
        <v>21</v>
      </c>
    </row>
    <row r="232" spans="1:16" x14ac:dyDescent="0.25">
      <c r="A232" s="1">
        <v>43895.708333333336</v>
      </c>
      <c r="B232" s="2" t="s">
        <v>12</v>
      </c>
      <c r="C232">
        <v>5</v>
      </c>
      <c r="D232" s="2" t="s">
        <v>58</v>
      </c>
      <c r="E232">
        <v>4543490485</v>
      </c>
      <c r="F232">
        <v>1233845213</v>
      </c>
      <c r="G232">
        <v>92</v>
      </c>
      <c r="H232">
        <v>24</v>
      </c>
      <c r="I232">
        <v>116</v>
      </c>
      <c r="J232">
        <v>264</v>
      </c>
      <c r="K232">
        <v>380</v>
      </c>
      <c r="L232">
        <v>35</v>
      </c>
      <c r="M232">
        <v>17</v>
      </c>
      <c r="N232">
        <v>10</v>
      </c>
      <c r="O232">
        <v>407</v>
      </c>
      <c r="P232">
        <v>11949</v>
      </c>
    </row>
    <row r="233" spans="1:16" x14ac:dyDescent="0.25">
      <c r="A233" s="1">
        <v>43896.708333333336</v>
      </c>
      <c r="B233" s="2" t="s">
        <v>12</v>
      </c>
      <c r="C233">
        <v>13</v>
      </c>
      <c r="D233" s="2" t="s">
        <v>38</v>
      </c>
      <c r="E233">
        <v>4235122196</v>
      </c>
      <c r="F233">
        <v>1339843823</v>
      </c>
      <c r="G233">
        <v>9</v>
      </c>
      <c r="H233">
        <v>0</v>
      </c>
      <c r="I233">
        <v>9</v>
      </c>
      <c r="J233">
        <v>0</v>
      </c>
      <c r="K233">
        <v>9</v>
      </c>
      <c r="L233">
        <v>1</v>
      </c>
      <c r="M233">
        <v>0</v>
      </c>
      <c r="N233">
        <v>0</v>
      </c>
      <c r="O233">
        <v>9</v>
      </c>
      <c r="P233">
        <v>96</v>
      </c>
    </row>
    <row r="234" spans="1:16" x14ac:dyDescent="0.25">
      <c r="A234" s="1">
        <v>43896.708333333336</v>
      </c>
      <c r="B234" s="2" t="s">
        <v>12</v>
      </c>
      <c r="C234">
        <v>17</v>
      </c>
      <c r="D234" s="2" t="s">
        <v>39</v>
      </c>
      <c r="E234">
        <v>4063947052</v>
      </c>
      <c r="F234">
        <v>1580514834</v>
      </c>
      <c r="G234">
        <v>1</v>
      </c>
      <c r="H234">
        <v>0</v>
      </c>
      <c r="I234">
        <v>1</v>
      </c>
      <c r="J234">
        <v>2</v>
      </c>
      <c r="K234">
        <v>3</v>
      </c>
      <c r="L234">
        <v>2</v>
      </c>
      <c r="M234">
        <v>0</v>
      </c>
      <c r="N234">
        <v>0</v>
      </c>
      <c r="O234">
        <v>3</v>
      </c>
      <c r="P234">
        <v>63</v>
      </c>
    </row>
    <row r="235" spans="1:16" x14ac:dyDescent="0.25">
      <c r="A235" s="1">
        <v>43896.708333333336</v>
      </c>
      <c r="B235" s="2" t="s">
        <v>12</v>
      </c>
      <c r="C235">
        <v>4</v>
      </c>
      <c r="D235" s="2" t="s">
        <v>40</v>
      </c>
      <c r="E235">
        <v>4649933453</v>
      </c>
      <c r="F235">
        <v>1135662422</v>
      </c>
      <c r="G235">
        <v>4</v>
      </c>
      <c r="H235">
        <v>0</v>
      </c>
      <c r="I235">
        <v>4</v>
      </c>
      <c r="J235">
        <v>0</v>
      </c>
      <c r="K235">
        <v>4</v>
      </c>
      <c r="L235">
        <v>3</v>
      </c>
      <c r="M235">
        <v>0</v>
      </c>
      <c r="N235">
        <v>0</v>
      </c>
      <c r="O235">
        <v>4</v>
      </c>
      <c r="P235">
        <v>36</v>
      </c>
    </row>
    <row r="236" spans="1:16" x14ac:dyDescent="0.25">
      <c r="A236" s="1">
        <v>43896.708333333336</v>
      </c>
      <c r="B236" s="2" t="s">
        <v>12</v>
      </c>
      <c r="C236">
        <v>18</v>
      </c>
      <c r="D236" s="2" t="s">
        <v>41</v>
      </c>
      <c r="E236">
        <v>3890597598</v>
      </c>
      <c r="F236">
        <v>1659440194</v>
      </c>
      <c r="G236">
        <v>2</v>
      </c>
      <c r="H236">
        <v>0</v>
      </c>
      <c r="I236">
        <v>2</v>
      </c>
      <c r="J236">
        <v>2</v>
      </c>
      <c r="K236">
        <v>4</v>
      </c>
      <c r="L236">
        <v>2</v>
      </c>
      <c r="M236">
        <v>0</v>
      </c>
      <c r="N236">
        <v>0</v>
      </c>
      <c r="O236">
        <v>4</v>
      </c>
      <c r="P236">
        <v>99</v>
      </c>
    </row>
    <row r="237" spans="1:16" x14ac:dyDescent="0.25">
      <c r="A237" s="1">
        <v>43896.708333333336</v>
      </c>
      <c r="B237" s="2" t="s">
        <v>12</v>
      </c>
      <c r="C237">
        <v>15</v>
      </c>
      <c r="D237" s="2" t="s">
        <v>42</v>
      </c>
      <c r="E237">
        <v>4083956555</v>
      </c>
      <c r="F237">
        <v>1425084984</v>
      </c>
      <c r="G237">
        <v>12</v>
      </c>
      <c r="H237">
        <v>0</v>
      </c>
      <c r="I237">
        <v>12</v>
      </c>
      <c r="J237">
        <v>45</v>
      </c>
      <c r="K237">
        <v>57</v>
      </c>
      <c r="L237">
        <v>12</v>
      </c>
      <c r="M237">
        <v>0</v>
      </c>
      <c r="N237">
        <v>0</v>
      </c>
      <c r="O237">
        <v>57</v>
      </c>
      <c r="P237">
        <v>471</v>
      </c>
    </row>
    <row r="238" spans="1:16" x14ac:dyDescent="0.25">
      <c r="A238" s="1">
        <v>43896.708333333336</v>
      </c>
      <c r="B238" s="2" t="s">
        <v>12</v>
      </c>
      <c r="C238">
        <v>8</v>
      </c>
      <c r="D238" s="2" t="s">
        <v>43</v>
      </c>
      <c r="E238">
        <v>4449436681</v>
      </c>
      <c r="F238">
        <v>113417208</v>
      </c>
      <c r="G238">
        <v>397</v>
      </c>
      <c r="H238">
        <v>53</v>
      </c>
      <c r="I238">
        <v>450</v>
      </c>
      <c r="J238">
        <v>366</v>
      </c>
      <c r="K238">
        <v>816</v>
      </c>
      <c r="L238">
        <v>158</v>
      </c>
      <c r="M238">
        <v>17</v>
      </c>
      <c r="N238">
        <v>37</v>
      </c>
      <c r="O238">
        <v>870</v>
      </c>
      <c r="P238">
        <v>3136</v>
      </c>
    </row>
    <row r="239" spans="1:16" x14ac:dyDescent="0.25">
      <c r="A239" s="1">
        <v>43896.708333333336</v>
      </c>
      <c r="B239" s="2" t="s">
        <v>12</v>
      </c>
      <c r="C239">
        <v>6</v>
      </c>
      <c r="D239" s="2" t="s">
        <v>44</v>
      </c>
      <c r="E239">
        <v>456494354</v>
      </c>
      <c r="F239">
        <v>1376813649</v>
      </c>
      <c r="G239">
        <v>4</v>
      </c>
      <c r="H239">
        <v>0</v>
      </c>
      <c r="I239">
        <v>4</v>
      </c>
      <c r="J239">
        <v>24</v>
      </c>
      <c r="K239">
        <v>28</v>
      </c>
      <c r="L239">
        <v>7</v>
      </c>
      <c r="M239">
        <v>3</v>
      </c>
      <c r="N239">
        <v>0</v>
      </c>
      <c r="O239">
        <v>31</v>
      </c>
      <c r="P239">
        <v>577</v>
      </c>
    </row>
    <row r="240" spans="1:16" x14ac:dyDescent="0.25">
      <c r="A240" s="1">
        <v>43896.708333333336</v>
      </c>
      <c r="B240" s="2" t="s">
        <v>12</v>
      </c>
      <c r="C240">
        <v>12</v>
      </c>
      <c r="D240" s="2" t="s">
        <v>45</v>
      </c>
      <c r="E240">
        <v>4189277044</v>
      </c>
      <c r="F240">
        <v>1248366722</v>
      </c>
      <c r="G240">
        <v>26</v>
      </c>
      <c r="H240">
        <v>8</v>
      </c>
      <c r="I240">
        <v>34</v>
      </c>
      <c r="J240">
        <v>16</v>
      </c>
      <c r="K240">
        <v>50</v>
      </c>
      <c r="L240">
        <v>9</v>
      </c>
      <c r="M240">
        <v>3</v>
      </c>
      <c r="N240">
        <v>1</v>
      </c>
      <c r="O240">
        <v>54</v>
      </c>
      <c r="P240">
        <v>1373</v>
      </c>
    </row>
    <row r="241" spans="1:16" x14ac:dyDescent="0.25">
      <c r="A241" s="1">
        <v>43896.708333333336</v>
      </c>
      <c r="B241" s="2" t="s">
        <v>12</v>
      </c>
      <c r="C241">
        <v>7</v>
      </c>
      <c r="D241" s="2" t="s">
        <v>46</v>
      </c>
      <c r="E241">
        <v>4441149315</v>
      </c>
      <c r="F241">
        <v>89326992</v>
      </c>
      <c r="G241">
        <v>12</v>
      </c>
      <c r="H241">
        <v>5</v>
      </c>
      <c r="I241">
        <v>17</v>
      </c>
      <c r="J241">
        <v>7</v>
      </c>
      <c r="K241">
        <v>24</v>
      </c>
      <c r="L241">
        <v>3</v>
      </c>
      <c r="M241">
        <v>5</v>
      </c>
      <c r="N241">
        <v>3</v>
      </c>
      <c r="O241">
        <v>32</v>
      </c>
      <c r="P241">
        <v>229</v>
      </c>
    </row>
    <row r="242" spans="1:16" x14ac:dyDescent="0.25">
      <c r="A242" s="1">
        <v>43896.708333333336</v>
      </c>
      <c r="B242" s="2" t="s">
        <v>12</v>
      </c>
      <c r="C242">
        <v>3</v>
      </c>
      <c r="D242" s="2" t="s">
        <v>47</v>
      </c>
      <c r="E242">
        <v>4546679409</v>
      </c>
      <c r="F242">
        <v>9190347404</v>
      </c>
      <c r="G242">
        <v>1622</v>
      </c>
      <c r="H242">
        <v>309</v>
      </c>
      <c r="I242">
        <v>1931</v>
      </c>
      <c r="J242">
        <v>77</v>
      </c>
      <c r="K242">
        <v>2008</v>
      </c>
      <c r="L242">
        <v>231</v>
      </c>
      <c r="M242">
        <v>469</v>
      </c>
      <c r="N242">
        <v>135</v>
      </c>
      <c r="O242">
        <v>2612</v>
      </c>
      <c r="P242">
        <v>13556</v>
      </c>
    </row>
    <row r="243" spans="1:16" x14ac:dyDescent="0.25">
      <c r="A243" s="1">
        <v>43896.708333333336</v>
      </c>
      <c r="B243" s="2" t="s">
        <v>12</v>
      </c>
      <c r="C243">
        <v>11</v>
      </c>
      <c r="D243" s="2" t="s">
        <v>48</v>
      </c>
      <c r="E243">
        <v>4361675973</v>
      </c>
      <c r="F243">
        <v>135188753</v>
      </c>
      <c r="G243">
        <v>73</v>
      </c>
      <c r="H243">
        <v>20</v>
      </c>
      <c r="I243">
        <v>93</v>
      </c>
      <c r="J243">
        <v>62</v>
      </c>
      <c r="K243">
        <v>155</v>
      </c>
      <c r="L243">
        <v>35</v>
      </c>
      <c r="M243">
        <v>0</v>
      </c>
      <c r="N243">
        <v>4</v>
      </c>
      <c r="O243">
        <v>159</v>
      </c>
      <c r="P243">
        <v>585</v>
      </c>
    </row>
    <row r="244" spans="1:16" x14ac:dyDescent="0.25">
      <c r="A244" s="1">
        <v>43896.708333333336</v>
      </c>
      <c r="B244" s="2" t="s">
        <v>12</v>
      </c>
      <c r="C244">
        <v>14</v>
      </c>
      <c r="D244" s="2" t="s">
        <v>49</v>
      </c>
      <c r="E244">
        <v>4155774754</v>
      </c>
      <c r="F244">
        <v>1465916051</v>
      </c>
      <c r="G244">
        <v>3</v>
      </c>
      <c r="H244">
        <v>2</v>
      </c>
      <c r="I244">
        <v>5</v>
      </c>
      <c r="J244">
        <v>7</v>
      </c>
      <c r="K244">
        <v>12</v>
      </c>
      <c r="L244">
        <v>5</v>
      </c>
      <c r="M244">
        <v>0</v>
      </c>
      <c r="N244">
        <v>0</v>
      </c>
      <c r="O244">
        <v>12</v>
      </c>
      <c r="P244">
        <v>104</v>
      </c>
    </row>
    <row r="245" spans="1:16" x14ac:dyDescent="0.25">
      <c r="A245" s="1">
        <v>43896.708333333336</v>
      </c>
      <c r="B245" s="2" t="s">
        <v>12</v>
      </c>
      <c r="C245">
        <v>1</v>
      </c>
      <c r="D245" s="2" t="s">
        <v>50</v>
      </c>
      <c r="E245">
        <v>450732745</v>
      </c>
      <c r="F245">
        <v>7680687483</v>
      </c>
      <c r="G245">
        <v>57</v>
      </c>
      <c r="H245">
        <v>30</v>
      </c>
      <c r="I245">
        <v>87</v>
      </c>
      <c r="J245">
        <v>52</v>
      </c>
      <c r="K245">
        <v>139</v>
      </c>
      <c r="L245">
        <v>33</v>
      </c>
      <c r="M245">
        <v>0</v>
      </c>
      <c r="N245">
        <v>4</v>
      </c>
      <c r="O245">
        <v>143</v>
      </c>
      <c r="P245">
        <v>793</v>
      </c>
    </row>
    <row r="246" spans="1:16" x14ac:dyDescent="0.25">
      <c r="A246" s="1">
        <v>43896.708333333336</v>
      </c>
      <c r="B246" s="2" t="s">
        <v>12</v>
      </c>
      <c r="C246">
        <v>16</v>
      </c>
      <c r="D246" s="2" t="s">
        <v>51</v>
      </c>
      <c r="E246">
        <v>4112559576</v>
      </c>
      <c r="F246">
        <v>1686736689</v>
      </c>
      <c r="G246">
        <v>5</v>
      </c>
      <c r="H246">
        <v>1</v>
      </c>
      <c r="I246">
        <v>6</v>
      </c>
      <c r="J246">
        <v>9</v>
      </c>
      <c r="K246">
        <v>15</v>
      </c>
      <c r="L246">
        <v>3</v>
      </c>
      <c r="M246">
        <v>1</v>
      </c>
      <c r="N246">
        <v>1</v>
      </c>
      <c r="O246">
        <v>17</v>
      </c>
      <c r="P246">
        <v>395</v>
      </c>
    </row>
    <row r="247" spans="1:16" x14ac:dyDescent="0.25">
      <c r="A247" s="1">
        <v>43896.708333333336</v>
      </c>
      <c r="B247" s="2" t="s">
        <v>12</v>
      </c>
      <c r="C247">
        <v>20</v>
      </c>
      <c r="D247" s="2" t="s">
        <v>52</v>
      </c>
      <c r="E247">
        <v>3921531192</v>
      </c>
      <c r="F247">
        <v>9110616306</v>
      </c>
      <c r="G247">
        <v>2</v>
      </c>
      <c r="H247">
        <v>0</v>
      </c>
      <c r="I247">
        <v>2</v>
      </c>
      <c r="J247">
        <v>3</v>
      </c>
      <c r="K247">
        <v>5</v>
      </c>
      <c r="L247">
        <v>3</v>
      </c>
      <c r="M247">
        <v>0</v>
      </c>
      <c r="N247">
        <v>0</v>
      </c>
      <c r="O247">
        <v>5</v>
      </c>
      <c r="P247">
        <v>99</v>
      </c>
    </row>
    <row r="248" spans="1:16" x14ac:dyDescent="0.25">
      <c r="A248" s="1">
        <v>43896.708333333336</v>
      </c>
      <c r="B248" s="2" t="s">
        <v>12</v>
      </c>
      <c r="C248">
        <v>19</v>
      </c>
      <c r="D248" s="2" t="s">
        <v>53</v>
      </c>
      <c r="E248">
        <v>3811569725</v>
      </c>
      <c r="F248">
        <v>133623567</v>
      </c>
      <c r="G248">
        <v>7</v>
      </c>
      <c r="H248">
        <v>0</v>
      </c>
      <c r="I248">
        <v>7</v>
      </c>
      <c r="J248">
        <v>15</v>
      </c>
      <c r="K248">
        <v>22</v>
      </c>
      <c r="L248">
        <v>6</v>
      </c>
      <c r="M248">
        <v>2</v>
      </c>
      <c r="N248">
        <v>0</v>
      </c>
      <c r="O248">
        <v>24</v>
      </c>
      <c r="P248">
        <v>367</v>
      </c>
    </row>
    <row r="249" spans="1:16" x14ac:dyDescent="0.25">
      <c r="A249" s="1">
        <v>43896.708333333336</v>
      </c>
      <c r="B249" s="2" t="s">
        <v>12</v>
      </c>
      <c r="C249">
        <v>9</v>
      </c>
      <c r="D249" s="2" t="s">
        <v>54</v>
      </c>
      <c r="E249">
        <v>4376923077</v>
      </c>
      <c r="F249">
        <v>1125588885</v>
      </c>
      <c r="G249">
        <v>35</v>
      </c>
      <c r="H249">
        <v>5</v>
      </c>
      <c r="I249">
        <v>40</v>
      </c>
      <c r="J249">
        <v>38</v>
      </c>
      <c r="K249">
        <v>78</v>
      </c>
      <c r="L249">
        <v>18</v>
      </c>
      <c r="M249">
        <v>1</v>
      </c>
      <c r="N249">
        <v>0</v>
      </c>
      <c r="O249">
        <v>79</v>
      </c>
      <c r="P249">
        <v>1097</v>
      </c>
    </row>
    <row r="250" spans="1:16" x14ac:dyDescent="0.25">
      <c r="A250" s="1">
        <v>43896.708333333336</v>
      </c>
      <c r="B250" s="2" t="s">
        <v>12</v>
      </c>
      <c r="C250">
        <v>4</v>
      </c>
      <c r="D250" s="2" t="s">
        <v>55</v>
      </c>
      <c r="E250">
        <v>4606893511</v>
      </c>
      <c r="F250">
        <v>1112123097</v>
      </c>
      <c r="G250">
        <v>4</v>
      </c>
      <c r="H250">
        <v>0</v>
      </c>
      <c r="I250">
        <v>4</v>
      </c>
      <c r="J250">
        <v>6</v>
      </c>
      <c r="K250">
        <v>10</v>
      </c>
      <c r="L250">
        <v>3</v>
      </c>
      <c r="M250">
        <v>0</v>
      </c>
      <c r="N250">
        <v>0</v>
      </c>
      <c r="O250">
        <v>10</v>
      </c>
      <c r="P250">
        <v>122</v>
      </c>
    </row>
    <row r="251" spans="1:16" x14ac:dyDescent="0.25">
      <c r="A251" s="1">
        <v>43896.708333333336</v>
      </c>
      <c r="B251" s="2" t="s">
        <v>12</v>
      </c>
      <c r="C251">
        <v>10</v>
      </c>
      <c r="D251" s="2" t="s">
        <v>56</v>
      </c>
      <c r="E251">
        <v>4310675841</v>
      </c>
      <c r="F251">
        <v>1238824698</v>
      </c>
      <c r="G251">
        <v>2</v>
      </c>
      <c r="H251">
        <v>2</v>
      </c>
      <c r="I251">
        <v>4</v>
      </c>
      <c r="J251">
        <v>12</v>
      </c>
      <c r="K251">
        <v>16</v>
      </c>
      <c r="L251">
        <v>7</v>
      </c>
      <c r="M251">
        <v>0</v>
      </c>
      <c r="N251">
        <v>0</v>
      </c>
      <c r="O251">
        <v>16</v>
      </c>
      <c r="P251">
        <v>110</v>
      </c>
    </row>
    <row r="252" spans="1:16" x14ac:dyDescent="0.25">
      <c r="A252" s="1">
        <v>43896.708333333336</v>
      </c>
      <c r="B252" s="2" t="s">
        <v>12</v>
      </c>
      <c r="C252">
        <v>2</v>
      </c>
      <c r="D252" s="2" t="s">
        <v>57</v>
      </c>
      <c r="E252">
        <v>4573750286</v>
      </c>
      <c r="F252">
        <v>7320149366</v>
      </c>
      <c r="G252">
        <v>0</v>
      </c>
      <c r="H252">
        <v>0</v>
      </c>
      <c r="I252">
        <v>0</v>
      </c>
      <c r="J252">
        <v>7</v>
      </c>
      <c r="K252">
        <v>7</v>
      </c>
      <c r="L252">
        <v>5</v>
      </c>
      <c r="M252">
        <v>0</v>
      </c>
      <c r="N252">
        <v>0</v>
      </c>
      <c r="O252">
        <v>7</v>
      </c>
      <c r="P252">
        <v>28</v>
      </c>
    </row>
    <row r="253" spans="1:16" x14ac:dyDescent="0.25">
      <c r="A253" s="1">
        <v>43896.708333333336</v>
      </c>
      <c r="B253" s="2" t="s">
        <v>12</v>
      </c>
      <c r="C253">
        <v>5</v>
      </c>
      <c r="D253" s="2" t="s">
        <v>58</v>
      </c>
      <c r="E253">
        <v>4543490485</v>
      </c>
      <c r="F253">
        <v>1233845213</v>
      </c>
      <c r="G253">
        <v>117</v>
      </c>
      <c r="H253">
        <v>27</v>
      </c>
      <c r="I253">
        <v>144</v>
      </c>
      <c r="J253">
        <v>310</v>
      </c>
      <c r="K253">
        <v>454</v>
      </c>
      <c r="L253">
        <v>74</v>
      </c>
      <c r="M253">
        <v>22</v>
      </c>
      <c r="N253">
        <v>12</v>
      </c>
      <c r="O253">
        <v>488</v>
      </c>
      <c r="P253">
        <v>13023</v>
      </c>
    </row>
    <row r="254" spans="1:16" x14ac:dyDescent="0.25">
      <c r="A254" s="1">
        <v>43897.75</v>
      </c>
      <c r="B254" s="2" t="s">
        <v>12</v>
      </c>
      <c r="C254">
        <v>13</v>
      </c>
      <c r="D254" s="2" t="s">
        <v>38</v>
      </c>
      <c r="E254">
        <v>4235122196</v>
      </c>
      <c r="F254">
        <v>1339843823</v>
      </c>
      <c r="G254">
        <v>11</v>
      </c>
      <c r="H254">
        <v>0</v>
      </c>
      <c r="I254">
        <v>11</v>
      </c>
      <c r="J254">
        <v>0</v>
      </c>
      <c r="K254">
        <v>11</v>
      </c>
      <c r="L254">
        <v>2</v>
      </c>
      <c r="M254">
        <v>0</v>
      </c>
      <c r="N254">
        <v>0</v>
      </c>
      <c r="O254">
        <v>11</v>
      </c>
      <c r="P254">
        <v>123</v>
      </c>
    </row>
    <row r="255" spans="1:16" x14ac:dyDescent="0.25">
      <c r="A255" s="1">
        <v>43897.75</v>
      </c>
      <c r="B255" s="2" t="s">
        <v>12</v>
      </c>
      <c r="C255">
        <v>17</v>
      </c>
      <c r="D255" s="2" t="s">
        <v>39</v>
      </c>
      <c r="E255">
        <v>4063947052</v>
      </c>
      <c r="F255">
        <v>1580514834</v>
      </c>
      <c r="G255">
        <v>1</v>
      </c>
      <c r="H255">
        <v>0</v>
      </c>
      <c r="I255">
        <v>1</v>
      </c>
      <c r="J255">
        <v>2</v>
      </c>
      <c r="K255">
        <v>3</v>
      </c>
      <c r="L255">
        <v>0</v>
      </c>
      <c r="M255">
        <v>0</v>
      </c>
      <c r="N255">
        <v>0</v>
      </c>
      <c r="O255">
        <v>3</v>
      </c>
      <c r="P255">
        <v>75</v>
      </c>
    </row>
    <row r="256" spans="1:16" x14ac:dyDescent="0.25">
      <c r="A256" s="1">
        <v>43897.75</v>
      </c>
      <c r="B256" s="2" t="s">
        <v>12</v>
      </c>
      <c r="C256">
        <v>4</v>
      </c>
      <c r="D256" s="2" t="s">
        <v>40</v>
      </c>
      <c r="E256">
        <v>4649933453</v>
      </c>
      <c r="F256">
        <v>1135662422</v>
      </c>
      <c r="G256">
        <v>8</v>
      </c>
      <c r="H256">
        <v>0</v>
      </c>
      <c r="I256">
        <v>8</v>
      </c>
      <c r="J256">
        <v>1</v>
      </c>
      <c r="K256">
        <v>9</v>
      </c>
      <c r="L256">
        <v>5</v>
      </c>
      <c r="M256">
        <v>0</v>
      </c>
      <c r="N256">
        <v>0</v>
      </c>
      <c r="O256">
        <v>9</v>
      </c>
      <c r="P256">
        <v>36</v>
      </c>
    </row>
    <row r="257" spans="1:16" x14ac:dyDescent="0.25">
      <c r="A257" s="1">
        <v>43897.75</v>
      </c>
      <c r="B257" s="2" t="s">
        <v>12</v>
      </c>
      <c r="C257">
        <v>18</v>
      </c>
      <c r="D257" s="2" t="s">
        <v>41</v>
      </c>
      <c r="E257">
        <v>3810922769</v>
      </c>
      <c r="F257">
        <v>156434527</v>
      </c>
      <c r="G257">
        <v>2</v>
      </c>
      <c r="H257">
        <v>0</v>
      </c>
      <c r="I257">
        <v>2</v>
      </c>
      <c r="J257">
        <v>2</v>
      </c>
      <c r="K257">
        <v>4</v>
      </c>
      <c r="L257">
        <v>0</v>
      </c>
      <c r="M257">
        <v>0</v>
      </c>
      <c r="N257">
        <v>0</v>
      </c>
      <c r="O257">
        <v>4</v>
      </c>
      <c r="P257">
        <v>113</v>
      </c>
    </row>
    <row r="258" spans="1:16" x14ac:dyDescent="0.25">
      <c r="A258" s="1">
        <v>43897.75</v>
      </c>
      <c r="B258" s="2" t="s">
        <v>12</v>
      </c>
      <c r="C258">
        <v>15</v>
      </c>
      <c r="D258" s="2" t="s">
        <v>42</v>
      </c>
      <c r="E258">
        <v>4083956555</v>
      </c>
      <c r="F258">
        <v>1425084984</v>
      </c>
      <c r="G258">
        <v>16</v>
      </c>
      <c r="H258">
        <v>0</v>
      </c>
      <c r="I258">
        <v>16</v>
      </c>
      <c r="J258">
        <v>45</v>
      </c>
      <c r="K258">
        <v>61</v>
      </c>
      <c r="L258">
        <v>4</v>
      </c>
      <c r="M258">
        <v>0</v>
      </c>
      <c r="N258">
        <v>0</v>
      </c>
      <c r="O258">
        <v>61</v>
      </c>
      <c r="P258">
        <v>612</v>
      </c>
    </row>
    <row r="259" spans="1:16" x14ac:dyDescent="0.25">
      <c r="A259" s="1">
        <v>43897.75</v>
      </c>
      <c r="B259" s="2" t="s">
        <v>12</v>
      </c>
      <c r="C259">
        <v>8</v>
      </c>
      <c r="D259" s="2" t="s">
        <v>43</v>
      </c>
      <c r="E259">
        <v>4449436681</v>
      </c>
      <c r="F259">
        <v>113417208</v>
      </c>
      <c r="G259">
        <v>464</v>
      </c>
      <c r="H259">
        <v>64</v>
      </c>
      <c r="I259">
        <v>528</v>
      </c>
      <c r="J259">
        <v>409</v>
      </c>
      <c r="K259">
        <v>937</v>
      </c>
      <c r="L259">
        <v>121</v>
      </c>
      <c r="M259">
        <v>25</v>
      </c>
      <c r="N259">
        <v>48</v>
      </c>
      <c r="O259">
        <v>1010</v>
      </c>
      <c r="P259">
        <v>3604</v>
      </c>
    </row>
    <row r="260" spans="1:16" x14ac:dyDescent="0.25">
      <c r="A260" s="1">
        <v>43897.75</v>
      </c>
      <c r="B260" s="2" t="s">
        <v>12</v>
      </c>
      <c r="C260">
        <v>6</v>
      </c>
      <c r="D260" s="2" t="s">
        <v>44</v>
      </c>
      <c r="E260">
        <v>456494354</v>
      </c>
      <c r="F260">
        <v>1376813649</v>
      </c>
      <c r="G260">
        <v>7</v>
      </c>
      <c r="H260">
        <v>1</v>
      </c>
      <c r="I260">
        <v>8</v>
      </c>
      <c r="J260">
        <v>31</v>
      </c>
      <c r="K260">
        <v>39</v>
      </c>
      <c r="L260">
        <v>11</v>
      </c>
      <c r="M260">
        <v>3</v>
      </c>
      <c r="N260">
        <v>0</v>
      </c>
      <c r="O260">
        <v>42</v>
      </c>
      <c r="P260">
        <v>577</v>
      </c>
    </row>
    <row r="261" spans="1:16" x14ac:dyDescent="0.25">
      <c r="A261" s="1">
        <v>43897.75</v>
      </c>
      <c r="B261" s="2" t="s">
        <v>12</v>
      </c>
      <c r="C261">
        <v>12</v>
      </c>
      <c r="D261" s="2" t="s">
        <v>45</v>
      </c>
      <c r="E261">
        <v>4189277044</v>
      </c>
      <c r="F261">
        <v>1248366722</v>
      </c>
      <c r="G261">
        <v>43</v>
      </c>
      <c r="H261">
        <v>8</v>
      </c>
      <c r="I261">
        <v>51</v>
      </c>
      <c r="J261">
        <v>21</v>
      </c>
      <c r="K261">
        <v>72</v>
      </c>
      <c r="L261">
        <v>22</v>
      </c>
      <c r="M261">
        <v>3</v>
      </c>
      <c r="N261">
        <v>1</v>
      </c>
      <c r="O261">
        <v>76</v>
      </c>
      <c r="P261">
        <v>1582</v>
      </c>
    </row>
    <row r="262" spans="1:16" x14ac:dyDescent="0.25">
      <c r="A262" s="1">
        <v>43897.75</v>
      </c>
      <c r="B262" s="2" t="s">
        <v>12</v>
      </c>
      <c r="C262">
        <v>7</v>
      </c>
      <c r="D262" s="2" t="s">
        <v>46</v>
      </c>
      <c r="E262">
        <v>4441149315</v>
      </c>
      <c r="F262">
        <v>89326992</v>
      </c>
      <c r="G262">
        <v>26</v>
      </c>
      <c r="H262">
        <v>6</v>
      </c>
      <c r="I262">
        <v>32</v>
      </c>
      <c r="J262">
        <v>10</v>
      </c>
      <c r="K262">
        <v>42</v>
      </c>
      <c r="L262">
        <v>18</v>
      </c>
      <c r="M262">
        <v>5</v>
      </c>
      <c r="N262">
        <v>4</v>
      </c>
      <c r="O262">
        <v>51</v>
      </c>
      <c r="P262">
        <v>331</v>
      </c>
    </row>
    <row r="263" spans="1:16" x14ac:dyDescent="0.25">
      <c r="A263" s="1">
        <v>43897.75</v>
      </c>
      <c r="B263" s="2" t="s">
        <v>12</v>
      </c>
      <c r="C263">
        <v>3</v>
      </c>
      <c r="D263" s="2" t="s">
        <v>47</v>
      </c>
      <c r="E263">
        <v>4546679409</v>
      </c>
      <c r="F263">
        <v>9190347404</v>
      </c>
      <c r="G263">
        <v>1661</v>
      </c>
      <c r="H263">
        <v>359</v>
      </c>
      <c r="I263">
        <v>2020</v>
      </c>
      <c r="J263">
        <v>722</v>
      </c>
      <c r="K263">
        <v>2742</v>
      </c>
      <c r="L263">
        <v>734</v>
      </c>
      <c r="M263">
        <v>524</v>
      </c>
      <c r="N263">
        <v>154</v>
      </c>
      <c r="O263">
        <v>3420</v>
      </c>
      <c r="P263">
        <v>15778</v>
      </c>
    </row>
    <row r="264" spans="1:16" x14ac:dyDescent="0.25">
      <c r="A264" s="1">
        <v>43897.75</v>
      </c>
      <c r="B264" s="2" t="s">
        <v>12</v>
      </c>
      <c r="C264">
        <v>11</v>
      </c>
      <c r="D264" s="2" t="s">
        <v>48</v>
      </c>
      <c r="E264">
        <v>4361675973</v>
      </c>
      <c r="F264">
        <v>135188753</v>
      </c>
      <c r="G264">
        <v>94</v>
      </c>
      <c r="H264">
        <v>36</v>
      </c>
      <c r="I264">
        <v>130</v>
      </c>
      <c r="J264">
        <v>71</v>
      </c>
      <c r="K264">
        <v>201</v>
      </c>
      <c r="L264">
        <v>46</v>
      </c>
      <c r="M264">
        <v>0</v>
      </c>
      <c r="N264">
        <v>6</v>
      </c>
      <c r="O264">
        <v>207</v>
      </c>
      <c r="P264">
        <v>816</v>
      </c>
    </row>
    <row r="265" spans="1:16" x14ac:dyDescent="0.25">
      <c r="A265" s="1">
        <v>43897.75</v>
      </c>
      <c r="B265" s="2" t="s">
        <v>12</v>
      </c>
      <c r="C265">
        <v>14</v>
      </c>
      <c r="D265" s="2" t="s">
        <v>49</v>
      </c>
      <c r="E265">
        <v>4155774754</v>
      </c>
      <c r="F265">
        <v>1465916051</v>
      </c>
      <c r="G265">
        <v>3</v>
      </c>
      <c r="H265">
        <v>2</v>
      </c>
      <c r="I265">
        <v>5</v>
      </c>
      <c r="J265">
        <v>9</v>
      </c>
      <c r="K265">
        <v>14</v>
      </c>
      <c r="L265">
        <v>2</v>
      </c>
      <c r="M265">
        <v>0</v>
      </c>
      <c r="N265">
        <v>0</v>
      </c>
      <c r="O265">
        <v>14</v>
      </c>
      <c r="P265">
        <v>112</v>
      </c>
    </row>
    <row r="266" spans="1:16" x14ac:dyDescent="0.25">
      <c r="A266" s="1">
        <v>43897.75</v>
      </c>
      <c r="B266" s="2" t="s">
        <v>12</v>
      </c>
      <c r="C266">
        <v>1</v>
      </c>
      <c r="D266" s="2" t="s">
        <v>50</v>
      </c>
      <c r="E266">
        <v>450732745</v>
      </c>
      <c r="F266">
        <v>7680687483</v>
      </c>
      <c r="G266">
        <v>110</v>
      </c>
      <c r="H266">
        <v>38</v>
      </c>
      <c r="I266">
        <v>148</v>
      </c>
      <c r="J266">
        <v>54</v>
      </c>
      <c r="K266">
        <v>202</v>
      </c>
      <c r="L266">
        <v>63</v>
      </c>
      <c r="M266">
        <v>0</v>
      </c>
      <c r="N266">
        <v>5</v>
      </c>
      <c r="O266">
        <v>207</v>
      </c>
      <c r="P266">
        <v>1046</v>
      </c>
    </row>
    <row r="267" spans="1:16" x14ac:dyDescent="0.25">
      <c r="A267" s="1">
        <v>43897.75</v>
      </c>
      <c r="B267" s="2" t="s">
        <v>12</v>
      </c>
      <c r="C267">
        <v>16</v>
      </c>
      <c r="D267" s="2" t="s">
        <v>51</v>
      </c>
      <c r="E267">
        <v>4112559576</v>
      </c>
      <c r="F267">
        <v>1686736689</v>
      </c>
      <c r="G267">
        <v>9</v>
      </c>
      <c r="H267">
        <v>2</v>
      </c>
      <c r="I267">
        <v>11</v>
      </c>
      <c r="J267">
        <v>12</v>
      </c>
      <c r="K267">
        <v>23</v>
      </c>
      <c r="L267">
        <v>8</v>
      </c>
      <c r="M267">
        <v>1</v>
      </c>
      <c r="N267">
        <v>2</v>
      </c>
      <c r="O267">
        <v>26</v>
      </c>
      <c r="P267">
        <v>395</v>
      </c>
    </row>
    <row r="268" spans="1:16" x14ac:dyDescent="0.25">
      <c r="A268" s="1">
        <v>43897.75</v>
      </c>
      <c r="B268" s="2" t="s">
        <v>12</v>
      </c>
      <c r="C268">
        <v>20</v>
      </c>
      <c r="D268" s="2" t="s">
        <v>52</v>
      </c>
      <c r="E268">
        <v>3921531192</v>
      </c>
      <c r="F268">
        <v>9110616306</v>
      </c>
      <c r="G268">
        <v>2</v>
      </c>
      <c r="H268">
        <v>0</v>
      </c>
      <c r="I268">
        <v>2</v>
      </c>
      <c r="J268">
        <v>3</v>
      </c>
      <c r="K268">
        <v>5</v>
      </c>
      <c r="L268">
        <v>0</v>
      </c>
      <c r="M268">
        <v>0</v>
      </c>
      <c r="N268">
        <v>0</v>
      </c>
      <c r="O268">
        <v>5</v>
      </c>
      <c r="P268">
        <v>99</v>
      </c>
    </row>
    <row r="269" spans="1:16" x14ac:dyDescent="0.25">
      <c r="A269" s="1">
        <v>43897.75</v>
      </c>
      <c r="B269" s="2" t="s">
        <v>12</v>
      </c>
      <c r="C269">
        <v>19</v>
      </c>
      <c r="D269" s="2" t="s">
        <v>53</v>
      </c>
      <c r="E269">
        <v>3811569725</v>
      </c>
      <c r="F269">
        <v>133623567</v>
      </c>
      <c r="G269">
        <v>8</v>
      </c>
      <c r="H269">
        <v>0</v>
      </c>
      <c r="I269">
        <v>8</v>
      </c>
      <c r="J269">
        <v>25</v>
      </c>
      <c r="K269">
        <v>33</v>
      </c>
      <c r="L269">
        <v>11</v>
      </c>
      <c r="M269">
        <v>2</v>
      </c>
      <c r="N269">
        <v>0</v>
      </c>
      <c r="O269">
        <v>35</v>
      </c>
      <c r="P269">
        <v>643</v>
      </c>
    </row>
    <row r="270" spans="1:16" x14ac:dyDescent="0.25">
      <c r="A270" s="1">
        <v>43897.75</v>
      </c>
      <c r="B270" s="2" t="s">
        <v>12</v>
      </c>
      <c r="C270">
        <v>9</v>
      </c>
      <c r="D270" s="2" t="s">
        <v>54</v>
      </c>
      <c r="E270">
        <v>4376923077</v>
      </c>
      <c r="F270">
        <v>1125588885</v>
      </c>
      <c r="G270">
        <v>54</v>
      </c>
      <c r="H270">
        <v>7</v>
      </c>
      <c r="I270">
        <v>61</v>
      </c>
      <c r="J270">
        <v>51</v>
      </c>
      <c r="K270">
        <v>112</v>
      </c>
      <c r="L270">
        <v>34</v>
      </c>
      <c r="M270">
        <v>1</v>
      </c>
      <c r="N270">
        <v>0</v>
      </c>
      <c r="O270">
        <v>113</v>
      </c>
      <c r="P270">
        <v>1331</v>
      </c>
    </row>
    <row r="271" spans="1:16" x14ac:dyDescent="0.25">
      <c r="A271" s="1">
        <v>43897.75</v>
      </c>
      <c r="B271" s="2" t="s">
        <v>12</v>
      </c>
      <c r="C271">
        <v>4</v>
      </c>
      <c r="D271" s="2" t="s">
        <v>55</v>
      </c>
      <c r="E271">
        <v>4606893511</v>
      </c>
      <c r="F271">
        <v>1112123097</v>
      </c>
      <c r="G271">
        <v>6</v>
      </c>
      <c r="H271">
        <v>1</v>
      </c>
      <c r="I271">
        <v>7</v>
      </c>
      <c r="J271">
        <v>7</v>
      </c>
      <c r="K271">
        <v>14</v>
      </c>
      <c r="L271">
        <v>4</v>
      </c>
      <c r="M271">
        <v>0</v>
      </c>
      <c r="N271">
        <v>0</v>
      </c>
      <c r="O271">
        <v>14</v>
      </c>
      <c r="P271">
        <v>194</v>
      </c>
    </row>
    <row r="272" spans="1:16" x14ac:dyDescent="0.25">
      <c r="A272" s="1">
        <v>43897.75</v>
      </c>
      <c r="B272" s="2" t="s">
        <v>12</v>
      </c>
      <c r="C272">
        <v>10</v>
      </c>
      <c r="D272" s="2" t="s">
        <v>56</v>
      </c>
      <c r="E272">
        <v>4310675841</v>
      </c>
      <c r="F272">
        <v>1238824698</v>
      </c>
      <c r="G272">
        <v>2</v>
      </c>
      <c r="H272">
        <v>2</v>
      </c>
      <c r="I272">
        <v>4</v>
      </c>
      <c r="J272">
        <v>20</v>
      </c>
      <c r="K272">
        <v>24</v>
      </c>
      <c r="L272">
        <v>8</v>
      </c>
      <c r="M272">
        <v>0</v>
      </c>
      <c r="N272">
        <v>0</v>
      </c>
      <c r="O272">
        <v>24</v>
      </c>
      <c r="P272">
        <v>134</v>
      </c>
    </row>
    <row r="273" spans="1:16" x14ac:dyDescent="0.25">
      <c r="A273" s="1">
        <v>43897.75</v>
      </c>
      <c r="B273" s="2" t="s">
        <v>12</v>
      </c>
      <c r="C273">
        <v>2</v>
      </c>
      <c r="D273" s="2" t="s">
        <v>57</v>
      </c>
      <c r="E273">
        <v>4573750286</v>
      </c>
      <c r="F273">
        <v>7320149366</v>
      </c>
      <c r="G273">
        <v>1</v>
      </c>
      <c r="H273">
        <v>0</v>
      </c>
      <c r="I273">
        <v>1</v>
      </c>
      <c r="J273">
        <v>7</v>
      </c>
      <c r="K273">
        <v>8</v>
      </c>
      <c r="L273">
        <v>1</v>
      </c>
      <c r="M273">
        <v>0</v>
      </c>
      <c r="N273">
        <v>0</v>
      </c>
      <c r="O273">
        <v>8</v>
      </c>
      <c r="P273">
        <v>32</v>
      </c>
    </row>
    <row r="274" spans="1:16" x14ac:dyDescent="0.25">
      <c r="A274" s="1">
        <v>43897.75</v>
      </c>
      <c r="B274" s="2" t="s">
        <v>12</v>
      </c>
      <c r="C274">
        <v>5</v>
      </c>
      <c r="D274" s="2" t="s">
        <v>58</v>
      </c>
      <c r="E274">
        <v>4543490485</v>
      </c>
      <c r="F274">
        <v>1233845213</v>
      </c>
      <c r="G274">
        <v>123</v>
      </c>
      <c r="H274">
        <v>41</v>
      </c>
      <c r="I274">
        <v>164</v>
      </c>
      <c r="J274">
        <v>341</v>
      </c>
      <c r="K274">
        <v>505</v>
      </c>
      <c r="L274">
        <v>51</v>
      </c>
      <c r="M274">
        <v>25</v>
      </c>
      <c r="N274">
        <v>13</v>
      </c>
      <c r="O274">
        <v>543</v>
      </c>
      <c r="P274">
        <v>14429</v>
      </c>
    </row>
    <row r="275" spans="1:16" x14ac:dyDescent="0.25">
      <c r="A275" s="1">
        <v>43898.75</v>
      </c>
      <c r="B275" s="2" t="s">
        <v>12</v>
      </c>
      <c r="C275">
        <v>13</v>
      </c>
      <c r="D275" s="2" t="s">
        <v>38</v>
      </c>
      <c r="E275">
        <v>4235122196</v>
      </c>
      <c r="F275">
        <v>1339843823</v>
      </c>
      <c r="G275">
        <v>14</v>
      </c>
      <c r="H275">
        <v>0</v>
      </c>
      <c r="I275">
        <v>14</v>
      </c>
      <c r="J275">
        <v>3</v>
      </c>
      <c r="K275">
        <v>17</v>
      </c>
      <c r="L275">
        <v>6</v>
      </c>
      <c r="M275">
        <v>0</v>
      </c>
      <c r="N275">
        <v>0</v>
      </c>
      <c r="O275">
        <v>17</v>
      </c>
      <c r="P275">
        <v>163</v>
      </c>
    </row>
    <row r="276" spans="1:16" x14ac:dyDescent="0.25">
      <c r="A276" s="1">
        <v>43898.75</v>
      </c>
      <c r="B276" s="2" t="s">
        <v>12</v>
      </c>
      <c r="C276">
        <v>17</v>
      </c>
      <c r="D276" s="2" t="s">
        <v>39</v>
      </c>
      <c r="E276">
        <v>4063947052</v>
      </c>
      <c r="F276">
        <v>1580514834</v>
      </c>
      <c r="G276">
        <v>2</v>
      </c>
      <c r="H276">
        <v>0</v>
      </c>
      <c r="I276">
        <v>2</v>
      </c>
      <c r="J276">
        <v>2</v>
      </c>
      <c r="K276">
        <v>4</v>
      </c>
      <c r="L276">
        <v>1</v>
      </c>
      <c r="M276">
        <v>0</v>
      </c>
      <c r="N276">
        <v>0</v>
      </c>
      <c r="O276">
        <v>4</v>
      </c>
      <c r="P276">
        <v>123</v>
      </c>
    </row>
    <row r="277" spans="1:16" x14ac:dyDescent="0.25">
      <c r="A277" s="1">
        <v>43898.75</v>
      </c>
      <c r="B277" s="2" t="s">
        <v>12</v>
      </c>
      <c r="C277">
        <v>4</v>
      </c>
      <c r="D277" s="2" t="s">
        <v>40</v>
      </c>
      <c r="E277">
        <v>4649933453</v>
      </c>
      <c r="F277">
        <v>1135662422</v>
      </c>
      <c r="G277">
        <v>8</v>
      </c>
      <c r="H277">
        <v>0</v>
      </c>
      <c r="I277">
        <v>8</v>
      </c>
      <c r="J277">
        <v>1</v>
      </c>
      <c r="K277">
        <v>9</v>
      </c>
      <c r="L277">
        <v>0</v>
      </c>
      <c r="M277">
        <v>0</v>
      </c>
      <c r="N277">
        <v>0</v>
      </c>
      <c r="O277">
        <v>9</v>
      </c>
      <c r="P277">
        <v>36</v>
      </c>
    </row>
    <row r="278" spans="1:16" x14ac:dyDescent="0.25">
      <c r="A278" s="1">
        <v>43898.75</v>
      </c>
      <c r="B278" s="2" t="s">
        <v>12</v>
      </c>
      <c r="C278">
        <v>18</v>
      </c>
      <c r="D278" s="2" t="s">
        <v>41</v>
      </c>
      <c r="E278">
        <v>3810922769</v>
      </c>
      <c r="F278">
        <v>156434527</v>
      </c>
      <c r="G278">
        <v>5</v>
      </c>
      <c r="H278">
        <v>0</v>
      </c>
      <c r="I278">
        <v>5</v>
      </c>
      <c r="J278">
        <v>4</v>
      </c>
      <c r="K278">
        <v>9</v>
      </c>
      <c r="L278">
        <v>5</v>
      </c>
      <c r="M278">
        <v>0</v>
      </c>
      <c r="N278">
        <v>0</v>
      </c>
      <c r="O278">
        <v>9</v>
      </c>
      <c r="P278">
        <v>113</v>
      </c>
    </row>
    <row r="279" spans="1:16" x14ac:dyDescent="0.25">
      <c r="A279" s="1">
        <v>43898.75</v>
      </c>
      <c r="B279" s="2" t="s">
        <v>12</v>
      </c>
      <c r="C279">
        <v>15</v>
      </c>
      <c r="D279" s="2" t="s">
        <v>42</v>
      </c>
      <c r="E279">
        <v>4083956555</v>
      </c>
      <c r="F279">
        <v>1425084984</v>
      </c>
      <c r="G279">
        <v>30</v>
      </c>
      <c r="H279">
        <v>7</v>
      </c>
      <c r="I279">
        <v>37</v>
      </c>
      <c r="J279">
        <v>63</v>
      </c>
      <c r="K279">
        <v>100</v>
      </c>
      <c r="L279">
        <v>39</v>
      </c>
      <c r="M279">
        <v>1</v>
      </c>
      <c r="N279">
        <v>0</v>
      </c>
      <c r="O279">
        <v>101</v>
      </c>
      <c r="P279">
        <v>980</v>
      </c>
    </row>
    <row r="280" spans="1:16" x14ac:dyDescent="0.25">
      <c r="A280" s="1">
        <v>43898.75</v>
      </c>
      <c r="B280" s="2" t="s">
        <v>12</v>
      </c>
      <c r="C280">
        <v>8</v>
      </c>
      <c r="D280" s="2" t="s">
        <v>43</v>
      </c>
      <c r="E280">
        <v>4449436681</v>
      </c>
      <c r="F280">
        <v>113417208</v>
      </c>
      <c r="G280">
        <v>542</v>
      </c>
      <c r="H280">
        <v>75</v>
      </c>
      <c r="I280">
        <v>617</v>
      </c>
      <c r="J280">
        <v>480</v>
      </c>
      <c r="K280">
        <v>1097</v>
      </c>
      <c r="L280">
        <v>160</v>
      </c>
      <c r="M280">
        <v>27</v>
      </c>
      <c r="N280">
        <v>56</v>
      </c>
      <c r="O280">
        <v>1180</v>
      </c>
      <c r="P280">
        <v>4344</v>
      </c>
    </row>
    <row r="281" spans="1:16" x14ac:dyDescent="0.25">
      <c r="A281" s="1">
        <v>43898.75</v>
      </c>
      <c r="B281" s="2" t="s">
        <v>12</v>
      </c>
      <c r="C281">
        <v>6</v>
      </c>
      <c r="D281" s="2" t="s">
        <v>44</v>
      </c>
      <c r="E281">
        <v>456494354</v>
      </c>
      <c r="F281">
        <v>1376813649</v>
      </c>
      <c r="G281">
        <v>7</v>
      </c>
      <c r="H281">
        <v>1</v>
      </c>
      <c r="I281">
        <v>8</v>
      </c>
      <c r="J281">
        <v>45</v>
      </c>
      <c r="K281">
        <v>53</v>
      </c>
      <c r="L281">
        <v>14</v>
      </c>
      <c r="M281">
        <v>3</v>
      </c>
      <c r="N281">
        <v>1</v>
      </c>
      <c r="O281">
        <v>57</v>
      </c>
      <c r="P281">
        <v>997</v>
      </c>
    </row>
    <row r="282" spans="1:16" x14ac:dyDescent="0.25">
      <c r="A282" s="1">
        <v>43898.75</v>
      </c>
      <c r="B282" s="2" t="s">
        <v>12</v>
      </c>
      <c r="C282">
        <v>12</v>
      </c>
      <c r="D282" s="2" t="s">
        <v>45</v>
      </c>
      <c r="E282">
        <v>4189277044</v>
      </c>
      <c r="F282">
        <v>1248366722</v>
      </c>
      <c r="G282">
        <v>47</v>
      </c>
      <c r="H282">
        <v>8</v>
      </c>
      <c r="I282">
        <v>55</v>
      </c>
      <c r="J282">
        <v>26</v>
      </c>
      <c r="K282">
        <v>81</v>
      </c>
      <c r="L282">
        <v>9</v>
      </c>
      <c r="M282">
        <v>3</v>
      </c>
      <c r="N282">
        <v>3</v>
      </c>
      <c r="O282">
        <v>87</v>
      </c>
      <c r="P282">
        <v>1929</v>
      </c>
    </row>
    <row r="283" spans="1:16" x14ac:dyDescent="0.25">
      <c r="A283" s="1">
        <v>43898.75</v>
      </c>
      <c r="B283" s="2" t="s">
        <v>12</v>
      </c>
      <c r="C283">
        <v>7</v>
      </c>
      <c r="D283" s="2" t="s">
        <v>46</v>
      </c>
      <c r="E283">
        <v>4441149315</v>
      </c>
      <c r="F283">
        <v>89326992</v>
      </c>
      <c r="G283">
        <v>39</v>
      </c>
      <c r="H283">
        <v>11</v>
      </c>
      <c r="I283">
        <v>50</v>
      </c>
      <c r="J283">
        <v>17</v>
      </c>
      <c r="K283">
        <v>67</v>
      </c>
      <c r="L283">
        <v>25</v>
      </c>
      <c r="M283">
        <v>5</v>
      </c>
      <c r="N283">
        <v>6</v>
      </c>
      <c r="O283">
        <v>78</v>
      </c>
      <c r="P283">
        <v>401</v>
      </c>
    </row>
    <row r="284" spans="1:16" x14ac:dyDescent="0.25">
      <c r="A284" s="1">
        <v>43898.75</v>
      </c>
      <c r="B284" s="2" t="s">
        <v>12</v>
      </c>
      <c r="C284">
        <v>3</v>
      </c>
      <c r="D284" s="2" t="s">
        <v>47</v>
      </c>
      <c r="E284">
        <v>4546679409</v>
      </c>
      <c r="F284">
        <v>9190347404</v>
      </c>
      <c r="G284">
        <v>2217</v>
      </c>
      <c r="H284">
        <v>399</v>
      </c>
      <c r="I284">
        <v>2616</v>
      </c>
      <c r="J284">
        <v>756</v>
      </c>
      <c r="K284">
        <v>3372</v>
      </c>
      <c r="L284">
        <v>630</v>
      </c>
      <c r="M284">
        <v>550</v>
      </c>
      <c r="N284">
        <v>267</v>
      </c>
      <c r="O284">
        <v>4189</v>
      </c>
      <c r="P284">
        <v>18534</v>
      </c>
    </row>
    <row r="285" spans="1:16" x14ac:dyDescent="0.25">
      <c r="A285" s="1">
        <v>43898.75</v>
      </c>
      <c r="B285" s="2" t="s">
        <v>12</v>
      </c>
      <c r="C285">
        <v>11</v>
      </c>
      <c r="D285" s="2" t="s">
        <v>48</v>
      </c>
      <c r="E285">
        <v>4361675973</v>
      </c>
      <c r="F285">
        <v>135188753</v>
      </c>
      <c r="G285">
        <v>110</v>
      </c>
      <c r="H285">
        <v>41</v>
      </c>
      <c r="I285">
        <v>151</v>
      </c>
      <c r="J285">
        <v>114</v>
      </c>
      <c r="K285">
        <v>265</v>
      </c>
      <c r="L285">
        <v>64</v>
      </c>
      <c r="M285">
        <v>0</v>
      </c>
      <c r="N285">
        <v>7</v>
      </c>
      <c r="O285">
        <v>272</v>
      </c>
      <c r="P285">
        <v>1025</v>
      </c>
    </row>
    <row r="286" spans="1:16" x14ac:dyDescent="0.25">
      <c r="A286" s="1">
        <v>43898.75</v>
      </c>
      <c r="B286" s="2" t="s">
        <v>12</v>
      </c>
      <c r="C286">
        <v>14</v>
      </c>
      <c r="D286" s="2" t="s">
        <v>49</v>
      </c>
      <c r="E286">
        <v>4155774754</v>
      </c>
      <c r="F286">
        <v>1465916051</v>
      </c>
      <c r="G286">
        <v>4</v>
      </c>
      <c r="H286">
        <v>2</v>
      </c>
      <c r="I286">
        <v>6</v>
      </c>
      <c r="J286">
        <v>8</v>
      </c>
      <c r="K286">
        <v>14</v>
      </c>
      <c r="L286">
        <v>0</v>
      </c>
      <c r="M286">
        <v>0</v>
      </c>
      <c r="N286">
        <v>0</v>
      </c>
      <c r="O286">
        <v>14</v>
      </c>
      <c r="P286">
        <v>116</v>
      </c>
    </row>
    <row r="287" spans="1:16" x14ac:dyDescent="0.25">
      <c r="A287" s="1">
        <v>43898.75</v>
      </c>
      <c r="B287" s="2" t="s">
        <v>12</v>
      </c>
      <c r="C287">
        <v>1</v>
      </c>
      <c r="D287" s="2" t="s">
        <v>50</v>
      </c>
      <c r="E287">
        <v>450732745</v>
      </c>
      <c r="F287">
        <v>7680687483</v>
      </c>
      <c r="G287">
        <v>245</v>
      </c>
      <c r="H287">
        <v>45</v>
      </c>
      <c r="I287">
        <v>290</v>
      </c>
      <c r="J287">
        <v>65</v>
      </c>
      <c r="K287">
        <v>355</v>
      </c>
      <c r="L287">
        <v>153</v>
      </c>
      <c r="M287">
        <v>0</v>
      </c>
      <c r="N287">
        <v>5</v>
      </c>
      <c r="O287">
        <v>360</v>
      </c>
      <c r="P287">
        <v>1636</v>
      </c>
    </row>
    <row r="288" spans="1:16" x14ac:dyDescent="0.25">
      <c r="A288" s="1">
        <v>43898.75</v>
      </c>
      <c r="B288" s="2" t="s">
        <v>12</v>
      </c>
      <c r="C288">
        <v>16</v>
      </c>
      <c r="D288" s="2" t="s">
        <v>51</v>
      </c>
      <c r="E288">
        <v>4112559576</v>
      </c>
      <c r="F288">
        <v>1686736689</v>
      </c>
      <c r="G288">
        <v>17</v>
      </c>
      <c r="H288">
        <v>3</v>
      </c>
      <c r="I288">
        <v>20</v>
      </c>
      <c r="J288">
        <v>16</v>
      </c>
      <c r="K288">
        <v>36</v>
      </c>
      <c r="L288">
        <v>13</v>
      </c>
      <c r="M288">
        <v>1</v>
      </c>
      <c r="N288">
        <v>3</v>
      </c>
      <c r="O288">
        <v>40</v>
      </c>
      <c r="P288">
        <v>627</v>
      </c>
    </row>
    <row r="289" spans="1:16" x14ac:dyDescent="0.25">
      <c r="A289" s="1">
        <v>43898.75</v>
      </c>
      <c r="B289" s="2" t="s">
        <v>12</v>
      </c>
      <c r="C289">
        <v>20</v>
      </c>
      <c r="D289" s="2" t="s">
        <v>52</v>
      </c>
      <c r="E289">
        <v>3921531192</v>
      </c>
      <c r="F289">
        <v>9110616306</v>
      </c>
      <c r="G289">
        <v>5</v>
      </c>
      <c r="H289">
        <v>0</v>
      </c>
      <c r="I289">
        <v>5</v>
      </c>
      <c r="J289">
        <v>6</v>
      </c>
      <c r="K289">
        <v>11</v>
      </c>
      <c r="L289">
        <v>6</v>
      </c>
      <c r="M289">
        <v>0</v>
      </c>
      <c r="N289">
        <v>0</v>
      </c>
      <c r="O289">
        <v>11</v>
      </c>
      <c r="P289">
        <v>149</v>
      </c>
    </row>
    <row r="290" spans="1:16" x14ac:dyDescent="0.25">
      <c r="A290" s="1">
        <v>43898.75</v>
      </c>
      <c r="B290" s="2" t="s">
        <v>12</v>
      </c>
      <c r="C290">
        <v>19</v>
      </c>
      <c r="D290" s="2" t="s">
        <v>53</v>
      </c>
      <c r="E290">
        <v>3811569725</v>
      </c>
      <c r="F290">
        <v>133623567</v>
      </c>
      <c r="G290">
        <v>18</v>
      </c>
      <c r="H290">
        <v>0</v>
      </c>
      <c r="I290">
        <v>18</v>
      </c>
      <c r="J290">
        <v>33</v>
      </c>
      <c r="K290">
        <v>51</v>
      </c>
      <c r="L290">
        <v>18</v>
      </c>
      <c r="M290">
        <v>2</v>
      </c>
      <c r="N290">
        <v>0</v>
      </c>
      <c r="O290">
        <v>53</v>
      </c>
      <c r="P290">
        <v>791</v>
      </c>
    </row>
    <row r="291" spans="1:16" x14ac:dyDescent="0.25">
      <c r="A291" s="1">
        <v>43898.75</v>
      </c>
      <c r="B291" s="2" t="s">
        <v>12</v>
      </c>
      <c r="C291">
        <v>9</v>
      </c>
      <c r="D291" s="2" t="s">
        <v>54</v>
      </c>
      <c r="E291">
        <v>4376923077</v>
      </c>
      <c r="F291">
        <v>1125588885</v>
      </c>
      <c r="G291">
        <v>91</v>
      </c>
      <c r="H291">
        <v>7</v>
      </c>
      <c r="I291">
        <v>98</v>
      </c>
      <c r="J291">
        <v>67</v>
      </c>
      <c r="K291">
        <v>165</v>
      </c>
      <c r="L291">
        <v>53</v>
      </c>
      <c r="M291">
        <v>1</v>
      </c>
      <c r="N291">
        <v>0</v>
      </c>
      <c r="O291">
        <v>166</v>
      </c>
      <c r="P291">
        <v>1618</v>
      </c>
    </row>
    <row r="292" spans="1:16" x14ac:dyDescent="0.25">
      <c r="A292" s="1">
        <v>43898.75</v>
      </c>
      <c r="B292" s="2" t="s">
        <v>12</v>
      </c>
      <c r="C292">
        <v>4</v>
      </c>
      <c r="D292" s="2" t="s">
        <v>55</v>
      </c>
      <c r="E292">
        <v>4606893511</v>
      </c>
      <c r="F292">
        <v>1112123097</v>
      </c>
      <c r="G292">
        <v>7</v>
      </c>
      <c r="H292">
        <v>2</v>
      </c>
      <c r="I292">
        <v>9</v>
      </c>
      <c r="J292">
        <v>14</v>
      </c>
      <c r="K292">
        <v>23</v>
      </c>
      <c r="L292">
        <v>9</v>
      </c>
      <c r="M292">
        <v>0</v>
      </c>
      <c r="N292">
        <v>0</v>
      </c>
      <c r="O292">
        <v>23</v>
      </c>
      <c r="P292">
        <v>228</v>
      </c>
    </row>
    <row r="293" spans="1:16" x14ac:dyDescent="0.25">
      <c r="A293" s="1">
        <v>43898.75</v>
      </c>
      <c r="B293" s="2" t="s">
        <v>12</v>
      </c>
      <c r="C293">
        <v>10</v>
      </c>
      <c r="D293" s="2" t="s">
        <v>56</v>
      </c>
      <c r="E293">
        <v>4310675841</v>
      </c>
      <c r="F293">
        <v>1238824698</v>
      </c>
      <c r="G293">
        <v>2</v>
      </c>
      <c r="H293">
        <v>2</v>
      </c>
      <c r="I293">
        <v>4</v>
      </c>
      <c r="J293">
        <v>22</v>
      </c>
      <c r="K293">
        <v>26</v>
      </c>
      <c r="L293">
        <v>2</v>
      </c>
      <c r="M293">
        <v>0</v>
      </c>
      <c r="N293">
        <v>0</v>
      </c>
      <c r="O293">
        <v>26</v>
      </c>
      <c r="P293">
        <v>168</v>
      </c>
    </row>
    <row r="294" spans="1:16" x14ac:dyDescent="0.25">
      <c r="A294" s="1">
        <v>43898.75</v>
      </c>
      <c r="B294" s="2" t="s">
        <v>12</v>
      </c>
      <c r="C294">
        <v>2</v>
      </c>
      <c r="D294" s="2" t="s">
        <v>57</v>
      </c>
      <c r="E294">
        <v>4573750286</v>
      </c>
      <c r="F294">
        <v>7320149366</v>
      </c>
      <c r="G294">
        <v>1</v>
      </c>
      <c r="H294">
        <v>0</v>
      </c>
      <c r="I294">
        <v>1</v>
      </c>
      <c r="J294">
        <v>8</v>
      </c>
      <c r="K294">
        <v>9</v>
      </c>
      <c r="L294">
        <v>1</v>
      </c>
      <c r="M294">
        <v>0</v>
      </c>
      <c r="N294">
        <v>0</v>
      </c>
      <c r="O294">
        <v>9</v>
      </c>
      <c r="P294">
        <v>41</v>
      </c>
    </row>
    <row r="295" spans="1:16" x14ac:dyDescent="0.25">
      <c r="A295" s="1">
        <v>43898.75</v>
      </c>
      <c r="B295" s="2" t="s">
        <v>12</v>
      </c>
      <c r="C295">
        <v>5</v>
      </c>
      <c r="D295" s="2" t="s">
        <v>58</v>
      </c>
      <c r="E295">
        <v>4543490485</v>
      </c>
      <c r="F295">
        <v>1233845213</v>
      </c>
      <c r="G295">
        <v>146</v>
      </c>
      <c r="H295">
        <v>47</v>
      </c>
      <c r="I295">
        <v>193</v>
      </c>
      <c r="J295">
        <v>430</v>
      </c>
      <c r="K295">
        <v>623</v>
      </c>
      <c r="L295">
        <v>118</v>
      </c>
      <c r="M295">
        <v>29</v>
      </c>
      <c r="N295">
        <v>18</v>
      </c>
      <c r="O295">
        <v>670</v>
      </c>
      <c r="P295">
        <v>15918</v>
      </c>
    </row>
    <row r="296" spans="1:16" x14ac:dyDescent="0.25">
      <c r="A296" s="1">
        <v>43899.75</v>
      </c>
      <c r="B296" s="2" t="s">
        <v>12</v>
      </c>
      <c r="C296">
        <v>13</v>
      </c>
      <c r="D296" s="2" t="s">
        <v>38</v>
      </c>
      <c r="E296">
        <v>4235122196</v>
      </c>
      <c r="F296">
        <v>1339843823</v>
      </c>
      <c r="G296">
        <v>25</v>
      </c>
      <c r="H296">
        <v>0</v>
      </c>
      <c r="I296">
        <v>25</v>
      </c>
      <c r="J296">
        <v>5</v>
      </c>
      <c r="K296">
        <v>30</v>
      </c>
      <c r="L296">
        <v>13</v>
      </c>
      <c r="M296">
        <v>0</v>
      </c>
      <c r="N296">
        <v>0</v>
      </c>
      <c r="O296">
        <v>30</v>
      </c>
      <c r="P296">
        <v>237</v>
      </c>
    </row>
    <row r="297" spans="1:16" x14ac:dyDescent="0.25">
      <c r="A297" s="1">
        <v>43899.75</v>
      </c>
      <c r="B297" s="2" t="s">
        <v>12</v>
      </c>
      <c r="C297">
        <v>17</v>
      </c>
      <c r="D297" s="2" t="s">
        <v>39</v>
      </c>
      <c r="E297">
        <v>4063947052</v>
      </c>
      <c r="F297">
        <v>1580514834</v>
      </c>
      <c r="G297">
        <v>2</v>
      </c>
      <c r="H297">
        <v>0</v>
      </c>
      <c r="I297">
        <v>2</v>
      </c>
      <c r="J297">
        <v>3</v>
      </c>
      <c r="K297">
        <v>5</v>
      </c>
      <c r="L297">
        <v>1</v>
      </c>
      <c r="M297">
        <v>0</v>
      </c>
      <c r="N297">
        <v>0</v>
      </c>
      <c r="O297">
        <v>5</v>
      </c>
      <c r="P297">
        <v>135</v>
      </c>
    </row>
    <row r="298" spans="1:16" x14ac:dyDescent="0.25">
      <c r="A298" s="1">
        <v>43899.75</v>
      </c>
      <c r="B298" s="2" t="s">
        <v>12</v>
      </c>
      <c r="C298">
        <v>4</v>
      </c>
      <c r="D298" s="2" t="s">
        <v>40</v>
      </c>
      <c r="E298">
        <v>4649933453</v>
      </c>
      <c r="F298">
        <v>1135662422</v>
      </c>
      <c r="G298">
        <v>8</v>
      </c>
      <c r="H298">
        <v>0</v>
      </c>
      <c r="I298">
        <v>8</v>
      </c>
      <c r="J298">
        <v>1</v>
      </c>
      <c r="K298">
        <v>9</v>
      </c>
      <c r="L298">
        <v>0</v>
      </c>
      <c r="M298">
        <v>0</v>
      </c>
      <c r="N298">
        <v>0</v>
      </c>
      <c r="O298">
        <v>9</v>
      </c>
      <c r="P298">
        <v>36</v>
      </c>
    </row>
    <row r="299" spans="1:16" x14ac:dyDescent="0.25">
      <c r="A299" s="1">
        <v>43899.75</v>
      </c>
      <c r="B299" s="2" t="s">
        <v>12</v>
      </c>
      <c r="C299">
        <v>18</v>
      </c>
      <c r="D299" s="2" t="s">
        <v>41</v>
      </c>
      <c r="E299">
        <v>3810922769</v>
      </c>
      <c r="F299">
        <v>156434527</v>
      </c>
      <c r="G299">
        <v>8</v>
      </c>
      <c r="H299">
        <v>0</v>
      </c>
      <c r="I299">
        <v>8</v>
      </c>
      <c r="J299">
        <v>1</v>
      </c>
      <c r="K299">
        <v>9</v>
      </c>
      <c r="L299">
        <v>0</v>
      </c>
      <c r="M299">
        <v>2</v>
      </c>
      <c r="N299">
        <v>0</v>
      </c>
      <c r="O299">
        <v>11</v>
      </c>
      <c r="P299">
        <v>173</v>
      </c>
    </row>
    <row r="300" spans="1:16" x14ac:dyDescent="0.25">
      <c r="A300" s="1">
        <v>43899.75</v>
      </c>
      <c r="B300" s="2" t="s">
        <v>12</v>
      </c>
      <c r="C300">
        <v>15</v>
      </c>
      <c r="D300" s="2" t="s">
        <v>42</v>
      </c>
      <c r="E300">
        <v>4083956555</v>
      </c>
      <c r="F300">
        <v>1425084984</v>
      </c>
      <c r="G300">
        <v>42</v>
      </c>
      <c r="H300">
        <v>8</v>
      </c>
      <c r="I300">
        <v>50</v>
      </c>
      <c r="J300">
        <v>69</v>
      </c>
      <c r="K300">
        <v>119</v>
      </c>
      <c r="L300">
        <v>19</v>
      </c>
      <c r="M300">
        <v>1</v>
      </c>
      <c r="N300">
        <v>0</v>
      </c>
      <c r="O300">
        <v>120</v>
      </c>
      <c r="P300">
        <v>980</v>
      </c>
    </row>
    <row r="301" spans="1:16" x14ac:dyDescent="0.25">
      <c r="A301" s="1">
        <v>43899.75</v>
      </c>
      <c r="B301" s="2" t="s">
        <v>12</v>
      </c>
      <c r="C301">
        <v>8</v>
      </c>
      <c r="D301" s="2" t="s">
        <v>43</v>
      </c>
      <c r="E301">
        <v>4449436681</v>
      </c>
      <c r="F301">
        <v>113417208</v>
      </c>
      <c r="G301">
        <v>576</v>
      </c>
      <c r="H301">
        <v>90</v>
      </c>
      <c r="I301">
        <v>666</v>
      </c>
      <c r="J301">
        <v>620</v>
      </c>
      <c r="K301">
        <v>1286</v>
      </c>
      <c r="L301">
        <v>189</v>
      </c>
      <c r="M301">
        <v>30</v>
      </c>
      <c r="N301">
        <v>70</v>
      </c>
      <c r="O301">
        <v>1386</v>
      </c>
      <c r="P301">
        <v>4906</v>
      </c>
    </row>
    <row r="302" spans="1:16" x14ac:dyDescent="0.25">
      <c r="A302" s="1">
        <v>43899.75</v>
      </c>
      <c r="B302" s="2" t="s">
        <v>12</v>
      </c>
      <c r="C302">
        <v>6</v>
      </c>
      <c r="D302" s="2" t="s">
        <v>44</v>
      </c>
      <c r="E302">
        <v>456494354</v>
      </c>
      <c r="F302">
        <v>1376813649</v>
      </c>
      <c r="G302">
        <v>18</v>
      </c>
      <c r="H302">
        <v>1</v>
      </c>
      <c r="I302">
        <v>19</v>
      </c>
      <c r="J302">
        <v>70</v>
      </c>
      <c r="K302">
        <v>89</v>
      </c>
      <c r="L302">
        <v>36</v>
      </c>
      <c r="M302">
        <v>3</v>
      </c>
      <c r="N302">
        <v>1</v>
      </c>
      <c r="O302">
        <v>93</v>
      </c>
      <c r="P302">
        <v>1344</v>
      </c>
    </row>
    <row r="303" spans="1:16" x14ac:dyDescent="0.25">
      <c r="A303" s="1">
        <v>43899.75</v>
      </c>
      <c r="B303" s="2" t="s">
        <v>12</v>
      </c>
      <c r="C303">
        <v>12</v>
      </c>
      <c r="D303" s="2" t="s">
        <v>45</v>
      </c>
      <c r="E303">
        <v>4189277044</v>
      </c>
      <c r="F303">
        <v>1248366722</v>
      </c>
      <c r="G303">
        <v>55</v>
      </c>
      <c r="H303">
        <v>8</v>
      </c>
      <c r="I303">
        <v>63</v>
      </c>
      <c r="J303">
        <v>31</v>
      </c>
      <c r="K303">
        <v>94</v>
      </c>
      <c r="L303">
        <v>13</v>
      </c>
      <c r="M303">
        <v>3</v>
      </c>
      <c r="N303">
        <v>5</v>
      </c>
      <c r="O303">
        <v>102</v>
      </c>
      <c r="P303">
        <v>1929</v>
      </c>
    </row>
    <row r="304" spans="1:16" x14ac:dyDescent="0.25">
      <c r="A304" s="1">
        <v>43899.75</v>
      </c>
      <c r="B304" s="2" t="s">
        <v>12</v>
      </c>
      <c r="C304">
        <v>7</v>
      </c>
      <c r="D304" s="2" t="s">
        <v>46</v>
      </c>
      <c r="E304">
        <v>4441149315</v>
      </c>
      <c r="F304">
        <v>89326992</v>
      </c>
      <c r="G304">
        <v>60</v>
      </c>
      <c r="H304">
        <v>17</v>
      </c>
      <c r="I304">
        <v>77</v>
      </c>
      <c r="J304">
        <v>20</v>
      </c>
      <c r="K304">
        <v>97</v>
      </c>
      <c r="L304">
        <v>30</v>
      </c>
      <c r="M304">
        <v>5</v>
      </c>
      <c r="N304">
        <v>7</v>
      </c>
      <c r="O304">
        <v>109</v>
      </c>
      <c r="P304">
        <v>611</v>
      </c>
    </row>
    <row r="305" spans="1:16" x14ac:dyDescent="0.25">
      <c r="A305" s="1">
        <v>43899.75</v>
      </c>
      <c r="B305" s="2" t="s">
        <v>12</v>
      </c>
      <c r="C305">
        <v>3</v>
      </c>
      <c r="D305" s="2" t="s">
        <v>47</v>
      </c>
      <c r="E305">
        <v>4546679409</v>
      </c>
      <c r="F305">
        <v>9190347404</v>
      </c>
      <c r="G305">
        <v>2802</v>
      </c>
      <c r="H305">
        <v>440</v>
      </c>
      <c r="I305">
        <v>3242</v>
      </c>
      <c r="J305">
        <v>1248</v>
      </c>
      <c r="K305">
        <v>4490</v>
      </c>
      <c r="L305">
        <v>1118</v>
      </c>
      <c r="M305">
        <v>646</v>
      </c>
      <c r="N305">
        <v>333</v>
      </c>
      <c r="O305">
        <v>5469</v>
      </c>
      <c r="P305">
        <v>20135</v>
      </c>
    </row>
    <row r="306" spans="1:16" x14ac:dyDescent="0.25">
      <c r="A306" s="1">
        <v>43899.75</v>
      </c>
      <c r="B306" s="2" t="s">
        <v>12</v>
      </c>
      <c r="C306">
        <v>11</v>
      </c>
      <c r="D306" s="2" t="s">
        <v>48</v>
      </c>
      <c r="E306">
        <v>4361675973</v>
      </c>
      <c r="F306">
        <v>135188753</v>
      </c>
      <c r="G306">
        <v>136</v>
      </c>
      <c r="H306">
        <v>47</v>
      </c>
      <c r="I306">
        <v>183</v>
      </c>
      <c r="J306">
        <v>130</v>
      </c>
      <c r="K306">
        <v>313</v>
      </c>
      <c r="L306">
        <v>48</v>
      </c>
      <c r="M306">
        <v>0</v>
      </c>
      <c r="N306">
        <v>10</v>
      </c>
      <c r="O306">
        <v>323</v>
      </c>
      <c r="P306">
        <v>1250</v>
      </c>
    </row>
    <row r="307" spans="1:16" x14ac:dyDescent="0.25">
      <c r="A307" s="1">
        <v>43899.75</v>
      </c>
      <c r="B307" s="2" t="s">
        <v>12</v>
      </c>
      <c r="C307">
        <v>14</v>
      </c>
      <c r="D307" s="2" t="s">
        <v>49</v>
      </c>
      <c r="E307">
        <v>4155774754</v>
      </c>
      <c r="F307">
        <v>1465916051</v>
      </c>
      <c r="G307">
        <v>4</v>
      </c>
      <c r="H307">
        <v>2</v>
      </c>
      <c r="I307">
        <v>6</v>
      </c>
      <c r="J307">
        <v>8</v>
      </c>
      <c r="K307">
        <v>14</v>
      </c>
      <c r="L307">
        <v>0</v>
      </c>
      <c r="M307">
        <v>0</v>
      </c>
      <c r="N307">
        <v>0</v>
      </c>
      <c r="O307">
        <v>14</v>
      </c>
      <c r="P307">
        <v>212</v>
      </c>
    </row>
    <row r="308" spans="1:16" x14ac:dyDescent="0.25">
      <c r="A308" s="1">
        <v>43899.75</v>
      </c>
      <c r="B308" s="2" t="s">
        <v>12</v>
      </c>
      <c r="C308">
        <v>1</v>
      </c>
      <c r="D308" s="2" t="s">
        <v>50</v>
      </c>
      <c r="E308">
        <v>450732745</v>
      </c>
      <c r="F308">
        <v>7680687483</v>
      </c>
      <c r="G308">
        <v>222</v>
      </c>
      <c r="H308">
        <v>50</v>
      </c>
      <c r="I308">
        <v>272</v>
      </c>
      <c r="J308">
        <v>65</v>
      </c>
      <c r="K308">
        <v>337</v>
      </c>
      <c r="L308">
        <v>-18</v>
      </c>
      <c r="M308">
        <v>0</v>
      </c>
      <c r="N308">
        <v>13</v>
      </c>
      <c r="O308">
        <v>350</v>
      </c>
      <c r="P308">
        <v>1681</v>
      </c>
    </row>
    <row r="309" spans="1:16" x14ac:dyDescent="0.25">
      <c r="A309" s="1">
        <v>43899.75</v>
      </c>
      <c r="B309" s="2" t="s">
        <v>12</v>
      </c>
      <c r="C309">
        <v>16</v>
      </c>
      <c r="D309" s="2" t="s">
        <v>51</v>
      </c>
      <c r="E309">
        <v>4112559576</v>
      </c>
      <c r="F309">
        <v>1686736689</v>
      </c>
      <c r="G309">
        <v>20</v>
      </c>
      <c r="H309">
        <v>6</v>
      </c>
      <c r="I309">
        <v>26</v>
      </c>
      <c r="J309">
        <v>20</v>
      </c>
      <c r="K309">
        <v>46</v>
      </c>
      <c r="L309">
        <v>10</v>
      </c>
      <c r="M309">
        <v>1</v>
      </c>
      <c r="N309">
        <v>3</v>
      </c>
      <c r="O309">
        <v>50</v>
      </c>
      <c r="P309">
        <v>685</v>
      </c>
    </row>
    <row r="310" spans="1:16" x14ac:dyDescent="0.25">
      <c r="A310" s="1">
        <v>43899.75</v>
      </c>
      <c r="B310" s="2" t="s">
        <v>12</v>
      </c>
      <c r="C310">
        <v>20</v>
      </c>
      <c r="D310" s="2" t="s">
        <v>52</v>
      </c>
      <c r="E310">
        <v>3921531192</v>
      </c>
      <c r="F310">
        <v>9110616306</v>
      </c>
      <c r="G310">
        <v>8</v>
      </c>
      <c r="H310">
        <v>0</v>
      </c>
      <c r="I310">
        <v>8</v>
      </c>
      <c r="J310">
        <v>11</v>
      </c>
      <c r="K310">
        <v>19</v>
      </c>
      <c r="L310">
        <v>8</v>
      </c>
      <c r="M310">
        <v>0</v>
      </c>
      <c r="N310">
        <v>0</v>
      </c>
      <c r="O310">
        <v>19</v>
      </c>
      <c r="P310">
        <v>185</v>
      </c>
    </row>
    <row r="311" spans="1:16" x14ac:dyDescent="0.25">
      <c r="A311" s="1">
        <v>43899.75</v>
      </c>
      <c r="B311" s="2" t="s">
        <v>12</v>
      </c>
      <c r="C311">
        <v>19</v>
      </c>
      <c r="D311" s="2" t="s">
        <v>53</v>
      </c>
      <c r="E311">
        <v>3811569725</v>
      </c>
      <c r="F311">
        <v>133623567</v>
      </c>
      <c r="G311">
        <v>19</v>
      </c>
      <c r="H311">
        <v>0</v>
      </c>
      <c r="I311">
        <v>19</v>
      </c>
      <c r="J311">
        <v>33</v>
      </c>
      <c r="K311">
        <v>52</v>
      </c>
      <c r="L311">
        <v>1</v>
      </c>
      <c r="M311">
        <v>2</v>
      </c>
      <c r="N311">
        <v>0</v>
      </c>
      <c r="O311">
        <v>54</v>
      </c>
      <c r="P311">
        <v>836</v>
      </c>
    </row>
    <row r="312" spans="1:16" x14ac:dyDescent="0.25">
      <c r="A312" s="1">
        <v>43899.75</v>
      </c>
      <c r="B312" s="2" t="s">
        <v>12</v>
      </c>
      <c r="C312">
        <v>9</v>
      </c>
      <c r="D312" s="2" t="s">
        <v>54</v>
      </c>
      <c r="E312">
        <v>4376923077</v>
      </c>
      <c r="F312">
        <v>1125588885</v>
      </c>
      <c r="G312">
        <v>107</v>
      </c>
      <c r="H312">
        <v>9</v>
      </c>
      <c r="I312">
        <v>116</v>
      </c>
      <c r="J312">
        <v>90</v>
      </c>
      <c r="K312">
        <v>206</v>
      </c>
      <c r="L312">
        <v>41</v>
      </c>
      <c r="M312">
        <v>1</v>
      </c>
      <c r="N312">
        <v>1</v>
      </c>
      <c r="O312">
        <v>208</v>
      </c>
      <c r="P312">
        <v>2018</v>
      </c>
    </row>
    <row r="313" spans="1:16" x14ac:dyDescent="0.25">
      <c r="A313" s="1">
        <v>43899.75</v>
      </c>
      <c r="B313" s="2" t="s">
        <v>12</v>
      </c>
      <c r="C313">
        <v>4</v>
      </c>
      <c r="D313" s="2" t="s">
        <v>55</v>
      </c>
      <c r="E313">
        <v>4606893511</v>
      </c>
      <c r="F313">
        <v>1112123097</v>
      </c>
      <c r="G313">
        <v>10</v>
      </c>
      <c r="H313">
        <v>2</v>
      </c>
      <c r="I313">
        <v>12</v>
      </c>
      <c r="J313">
        <v>21</v>
      </c>
      <c r="K313">
        <v>33</v>
      </c>
      <c r="L313">
        <v>10</v>
      </c>
      <c r="M313">
        <v>0</v>
      </c>
      <c r="N313">
        <v>0</v>
      </c>
      <c r="O313">
        <v>33</v>
      </c>
      <c r="P313">
        <v>267</v>
      </c>
    </row>
    <row r="314" spans="1:16" x14ac:dyDescent="0.25">
      <c r="A314" s="1">
        <v>43899.75</v>
      </c>
      <c r="B314" s="2" t="s">
        <v>12</v>
      </c>
      <c r="C314">
        <v>10</v>
      </c>
      <c r="D314" s="2" t="s">
        <v>56</v>
      </c>
      <c r="E314">
        <v>4310675841</v>
      </c>
      <c r="F314">
        <v>1238824698</v>
      </c>
      <c r="G314">
        <v>4</v>
      </c>
      <c r="H314">
        <v>2</v>
      </c>
      <c r="I314">
        <v>6</v>
      </c>
      <c r="J314">
        <v>22</v>
      </c>
      <c r="K314">
        <v>28</v>
      </c>
      <c r="L314">
        <v>2</v>
      </c>
      <c r="M314">
        <v>0</v>
      </c>
      <c r="N314">
        <v>0</v>
      </c>
      <c r="O314">
        <v>28</v>
      </c>
      <c r="P314">
        <v>183</v>
      </c>
    </row>
    <row r="315" spans="1:16" x14ac:dyDescent="0.25">
      <c r="A315" s="1">
        <v>43899.75</v>
      </c>
      <c r="B315" s="2" t="s">
        <v>12</v>
      </c>
      <c r="C315">
        <v>2</v>
      </c>
      <c r="D315" s="2" t="s">
        <v>57</v>
      </c>
      <c r="E315">
        <v>4573750286</v>
      </c>
      <c r="F315">
        <v>7320149366</v>
      </c>
      <c r="G315">
        <v>4</v>
      </c>
      <c r="H315">
        <v>0</v>
      </c>
      <c r="I315">
        <v>4</v>
      </c>
      <c r="J315">
        <v>11</v>
      </c>
      <c r="K315">
        <v>15</v>
      </c>
      <c r="L315">
        <v>6</v>
      </c>
      <c r="M315">
        <v>0</v>
      </c>
      <c r="N315">
        <v>0</v>
      </c>
      <c r="O315">
        <v>15</v>
      </c>
      <c r="P315">
        <v>67</v>
      </c>
    </row>
    <row r="316" spans="1:16" x14ac:dyDescent="0.25">
      <c r="A316" s="1">
        <v>43899.75</v>
      </c>
      <c r="B316" s="2" t="s">
        <v>12</v>
      </c>
      <c r="C316">
        <v>5</v>
      </c>
      <c r="D316" s="2" t="s">
        <v>58</v>
      </c>
      <c r="E316">
        <v>4543490485</v>
      </c>
      <c r="F316">
        <v>1233845213</v>
      </c>
      <c r="G316">
        <v>186</v>
      </c>
      <c r="H316">
        <v>51</v>
      </c>
      <c r="I316">
        <v>237</v>
      </c>
      <c r="J316">
        <v>457</v>
      </c>
      <c r="K316">
        <v>694</v>
      </c>
      <c r="L316">
        <v>71</v>
      </c>
      <c r="M316">
        <v>30</v>
      </c>
      <c r="N316">
        <v>20</v>
      </c>
      <c r="O316">
        <v>744</v>
      </c>
      <c r="P316">
        <v>15956</v>
      </c>
    </row>
    <row r="317" spans="1:16" x14ac:dyDescent="0.25">
      <c r="A317" s="1">
        <v>43900.75</v>
      </c>
      <c r="B317" s="2" t="s">
        <v>12</v>
      </c>
      <c r="C317">
        <v>13</v>
      </c>
      <c r="D317" s="2" t="s">
        <v>38</v>
      </c>
      <c r="E317">
        <v>4235122196</v>
      </c>
      <c r="F317">
        <v>1339843823</v>
      </c>
      <c r="G317">
        <v>17</v>
      </c>
      <c r="H317">
        <v>9</v>
      </c>
      <c r="I317">
        <v>26</v>
      </c>
      <c r="J317">
        <v>11</v>
      </c>
      <c r="K317">
        <v>37</v>
      </c>
      <c r="L317">
        <v>7</v>
      </c>
      <c r="M317">
        <v>0</v>
      </c>
      <c r="N317">
        <v>1</v>
      </c>
      <c r="O317">
        <v>38</v>
      </c>
      <c r="P317">
        <v>310</v>
      </c>
    </row>
    <row r="318" spans="1:16" x14ac:dyDescent="0.25">
      <c r="A318" s="1">
        <v>43900.75</v>
      </c>
      <c r="B318" s="2" t="s">
        <v>12</v>
      </c>
      <c r="C318">
        <v>17</v>
      </c>
      <c r="D318" s="2" t="s">
        <v>39</v>
      </c>
      <c r="E318">
        <v>4063947052</v>
      </c>
      <c r="F318">
        <v>1580514834</v>
      </c>
      <c r="G318">
        <v>2</v>
      </c>
      <c r="H318">
        <v>0</v>
      </c>
      <c r="I318">
        <v>2</v>
      </c>
      <c r="J318">
        <v>5</v>
      </c>
      <c r="K318">
        <v>7</v>
      </c>
      <c r="L318">
        <v>2</v>
      </c>
      <c r="M318">
        <v>0</v>
      </c>
      <c r="N318">
        <v>0</v>
      </c>
      <c r="O318">
        <v>7</v>
      </c>
      <c r="P318">
        <v>148</v>
      </c>
    </row>
    <row r="319" spans="1:16" x14ac:dyDescent="0.25">
      <c r="A319" s="1">
        <v>43900.75</v>
      </c>
      <c r="B319" s="2" t="s">
        <v>12</v>
      </c>
      <c r="C319">
        <v>4</v>
      </c>
      <c r="D319" s="2" t="s">
        <v>40</v>
      </c>
      <c r="E319">
        <v>4649933453</v>
      </c>
      <c r="F319">
        <v>1135662422</v>
      </c>
      <c r="G319">
        <v>17</v>
      </c>
      <c r="H319">
        <v>1</v>
      </c>
      <c r="I319">
        <v>18</v>
      </c>
      <c r="J319">
        <v>20</v>
      </c>
      <c r="K319">
        <v>38</v>
      </c>
      <c r="L319">
        <v>29</v>
      </c>
      <c r="M319">
        <v>0</v>
      </c>
      <c r="N319">
        <v>0</v>
      </c>
      <c r="O319">
        <v>38</v>
      </c>
      <c r="P319">
        <v>36</v>
      </c>
    </row>
    <row r="320" spans="1:16" x14ac:dyDescent="0.25">
      <c r="A320" s="1">
        <v>43900.75</v>
      </c>
      <c r="B320" s="2" t="s">
        <v>12</v>
      </c>
      <c r="C320">
        <v>18</v>
      </c>
      <c r="D320" s="2" t="s">
        <v>41</v>
      </c>
      <c r="E320">
        <v>3810922769</v>
      </c>
      <c r="F320">
        <v>156434527</v>
      </c>
      <c r="G320">
        <v>8</v>
      </c>
      <c r="H320">
        <v>2</v>
      </c>
      <c r="I320">
        <v>10</v>
      </c>
      <c r="J320">
        <v>1</v>
      </c>
      <c r="K320">
        <v>11</v>
      </c>
      <c r="L320">
        <v>2</v>
      </c>
      <c r="M320">
        <v>2</v>
      </c>
      <c r="N320">
        <v>0</v>
      </c>
      <c r="O320">
        <v>13</v>
      </c>
      <c r="P320">
        <v>360</v>
      </c>
    </row>
    <row r="321" spans="1:16" x14ac:dyDescent="0.25">
      <c r="A321" s="1">
        <v>43900.75</v>
      </c>
      <c r="B321" s="2" t="s">
        <v>12</v>
      </c>
      <c r="C321">
        <v>15</v>
      </c>
      <c r="D321" s="2" t="s">
        <v>42</v>
      </c>
      <c r="E321">
        <v>4083956555</v>
      </c>
      <c r="F321">
        <v>1425084984</v>
      </c>
      <c r="G321">
        <v>33</v>
      </c>
      <c r="H321">
        <v>8</v>
      </c>
      <c r="I321">
        <v>41</v>
      </c>
      <c r="J321">
        <v>85</v>
      </c>
      <c r="K321">
        <v>126</v>
      </c>
      <c r="L321">
        <v>7</v>
      </c>
      <c r="M321">
        <v>1</v>
      </c>
      <c r="N321">
        <v>0</v>
      </c>
      <c r="O321">
        <v>127</v>
      </c>
      <c r="P321">
        <v>1141</v>
      </c>
    </row>
    <row r="322" spans="1:16" x14ac:dyDescent="0.25">
      <c r="A322" s="1">
        <v>43900.75</v>
      </c>
      <c r="B322" s="2" t="s">
        <v>12</v>
      </c>
      <c r="C322">
        <v>8</v>
      </c>
      <c r="D322" s="2" t="s">
        <v>43</v>
      </c>
      <c r="E322">
        <v>4449436681</v>
      </c>
      <c r="F322">
        <v>113417208</v>
      </c>
      <c r="G322">
        <v>669</v>
      </c>
      <c r="H322">
        <v>98</v>
      </c>
      <c r="I322">
        <v>767</v>
      </c>
      <c r="J322">
        <v>650</v>
      </c>
      <c r="K322">
        <v>1417</v>
      </c>
      <c r="L322">
        <v>131</v>
      </c>
      <c r="M322">
        <v>31</v>
      </c>
      <c r="N322">
        <v>85</v>
      </c>
      <c r="O322">
        <v>1533</v>
      </c>
      <c r="P322">
        <v>5494</v>
      </c>
    </row>
    <row r="323" spans="1:16" x14ac:dyDescent="0.25">
      <c r="A323" s="1">
        <v>43900.75</v>
      </c>
      <c r="B323" s="2" t="s">
        <v>12</v>
      </c>
      <c r="C323">
        <v>6</v>
      </c>
      <c r="D323" s="2" t="s">
        <v>44</v>
      </c>
      <c r="E323">
        <v>456494354</v>
      </c>
      <c r="F323">
        <v>1376813649</v>
      </c>
      <c r="G323">
        <v>27</v>
      </c>
      <c r="H323">
        <v>6</v>
      </c>
      <c r="I323">
        <v>33</v>
      </c>
      <c r="J323">
        <v>77</v>
      </c>
      <c r="K323">
        <v>110</v>
      </c>
      <c r="L323">
        <v>21</v>
      </c>
      <c r="M323">
        <v>3</v>
      </c>
      <c r="N323">
        <v>3</v>
      </c>
      <c r="O323">
        <v>116</v>
      </c>
      <c r="P323">
        <v>1602</v>
      </c>
    </row>
    <row r="324" spans="1:16" x14ac:dyDescent="0.25">
      <c r="A324" s="1">
        <v>43900.75</v>
      </c>
      <c r="B324" s="2" t="s">
        <v>12</v>
      </c>
      <c r="C324">
        <v>12</v>
      </c>
      <c r="D324" s="2" t="s">
        <v>45</v>
      </c>
      <c r="E324">
        <v>4189277044</v>
      </c>
      <c r="F324">
        <v>1248366722</v>
      </c>
      <c r="G324">
        <v>50</v>
      </c>
      <c r="H324">
        <v>15</v>
      </c>
      <c r="I324">
        <v>65</v>
      </c>
      <c r="J324">
        <v>34</v>
      </c>
      <c r="K324">
        <v>99</v>
      </c>
      <c r="L324">
        <v>5</v>
      </c>
      <c r="M324">
        <v>11</v>
      </c>
      <c r="N324">
        <v>6</v>
      </c>
      <c r="O324">
        <v>116</v>
      </c>
      <c r="P324">
        <v>3591</v>
      </c>
    </row>
    <row r="325" spans="1:16" x14ac:dyDescent="0.25">
      <c r="A325" s="1">
        <v>43900.75</v>
      </c>
      <c r="B325" s="2" t="s">
        <v>12</v>
      </c>
      <c r="C325">
        <v>7</v>
      </c>
      <c r="D325" s="2" t="s">
        <v>46</v>
      </c>
      <c r="E325">
        <v>4441149315</v>
      </c>
      <c r="F325">
        <v>89326992</v>
      </c>
      <c r="G325">
        <v>57</v>
      </c>
      <c r="H325">
        <v>29</v>
      </c>
      <c r="I325">
        <v>86</v>
      </c>
      <c r="J325">
        <v>42</v>
      </c>
      <c r="K325">
        <v>128</v>
      </c>
      <c r="L325">
        <v>31</v>
      </c>
      <c r="M325">
        <v>5</v>
      </c>
      <c r="N325">
        <v>8</v>
      </c>
      <c r="O325">
        <v>141</v>
      </c>
      <c r="P325">
        <v>694</v>
      </c>
    </row>
    <row r="326" spans="1:16" x14ac:dyDescent="0.25">
      <c r="A326" s="1">
        <v>43900.75</v>
      </c>
      <c r="B326" s="2" t="s">
        <v>12</v>
      </c>
      <c r="C326">
        <v>3</v>
      </c>
      <c r="D326" s="2" t="s">
        <v>47</v>
      </c>
      <c r="E326">
        <v>4546679409</v>
      </c>
      <c r="F326">
        <v>9190347404</v>
      </c>
      <c r="G326">
        <v>3319</v>
      </c>
      <c r="H326">
        <v>466</v>
      </c>
      <c r="I326">
        <v>3785</v>
      </c>
      <c r="J326">
        <v>642</v>
      </c>
      <c r="K326">
        <v>4427</v>
      </c>
      <c r="L326">
        <v>-63</v>
      </c>
      <c r="M326">
        <v>896</v>
      </c>
      <c r="N326">
        <v>468</v>
      </c>
      <c r="O326">
        <v>5791</v>
      </c>
      <c r="P326">
        <v>21479</v>
      </c>
    </row>
    <row r="327" spans="1:16" x14ac:dyDescent="0.25">
      <c r="A327" s="1">
        <v>43900.75</v>
      </c>
      <c r="B327" s="2" t="s">
        <v>12</v>
      </c>
      <c r="C327">
        <v>11</v>
      </c>
      <c r="D327" s="2" t="s">
        <v>48</v>
      </c>
      <c r="E327">
        <v>4361675973</v>
      </c>
      <c r="F327">
        <v>135188753</v>
      </c>
      <c r="G327">
        <v>152</v>
      </c>
      <c r="H327">
        <v>54</v>
      </c>
      <c r="I327">
        <v>206</v>
      </c>
      <c r="J327">
        <v>175</v>
      </c>
      <c r="K327">
        <v>381</v>
      </c>
      <c r="L327">
        <v>68</v>
      </c>
      <c r="M327">
        <v>0</v>
      </c>
      <c r="N327">
        <v>13</v>
      </c>
      <c r="O327">
        <v>394</v>
      </c>
      <c r="P327">
        <v>1437</v>
      </c>
    </row>
    <row r="328" spans="1:16" x14ac:dyDescent="0.25">
      <c r="A328" s="1">
        <v>43900.75</v>
      </c>
      <c r="B328" s="2" t="s">
        <v>12</v>
      </c>
      <c r="C328">
        <v>14</v>
      </c>
      <c r="D328" s="2" t="s">
        <v>49</v>
      </c>
      <c r="E328">
        <v>4155774754</v>
      </c>
      <c r="F328">
        <v>1465916051</v>
      </c>
      <c r="G328">
        <v>3</v>
      </c>
      <c r="H328">
        <v>3</v>
      </c>
      <c r="I328">
        <v>6</v>
      </c>
      <c r="J328">
        <v>9</v>
      </c>
      <c r="K328">
        <v>15</v>
      </c>
      <c r="L328">
        <v>1</v>
      </c>
      <c r="M328">
        <v>0</v>
      </c>
      <c r="N328">
        <v>0</v>
      </c>
      <c r="O328">
        <v>15</v>
      </c>
      <c r="P328">
        <v>225</v>
      </c>
    </row>
    <row r="329" spans="1:16" x14ac:dyDescent="0.25">
      <c r="A329" s="1">
        <v>43900.75</v>
      </c>
      <c r="B329" s="2" t="s">
        <v>12</v>
      </c>
      <c r="C329">
        <v>1</v>
      </c>
      <c r="D329" s="2" t="s">
        <v>50</v>
      </c>
      <c r="E329">
        <v>450732745</v>
      </c>
      <c r="F329">
        <v>7680687483</v>
      </c>
      <c r="G329">
        <v>306</v>
      </c>
      <c r="H329">
        <v>66</v>
      </c>
      <c r="I329">
        <v>372</v>
      </c>
      <c r="J329">
        <v>64</v>
      </c>
      <c r="K329">
        <v>436</v>
      </c>
      <c r="L329">
        <v>99</v>
      </c>
      <c r="M329">
        <v>0</v>
      </c>
      <c r="N329">
        <v>17</v>
      </c>
      <c r="O329">
        <v>453</v>
      </c>
      <c r="P329">
        <v>2374</v>
      </c>
    </row>
    <row r="330" spans="1:16" x14ac:dyDescent="0.25">
      <c r="A330" s="1">
        <v>43900.75</v>
      </c>
      <c r="B330" s="2" t="s">
        <v>12</v>
      </c>
      <c r="C330">
        <v>16</v>
      </c>
      <c r="D330" s="2" t="s">
        <v>51</v>
      </c>
      <c r="E330">
        <v>4112559576</v>
      </c>
      <c r="F330">
        <v>1686736689</v>
      </c>
      <c r="G330">
        <v>28</v>
      </c>
      <c r="H330">
        <v>6</v>
      </c>
      <c r="I330">
        <v>34</v>
      </c>
      <c r="J330">
        <v>21</v>
      </c>
      <c r="K330">
        <v>55</v>
      </c>
      <c r="L330">
        <v>9</v>
      </c>
      <c r="M330">
        <v>1</v>
      </c>
      <c r="N330">
        <v>3</v>
      </c>
      <c r="O330">
        <v>59</v>
      </c>
      <c r="P330">
        <v>747</v>
      </c>
    </row>
    <row r="331" spans="1:16" x14ac:dyDescent="0.25">
      <c r="A331" s="1">
        <v>43900.75</v>
      </c>
      <c r="B331" s="2" t="s">
        <v>12</v>
      </c>
      <c r="C331">
        <v>20</v>
      </c>
      <c r="D331" s="2" t="s">
        <v>52</v>
      </c>
      <c r="E331">
        <v>3921531192</v>
      </c>
      <c r="F331">
        <v>9110616306</v>
      </c>
      <c r="G331">
        <v>9</v>
      </c>
      <c r="H331">
        <v>0</v>
      </c>
      <c r="I331">
        <v>9</v>
      </c>
      <c r="J331">
        <v>11</v>
      </c>
      <c r="K331">
        <v>20</v>
      </c>
      <c r="L331">
        <v>1</v>
      </c>
      <c r="M331">
        <v>0</v>
      </c>
      <c r="N331">
        <v>0</v>
      </c>
      <c r="O331">
        <v>20</v>
      </c>
      <c r="P331">
        <v>204</v>
      </c>
    </row>
    <row r="332" spans="1:16" x14ac:dyDescent="0.25">
      <c r="A332" s="1">
        <v>43900.75</v>
      </c>
      <c r="B332" s="2" t="s">
        <v>12</v>
      </c>
      <c r="C332">
        <v>19</v>
      </c>
      <c r="D332" s="2" t="s">
        <v>53</v>
      </c>
      <c r="E332">
        <v>3811569725</v>
      </c>
      <c r="F332">
        <v>133623567</v>
      </c>
      <c r="G332">
        <v>17</v>
      </c>
      <c r="H332">
        <v>2</v>
      </c>
      <c r="I332">
        <v>19</v>
      </c>
      <c r="J332">
        <v>41</v>
      </c>
      <c r="K332">
        <v>60</v>
      </c>
      <c r="L332">
        <v>8</v>
      </c>
      <c r="M332">
        <v>2</v>
      </c>
      <c r="N332">
        <v>0</v>
      </c>
      <c r="O332">
        <v>62</v>
      </c>
      <c r="P332">
        <v>955</v>
      </c>
    </row>
    <row r="333" spans="1:16" x14ac:dyDescent="0.25">
      <c r="A333" s="1">
        <v>43900.75</v>
      </c>
      <c r="B333" s="2" t="s">
        <v>12</v>
      </c>
      <c r="C333">
        <v>9</v>
      </c>
      <c r="D333" s="2" t="s">
        <v>54</v>
      </c>
      <c r="E333">
        <v>4376923077</v>
      </c>
      <c r="F333">
        <v>1125588885</v>
      </c>
      <c r="G333">
        <v>91</v>
      </c>
      <c r="H333">
        <v>40</v>
      </c>
      <c r="I333">
        <v>131</v>
      </c>
      <c r="J333">
        <v>129</v>
      </c>
      <c r="K333">
        <v>260</v>
      </c>
      <c r="L333">
        <v>54</v>
      </c>
      <c r="M333">
        <v>3</v>
      </c>
      <c r="N333">
        <v>1</v>
      </c>
      <c r="O333">
        <v>264</v>
      </c>
      <c r="P333">
        <v>2573</v>
      </c>
    </row>
    <row r="334" spans="1:16" x14ac:dyDescent="0.25">
      <c r="A334" s="1">
        <v>43900.75</v>
      </c>
      <c r="B334" s="2" t="s">
        <v>12</v>
      </c>
      <c r="C334">
        <v>4</v>
      </c>
      <c r="D334" s="2" t="s">
        <v>55</v>
      </c>
      <c r="E334">
        <v>4606893511</v>
      </c>
      <c r="F334">
        <v>1112123097</v>
      </c>
      <c r="G334">
        <v>19</v>
      </c>
      <c r="H334">
        <v>3</v>
      </c>
      <c r="I334">
        <v>22</v>
      </c>
      <c r="J334">
        <v>28</v>
      </c>
      <c r="K334">
        <v>50</v>
      </c>
      <c r="L334">
        <v>17</v>
      </c>
      <c r="M334">
        <v>2</v>
      </c>
      <c r="N334">
        <v>0</v>
      </c>
      <c r="O334">
        <v>52</v>
      </c>
      <c r="P334">
        <v>399</v>
      </c>
    </row>
    <row r="335" spans="1:16" x14ac:dyDescent="0.25">
      <c r="A335" s="1">
        <v>43900.75</v>
      </c>
      <c r="B335" s="2" t="s">
        <v>12</v>
      </c>
      <c r="C335">
        <v>10</v>
      </c>
      <c r="D335" s="2" t="s">
        <v>56</v>
      </c>
      <c r="E335">
        <v>4310675841</v>
      </c>
      <c r="F335">
        <v>1238824698</v>
      </c>
      <c r="G335">
        <v>8</v>
      </c>
      <c r="H335">
        <v>2</v>
      </c>
      <c r="I335">
        <v>10</v>
      </c>
      <c r="J335">
        <v>27</v>
      </c>
      <c r="K335">
        <v>37</v>
      </c>
      <c r="L335">
        <v>9</v>
      </c>
      <c r="M335">
        <v>0</v>
      </c>
      <c r="N335">
        <v>0</v>
      </c>
      <c r="O335">
        <v>37</v>
      </c>
      <c r="P335">
        <v>260</v>
      </c>
    </row>
    <row r="336" spans="1:16" x14ac:dyDescent="0.25">
      <c r="A336" s="1">
        <v>43900.75</v>
      </c>
      <c r="B336" s="2" t="s">
        <v>12</v>
      </c>
      <c r="C336">
        <v>2</v>
      </c>
      <c r="D336" s="2" t="s">
        <v>57</v>
      </c>
      <c r="E336">
        <v>4573750286</v>
      </c>
      <c r="F336">
        <v>7320149366</v>
      </c>
      <c r="G336">
        <v>2</v>
      </c>
      <c r="H336">
        <v>0</v>
      </c>
      <c r="I336">
        <v>2</v>
      </c>
      <c r="J336">
        <v>15</v>
      </c>
      <c r="K336">
        <v>17</v>
      </c>
      <c r="L336">
        <v>2</v>
      </c>
      <c r="M336">
        <v>0</v>
      </c>
      <c r="N336">
        <v>0</v>
      </c>
      <c r="O336">
        <v>17</v>
      </c>
      <c r="P336">
        <v>89</v>
      </c>
    </row>
    <row r="337" spans="1:16" x14ac:dyDescent="0.25">
      <c r="A337" s="1">
        <v>43900.75</v>
      </c>
      <c r="B337" s="2" t="s">
        <v>12</v>
      </c>
      <c r="C337">
        <v>5</v>
      </c>
      <c r="D337" s="2" t="s">
        <v>58</v>
      </c>
      <c r="E337">
        <v>4543490485</v>
      </c>
      <c r="F337">
        <v>1233845213</v>
      </c>
      <c r="G337">
        <v>204</v>
      </c>
      <c r="H337">
        <v>67</v>
      </c>
      <c r="I337">
        <v>271</v>
      </c>
      <c r="J337">
        <v>512</v>
      </c>
      <c r="K337">
        <v>783</v>
      </c>
      <c r="L337">
        <v>89</v>
      </c>
      <c r="M337">
        <v>47</v>
      </c>
      <c r="N337">
        <v>26</v>
      </c>
      <c r="O337">
        <v>856</v>
      </c>
      <c r="P337">
        <v>16643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B689-4B85-4885-AD7A-5721550C2697}">
  <dimension ref="B2:O26"/>
  <sheetViews>
    <sheetView topLeftCell="F1" workbookViewId="0">
      <selection activeCell="N32" sqref="N32"/>
    </sheetView>
  </sheetViews>
  <sheetFormatPr defaultRowHeight="15" x14ac:dyDescent="0.25"/>
  <cols>
    <col min="2" max="2" width="18.28515625" bestFit="1" customWidth="1"/>
    <col min="3" max="3" width="20" bestFit="1" customWidth="1"/>
    <col min="4" max="4" width="9.7109375" bestFit="1" customWidth="1"/>
    <col min="5" max="5" width="8.42578125" bestFit="1" customWidth="1"/>
    <col min="6" max="6" width="16.5703125" customWidth="1"/>
    <col min="7" max="7" width="21.5703125" bestFit="1" customWidth="1"/>
    <col min="8" max="8" width="28.5703125" bestFit="1" customWidth="1"/>
    <col min="9" max="9" width="25.7109375" bestFit="1" customWidth="1"/>
    <col min="10" max="10" width="15.85546875" bestFit="1" customWidth="1"/>
    <col min="11" max="11" width="18.28515625" bestFit="1" customWidth="1"/>
    <col min="12" max="12" width="35.5703125" bestFit="1" customWidth="1"/>
    <col min="13" max="13" width="37.28515625" bestFit="1" customWidth="1"/>
    <col min="14" max="14" width="19" bestFit="1" customWidth="1"/>
    <col min="15" max="15" width="21.5703125" bestFit="1" customWidth="1"/>
    <col min="16" max="17" width="14.140625" bestFit="1" customWidth="1"/>
    <col min="18" max="29" width="15.85546875" bestFit="1" customWidth="1"/>
    <col min="30" max="30" width="18.28515625" bestFit="1" customWidth="1"/>
  </cols>
  <sheetData>
    <row r="2" spans="2:15" x14ac:dyDescent="0.25">
      <c r="B2" s="3" t="s">
        <v>14</v>
      </c>
      <c r="C2" t="s">
        <v>15</v>
      </c>
      <c r="D2" t="s">
        <v>16</v>
      </c>
      <c r="E2" t="s">
        <v>29</v>
      </c>
      <c r="G2" t="s">
        <v>20</v>
      </c>
      <c r="I2" t="s">
        <v>27</v>
      </c>
      <c r="K2" t="s">
        <v>28</v>
      </c>
      <c r="M2" t="s">
        <v>19</v>
      </c>
    </row>
    <row r="3" spans="2:15" x14ac:dyDescent="0.25">
      <c r="B3" s="8">
        <v>43885.75</v>
      </c>
      <c r="C3" s="2">
        <v>229</v>
      </c>
      <c r="D3" s="2">
        <v>7</v>
      </c>
      <c r="E3" s="2">
        <v>1</v>
      </c>
      <c r="F3" s="2"/>
      <c r="G3" s="2">
        <v>10149</v>
      </c>
      <c r="I3" s="2">
        <v>1004</v>
      </c>
      <c r="K3" s="2">
        <v>631</v>
      </c>
      <c r="M3" s="2">
        <v>8514</v>
      </c>
    </row>
    <row r="4" spans="2:15" x14ac:dyDescent="0.25">
      <c r="B4" s="8">
        <v>43886.75</v>
      </c>
      <c r="C4" s="2">
        <v>322</v>
      </c>
      <c r="D4" s="2">
        <v>10</v>
      </c>
      <c r="E4" s="2">
        <v>1</v>
      </c>
      <c r="F4" s="2"/>
    </row>
    <row r="5" spans="2:15" x14ac:dyDescent="0.25">
      <c r="B5" s="8">
        <v>43887.75</v>
      </c>
      <c r="C5" s="2">
        <v>400</v>
      </c>
      <c r="D5" s="2">
        <v>12</v>
      </c>
      <c r="E5" s="2">
        <v>3</v>
      </c>
      <c r="F5" s="2"/>
    </row>
    <row r="6" spans="2:15" x14ac:dyDescent="0.25">
      <c r="B6" s="8">
        <v>43888.75</v>
      </c>
      <c r="C6" s="2">
        <v>650</v>
      </c>
      <c r="D6" s="2">
        <v>17</v>
      </c>
      <c r="E6" s="2">
        <v>45</v>
      </c>
      <c r="F6" s="2"/>
      <c r="G6" s="3" t="s">
        <v>14</v>
      </c>
      <c r="H6" t="s">
        <v>18</v>
      </c>
      <c r="I6" t="s">
        <v>31</v>
      </c>
      <c r="K6" s="3" t="s">
        <v>14</v>
      </c>
      <c r="L6" t="s">
        <v>17</v>
      </c>
      <c r="N6" s="3" t="s">
        <v>14</v>
      </c>
      <c r="O6" t="s">
        <v>20</v>
      </c>
    </row>
    <row r="7" spans="2:15" x14ac:dyDescent="0.25">
      <c r="B7" s="8">
        <v>43889.75</v>
      </c>
      <c r="C7" s="2">
        <v>888</v>
      </c>
      <c r="D7" s="2">
        <v>21</v>
      </c>
      <c r="E7" s="2">
        <v>46</v>
      </c>
      <c r="F7" s="2"/>
      <c r="G7" s="4">
        <v>43885.75</v>
      </c>
      <c r="H7" s="2">
        <v>127</v>
      </c>
      <c r="I7" s="2">
        <v>26</v>
      </c>
      <c r="K7" s="5">
        <v>2</v>
      </c>
      <c r="L7" s="2"/>
      <c r="N7" s="5" t="s">
        <v>38</v>
      </c>
      <c r="O7" s="2">
        <v>38</v>
      </c>
    </row>
    <row r="8" spans="2:15" x14ac:dyDescent="0.25">
      <c r="B8" s="8">
        <v>43890.75</v>
      </c>
      <c r="C8" s="2">
        <v>1128</v>
      </c>
      <c r="D8" s="2">
        <v>29</v>
      </c>
      <c r="E8" s="2">
        <v>50</v>
      </c>
      <c r="F8" s="2"/>
      <c r="G8" s="4">
        <v>43886.75</v>
      </c>
      <c r="H8" s="2">
        <v>150</v>
      </c>
      <c r="I8" s="2">
        <v>35</v>
      </c>
      <c r="K8" s="6">
        <v>24</v>
      </c>
      <c r="L8" s="2">
        <v>221</v>
      </c>
      <c r="N8" s="5" t="s">
        <v>39</v>
      </c>
      <c r="O8" s="2">
        <v>7</v>
      </c>
    </row>
    <row r="9" spans="2:15" x14ac:dyDescent="0.25">
      <c r="B9" s="8">
        <v>43891.75</v>
      </c>
      <c r="C9" s="2">
        <v>1694</v>
      </c>
      <c r="D9" s="2">
        <v>34</v>
      </c>
      <c r="E9" s="2">
        <v>83</v>
      </c>
      <c r="F9" s="2"/>
      <c r="G9" s="4">
        <v>43887.75</v>
      </c>
      <c r="H9" s="2">
        <v>164</v>
      </c>
      <c r="I9" s="2">
        <v>36</v>
      </c>
      <c r="K9" s="6">
        <v>25</v>
      </c>
      <c r="L9" s="2">
        <v>90</v>
      </c>
      <c r="N9" s="5" t="s">
        <v>41</v>
      </c>
      <c r="O9" s="2">
        <v>13</v>
      </c>
    </row>
    <row r="10" spans="2:15" x14ac:dyDescent="0.25">
      <c r="B10" s="8">
        <v>43892.75</v>
      </c>
      <c r="C10" s="2">
        <v>2036</v>
      </c>
      <c r="D10" s="2">
        <v>52</v>
      </c>
      <c r="E10" s="2">
        <v>149</v>
      </c>
      <c r="F10" s="2"/>
      <c r="G10" s="4">
        <v>43888.75</v>
      </c>
      <c r="H10" s="2">
        <v>304</v>
      </c>
      <c r="I10" s="2">
        <v>56</v>
      </c>
      <c r="K10" s="6">
        <v>26</v>
      </c>
      <c r="L10" s="2">
        <v>74</v>
      </c>
      <c r="N10" s="5" t="s">
        <v>42</v>
      </c>
      <c r="O10" s="2">
        <v>127</v>
      </c>
    </row>
    <row r="11" spans="2:15" x14ac:dyDescent="0.25">
      <c r="B11" s="8">
        <v>43893.75</v>
      </c>
      <c r="C11" s="2">
        <v>2502</v>
      </c>
      <c r="D11" s="2">
        <v>79</v>
      </c>
      <c r="E11" s="2">
        <v>160</v>
      </c>
      <c r="F11" s="2"/>
      <c r="G11" s="4">
        <v>43889.75</v>
      </c>
      <c r="H11" s="2">
        <v>409</v>
      </c>
      <c r="I11" s="2">
        <v>64</v>
      </c>
      <c r="K11" s="6">
        <v>27</v>
      </c>
      <c r="L11" s="2">
        <v>203</v>
      </c>
      <c r="N11" s="5" t="s">
        <v>43</v>
      </c>
      <c r="O11" s="2">
        <v>1533</v>
      </c>
    </row>
    <row r="12" spans="2:15" x14ac:dyDescent="0.25">
      <c r="B12" s="8">
        <v>43894.75</v>
      </c>
      <c r="C12" s="2">
        <v>3089</v>
      </c>
      <c r="D12" s="2">
        <v>107</v>
      </c>
      <c r="E12" s="2">
        <v>276</v>
      </c>
      <c r="F12" s="2"/>
      <c r="G12" s="4">
        <v>43890.75</v>
      </c>
      <c r="H12" s="2">
        <v>506</v>
      </c>
      <c r="I12" s="2">
        <v>105</v>
      </c>
      <c r="K12" s="6">
        <v>28</v>
      </c>
      <c r="L12" s="2">
        <v>233</v>
      </c>
      <c r="N12" s="5" t="s">
        <v>44</v>
      </c>
      <c r="O12" s="2">
        <v>116</v>
      </c>
    </row>
    <row r="13" spans="2:15" x14ac:dyDescent="0.25">
      <c r="B13" s="8">
        <v>43895.75</v>
      </c>
      <c r="C13" s="2">
        <v>3858</v>
      </c>
      <c r="D13" s="2">
        <v>148</v>
      </c>
      <c r="E13" s="2">
        <v>414</v>
      </c>
      <c r="F13" s="2"/>
      <c r="G13" s="4">
        <v>43891.75</v>
      </c>
      <c r="H13" s="2">
        <v>779</v>
      </c>
      <c r="I13" s="2">
        <v>140</v>
      </c>
      <c r="K13" s="6">
        <v>29</v>
      </c>
      <c r="L13" s="2">
        <v>228</v>
      </c>
      <c r="N13" s="5" t="s">
        <v>45</v>
      </c>
      <c r="O13" s="2">
        <v>116</v>
      </c>
    </row>
    <row r="14" spans="2:15" x14ac:dyDescent="0.25">
      <c r="B14" s="8">
        <v>43896.75</v>
      </c>
      <c r="C14" s="2">
        <v>4636</v>
      </c>
      <c r="D14" s="2">
        <v>197</v>
      </c>
      <c r="E14" s="2">
        <v>523</v>
      </c>
      <c r="F14" s="2"/>
      <c r="G14" s="4">
        <v>43892.75</v>
      </c>
      <c r="H14" s="2">
        <v>908</v>
      </c>
      <c r="I14" s="2">
        <v>166</v>
      </c>
      <c r="K14" s="5">
        <v>3</v>
      </c>
      <c r="L14" s="2"/>
      <c r="N14" s="5" t="s">
        <v>46</v>
      </c>
      <c r="O14" s="2">
        <v>141</v>
      </c>
    </row>
    <row r="15" spans="2:15" x14ac:dyDescent="0.25">
      <c r="B15" s="8">
        <v>43897.75</v>
      </c>
      <c r="C15" s="2">
        <v>5883</v>
      </c>
      <c r="D15" s="2">
        <v>233</v>
      </c>
      <c r="E15" s="2">
        <v>589</v>
      </c>
      <c r="F15" s="2"/>
      <c r="G15" s="4">
        <v>43893.75</v>
      </c>
      <c r="H15" s="2">
        <v>1263</v>
      </c>
      <c r="I15" s="2">
        <v>229</v>
      </c>
      <c r="K15" s="6">
        <v>1</v>
      </c>
      <c r="L15" s="2">
        <v>528</v>
      </c>
      <c r="N15" s="5" t="s">
        <v>47</v>
      </c>
      <c r="O15" s="2">
        <v>5791</v>
      </c>
    </row>
    <row r="16" spans="2:15" x14ac:dyDescent="0.25">
      <c r="B16" s="8">
        <v>43898.75</v>
      </c>
      <c r="C16" s="2">
        <v>7375</v>
      </c>
      <c r="D16" s="2">
        <v>366</v>
      </c>
      <c r="E16" s="2">
        <v>622</v>
      </c>
      <c r="F16" s="2"/>
      <c r="G16" s="4">
        <v>43894.75</v>
      </c>
      <c r="H16" s="2">
        <v>1641</v>
      </c>
      <c r="I16" s="2">
        <v>295</v>
      </c>
      <c r="K16" s="6">
        <v>2</v>
      </c>
      <c r="L16" s="2">
        <v>258</v>
      </c>
      <c r="N16" s="5" t="s">
        <v>48</v>
      </c>
      <c r="O16" s="2">
        <v>394</v>
      </c>
    </row>
    <row r="17" spans="2:15" x14ac:dyDescent="0.25">
      <c r="B17" s="8">
        <v>43899.75</v>
      </c>
      <c r="C17" s="2">
        <v>9172</v>
      </c>
      <c r="D17" s="2">
        <v>463</v>
      </c>
      <c r="E17" s="2">
        <v>724</v>
      </c>
      <c r="F17" s="2"/>
      <c r="G17" s="4">
        <v>43895.75</v>
      </c>
      <c r="H17" s="2">
        <v>2141</v>
      </c>
      <c r="I17" s="2">
        <v>351</v>
      </c>
      <c r="K17" s="6">
        <v>3</v>
      </c>
      <c r="L17" s="2">
        <v>428</v>
      </c>
      <c r="N17" s="5" t="s">
        <v>49</v>
      </c>
      <c r="O17" s="2">
        <v>15</v>
      </c>
    </row>
    <row r="18" spans="2:15" x14ac:dyDescent="0.25">
      <c r="B18" s="8">
        <v>43900.75</v>
      </c>
      <c r="C18" s="2">
        <v>10149</v>
      </c>
      <c r="D18" s="2">
        <v>631</v>
      </c>
      <c r="E18" s="2">
        <v>1004</v>
      </c>
      <c r="F18" s="2"/>
      <c r="G18" s="4">
        <v>43896.75</v>
      </c>
      <c r="H18" s="2">
        <v>2856</v>
      </c>
      <c r="I18" s="2">
        <v>462</v>
      </c>
      <c r="K18" s="6">
        <v>4</v>
      </c>
      <c r="L18" s="2">
        <v>443</v>
      </c>
      <c r="N18" s="5" t="s">
        <v>50</v>
      </c>
      <c r="O18" s="2">
        <v>453</v>
      </c>
    </row>
    <row r="19" spans="2:15" x14ac:dyDescent="0.25">
      <c r="B19" s="5" t="s">
        <v>13</v>
      </c>
      <c r="C19" s="2">
        <v>54011</v>
      </c>
      <c r="D19" s="2">
        <v>2406</v>
      </c>
      <c r="E19" s="2">
        <v>4690</v>
      </c>
      <c r="F19" s="2"/>
      <c r="G19" s="4">
        <v>43897.75</v>
      </c>
      <c r="H19" s="2">
        <v>3218</v>
      </c>
      <c r="I19" s="2">
        <v>567</v>
      </c>
      <c r="K19" s="6">
        <v>5</v>
      </c>
      <c r="L19" s="2">
        <v>590</v>
      </c>
      <c r="N19" s="5" t="s">
        <v>51</v>
      </c>
      <c r="O19" s="2">
        <v>59</v>
      </c>
    </row>
    <row r="20" spans="2:15" x14ac:dyDescent="0.25">
      <c r="G20" s="4">
        <v>43898.75</v>
      </c>
      <c r="H20" s="2">
        <v>4207</v>
      </c>
      <c r="I20" s="2">
        <v>650</v>
      </c>
      <c r="K20" s="6">
        <v>6</v>
      </c>
      <c r="L20" s="2">
        <v>620</v>
      </c>
      <c r="N20" s="5" t="s">
        <v>52</v>
      </c>
      <c r="O20" s="2">
        <v>20</v>
      </c>
    </row>
    <row r="21" spans="2:15" x14ac:dyDescent="0.25">
      <c r="G21" s="4">
        <v>43899.75</v>
      </c>
      <c r="H21" s="2">
        <v>5049</v>
      </c>
      <c r="I21" s="2">
        <v>733</v>
      </c>
      <c r="K21" s="6">
        <v>7</v>
      </c>
      <c r="L21" s="2">
        <v>1145</v>
      </c>
      <c r="N21" s="5" t="s">
        <v>53</v>
      </c>
      <c r="O21" s="2">
        <v>62</v>
      </c>
    </row>
    <row r="22" spans="2:15" x14ac:dyDescent="0.25">
      <c r="G22" s="4">
        <v>43900.75</v>
      </c>
      <c r="H22" s="2">
        <v>5915</v>
      </c>
      <c r="I22" s="2">
        <v>877</v>
      </c>
      <c r="K22" s="6">
        <v>8</v>
      </c>
      <c r="L22" s="2">
        <v>1326</v>
      </c>
      <c r="N22" s="5" t="s">
        <v>54</v>
      </c>
      <c r="O22" s="2">
        <v>264</v>
      </c>
    </row>
    <row r="23" spans="2:15" x14ac:dyDescent="0.25">
      <c r="G23" s="5" t="s">
        <v>13</v>
      </c>
      <c r="H23" s="2">
        <v>29637</v>
      </c>
      <c r="I23" s="2">
        <v>4792</v>
      </c>
      <c r="K23" s="6">
        <v>9</v>
      </c>
      <c r="L23" s="2">
        <v>1598</v>
      </c>
      <c r="N23" s="5" t="s">
        <v>61</v>
      </c>
      <c r="O23" s="2">
        <v>52</v>
      </c>
    </row>
    <row r="24" spans="2:15" x14ac:dyDescent="0.25">
      <c r="K24" s="6">
        <v>10</v>
      </c>
      <c r="L24" s="2">
        <v>529</v>
      </c>
      <c r="N24" s="5" t="s">
        <v>56</v>
      </c>
      <c r="O24" s="2">
        <v>37</v>
      </c>
    </row>
    <row r="25" spans="2:15" x14ac:dyDescent="0.25">
      <c r="K25" s="5" t="s">
        <v>13</v>
      </c>
      <c r="L25" s="2">
        <v>8514</v>
      </c>
      <c r="N25" s="5" t="s">
        <v>57</v>
      </c>
      <c r="O25" s="2">
        <v>17</v>
      </c>
    </row>
    <row r="26" spans="2:15" x14ac:dyDescent="0.25">
      <c r="N26" s="5" t="s">
        <v>58</v>
      </c>
      <c r="O26" s="2">
        <v>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D3DBD0A-402E-4D26-8994-A7CBF78567DE}">
  <ds:schemaRefs/>
</ds:datastoreItem>
</file>

<file path=customXml/itemProps2.xml><?xml version="1.0" encoding="utf-8"?>
<ds:datastoreItem xmlns:ds="http://schemas.openxmlformats.org/officeDocument/2006/customXml" ds:itemID="{9C2AD689-9F96-4448-8426-F9B9DC73B9BF}">
  <ds:schemaRefs/>
</ds:datastoreItem>
</file>

<file path=customXml/itemProps3.xml><?xml version="1.0" encoding="utf-8"?>
<ds:datastoreItem xmlns:ds="http://schemas.openxmlformats.org/officeDocument/2006/customXml" ds:itemID="{E9BF912D-9327-46BB-B088-787B43EED6B1}">
  <ds:schemaRefs/>
</ds:datastoreItem>
</file>

<file path=customXml/itemProps4.xml><?xml version="1.0" encoding="utf-8"?>
<ds:datastoreItem xmlns:ds="http://schemas.openxmlformats.org/officeDocument/2006/customXml" ds:itemID="{57F8DF1E-3FA0-403B-903E-01AA401A80C4}">
  <ds:schemaRefs/>
</ds:datastoreItem>
</file>

<file path=customXml/itemProps5.xml><?xml version="1.0" encoding="utf-8"?>
<ds:datastoreItem xmlns:ds="http://schemas.openxmlformats.org/officeDocument/2006/customXml" ds:itemID="{63093101-B6D9-497C-AF55-3DD29BF42DE7}">
  <ds:schemaRefs/>
</ds:datastoreItem>
</file>

<file path=customXml/itemProps6.xml><?xml version="1.0" encoding="utf-8"?>
<ds:datastoreItem xmlns:ds="http://schemas.openxmlformats.org/officeDocument/2006/customXml" ds:itemID="{F05D0DEA-FC82-409B-A00D-122BE9E78FE9}">
  <ds:schemaRefs/>
</ds:datastoreItem>
</file>

<file path=customXml/itemProps7.xml><?xml version="1.0" encoding="utf-8"?>
<ds:datastoreItem xmlns:ds="http://schemas.openxmlformats.org/officeDocument/2006/customXml" ds:itemID="{8DCA0ABC-7C84-4465-A567-20E1B66471DF}">
  <ds:schemaRefs/>
</ds:datastoreItem>
</file>

<file path=customXml/itemProps8.xml><?xml version="1.0" encoding="utf-8"?>
<ds:datastoreItem xmlns:ds="http://schemas.openxmlformats.org/officeDocument/2006/customXml" ds:itemID="{6737ECF1-C7A5-4F9B-8C82-E062A49D81C8}">
  <ds:schemaRefs/>
</ds:datastoreItem>
</file>

<file path=customXml/itemProps9.xml><?xml version="1.0" encoding="utf-8"?>
<ds:datastoreItem xmlns:ds="http://schemas.openxmlformats.org/officeDocument/2006/customXml" ds:itemID="{76FFF514-B963-4505-A35B-BDD361EE8EBA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965FF8E7-7864-4B27-83A8-E6B66293E455}">
  <ds:schemaRefs/>
</ds:datastoreItem>
</file>

<file path=customXml/itemProps11.xml><?xml version="1.0" encoding="utf-8"?>
<ds:datastoreItem xmlns:ds="http://schemas.openxmlformats.org/officeDocument/2006/customXml" ds:itemID="{2CBF7388-82AA-4DDE-8537-4E552219F083}">
  <ds:schemaRefs/>
</ds:datastoreItem>
</file>

<file path=customXml/itemProps12.xml><?xml version="1.0" encoding="utf-8"?>
<ds:datastoreItem xmlns:ds="http://schemas.openxmlformats.org/officeDocument/2006/customXml" ds:itemID="{7D3F0B52-F829-4331-8EC0-52D98C2847A1}">
  <ds:schemaRefs/>
</ds:datastoreItem>
</file>

<file path=customXml/itemProps13.xml><?xml version="1.0" encoding="utf-8"?>
<ds:datastoreItem xmlns:ds="http://schemas.openxmlformats.org/officeDocument/2006/customXml" ds:itemID="{FAC42D48-ABA1-4AC0-9F3A-D8E06B4FB7DF}">
  <ds:schemaRefs/>
</ds:datastoreItem>
</file>

<file path=customXml/itemProps14.xml><?xml version="1.0" encoding="utf-8"?>
<ds:datastoreItem xmlns:ds="http://schemas.openxmlformats.org/officeDocument/2006/customXml" ds:itemID="{3EC5ACC5-B209-4FE1-8C37-E43C4B95555E}">
  <ds:schemaRefs/>
</ds:datastoreItem>
</file>

<file path=customXml/itemProps15.xml><?xml version="1.0" encoding="utf-8"?>
<ds:datastoreItem xmlns:ds="http://schemas.openxmlformats.org/officeDocument/2006/customXml" ds:itemID="{8DCD2D7D-EE37-4BFF-8B1A-C3C721E85189}">
  <ds:schemaRefs/>
</ds:datastoreItem>
</file>

<file path=customXml/itemProps16.xml><?xml version="1.0" encoding="utf-8"?>
<ds:datastoreItem xmlns:ds="http://schemas.openxmlformats.org/officeDocument/2006/customXml" ds:itemID="{28EB07ED-98A7-4FF7-BB5F-3C36D4E9E8FE}">
  <ds:schemaRefs/>
</ds:datastoreItem>
</file>

<file path=customXml/itemProps17.xml><?xml version="1.0" encoding="utf-8"?>
<ds:datastoreItem xmlns:ds="http://schemas.openxmlformats.org/officeDocument/2006/customXml" ds:itemID="{59687B02-7305-475C-B35E-E21381ED22E1}">
  <ds:schemaRefs/>
</ds:datastoreItem>
</file>

<file path=customXml/itemProps18.xml><?xml version="1.0" encoding="utf-8"?>
<ds:datastoreItem xmlns:ds="http://schemas.openxmlformats.org/officeDocument/2006/customXml" ds:itemID="{AE95A168-2FC7-4C9B-9499-C418EF0D06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Istruzioni</vt:lpstr>
      <vt:lpstr>Dashboard</vt:lpstr>
      <vt:lpstr>Nazionale</vt:lpstr>
      <vt:lpstr>Regioni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Maramotti</dc:creator>
  <cp:lastModifiedBy>Alessandro Maramotti</cp:lastModifiedBy>
  <dcterms:created xsi:type="dcterms:W3CDTF">2020-03-09T17:05:53Z</dcterms:created>
  <dcterms:modified xsi:type="dcterms:W3CDTF">2020-03-11T07:55:34Z</dcterms:modified>
</cp:coreProperties>
</file>