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slicerCaches/slicerCache1.xml" ContentType="application/vnd.ms-excel.slicerCache+xml"/>
  <Override PartName="/xl/pivotCache/pivotCacheDefinition11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sspa-my.sharepoint.com/personal/a_maramotti_teamsystem_com/Documents/Temp/BI/"/>
    </mc:Choice>
  </mc:AlternateContent>
  <xr:revisionPtr revIDLastSave="533" documentId="13_ncr:1_{01AEE07C-F2A6-4695-98DE-7AD330094A1A}" xr6:coauthVersionLast="45" xr6:coauthVersionMax="45" xr10:uidLastSave="{4520A664-569D-4B6B-860E-CB8D26A6224C}"/>
  <bookViews>
    <workbookView xWindow="-120" yWindow="-120" windowWidth="29040" windowHeight="15840" activeTab="1" xr2:uid="{BC078018-B75B-4C4E-AF90-4074B60EF2C2}"/>
  </bookViews>
  <sheets>
    <sheet name="Istruzioni" sheetId="5" r:id="rId1"/>
    <sheet name="Dashboard" sheetId="2" r:id="rId2"/>
    <sheet name="Nazionale" sheetId="4" r:id="rId3"/>
    <sheet name="Regioni" sheetId="6" r:id="rId4"/>
    <sheet name="Pivot" sheetId="1" r:id="rId5"/>
  </sheets>
  <definedNames>
    <definedName name="_xlchart.v5.0" hidden="1">Pivot!$B$5</definedName>
    <definedName name="_xlchart.v5.1" hidden="1">Pivot!$B$6:$B$25</definedName>
    <definedName name="_xlchart.v5.2" hidden="1">Pivot!$C$5</definedName>
    <definedName name="_xlchart.v5.3" hidden="1">Pivot!$C$6:$C$25</definedName>
    <definedName name="_xlcn.WorksheetConnection_Cartel1dpc_covid19_ita_andamento_nazionale1" hidden="1">dpc_covid19_ita_andamento_nazionale[]</definedName>
    <definedName name="_xlcn.WorksheetConnection_COVID19Analisys.xlsxdpc_covid19_ita_regioni1" hidden="1">dpc_covid19_ita_regioni[]</definedName>
    <definedName name="DatiEsterni_1" localSheetId="2" hidden="1">Nazionale!$A$1:$L$17</definedName>
    <definedName name="DatiEsterni_1" localSheetId="3" hidden="1">Regioni!$A$1:$P$337</definedName>
    <definedName name="FiltroDati_denominazione_regione_adjust">#N/A</definedName>
    <definedName name="SequenzaTemporale_data">#N/A</definedName>
  </definedNames>
  <calcPr calcId="191029"/>
  <pivotCaches>
    <pivotCache cacheId="1279" r:id="rId6"/>
    <pivotCache cacheId="1282" r:id="rId7"/>
    <pivotCache cacheId="1285" r:id="rId8"/>
    <pivotCache cacheId="1288" r:id="rId9"/>
    <pivotCache cacheId="1291" r:id="rId10"/>
    <pivotCache cacheId="1294" r:id="rId11"/>
    <pivotCache cacheId="1297" r:id="rId12"/>
    <pivotCache cacheId="1300" r:id="rId13"/>
    <pivotCache cacheId="1303" r:id="rId14"/>
  </pivotCaches>
  <extLst>
    <ext xmlns:x14="http://schemas.microsoft.com/office/spreadsheetml/2009/9/main" uri="{876F7934-8845-4945-9796-88D515C7AA90}">
      <x14:pivotCaches>
        <pivotCache cacheId="107" r:id="rId15"/>
      </x14:pivotCaches>
    </ext>
    <ext xmlns:x14="http://schemas.microsoft.com/office/spreadsheetml/2009/9/main" uri="{BBE1A952-AA13-448e-AADC-164F8A28A991}">
      <x14:slicerCaches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08" r:id="rId17"/>
      </x15:timelineCachePivotCaches>
    </ext>
    <ext xmlns:x15="http://schemas.microsoft.com/office/spreadsheetml/2010/11/main" uri="{D0CA8CA8-9F24-4464-BF8E-62219DCF47F9}">
      <x15:timelineCacheRefs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pc_covid19_ita_regioni" name="dpc_covid19_ita_regioni" connection="WorksheetConnection_COVID19-Analisys.xlsx!dpc_covid19_ita_regioni"/>
          <x15:modelTable id="dpc_covid19_ita_andamento_nazionale" name="dpc_covid19_ita_andamento_nazionale" connection="WorksheetConnection_Cartel1!dpc_covid19_ita_andamento_naziona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9" i="2" l="1"/>
  <c r="O9" i="2"/>
  <c r="K9" i="2"/>
  <c r="G9" i="2"/>
  <c r="G4" i="2"/>
  <c r="O10" i="2" l="1"/>
  <c r="K10" i="2"/>
  <c r="S4" i="2"/>
  <c r="O4" i="2"/>
  <c r="K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1D7247-C6ED-4AF0-B185-40FFC54C0B73}" keepAlive="1" name="Query - dpc-covid19-ita-andamento-nazionale" description="Connessione alla query 'dpc-covid19-ita-andamento-nazionale' nella cartella di lavoro." type="5" refreshedVersion="6" background="1" saveData="1">
    <dbPr connection="Provider=Microsoft.Mashup.OleDb.1;Data Source=$Workbook$;Location=dpc-covid19-ita-andamento-nazionale;Extended Properties=&quot;&quot;" command="SELECT * FROM [dpc-covid19-ita-andamento-nazionale]"/>
  </connection>
  <connection id="2" xr16:uid="{332E8F4B-8270-4F1C-9FF1-85ABEAB35818}" keepAlive="1" name="Query - dpc-covid19-ita-regioni" description="Connessione alla query 'dpc-covid19-ita-regioni' nella cartella di lavoro." type="5" refreshedVersion="6" background="1" saveData="1">
    <dbPr connection="Provider=Microsoft.Mashup.OleDb.1;Data Source=$Workbook$;Location=dpc-covid19-ita-regioni;Extended Properties=&quot;&quot;" command="SELECT * FROM [dpc-covid19-ita-regioni]"/>
  </connection>
  <connection id="3" xr16:uid="{55E9CC8B-6357-4E4C-9F0A-2DE94F66A684}" keepAlive="1" name="ThisWorkbookDataModel" description="Modello di dati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2477ABD3-9AB6-4809-A1FA-5BAB1DF2A143}" name="WorksheetConnection_Cartel1!dpc_covid19_ita_andamento_nazionale" type="102" refreshedVersion="6" minRefreshableVersion="5">
    <extLst>
      <ext xmlns:x15="http://schemas.microsoft.com/office/spreadsheetml/2010/11/main" uri="{DE250136-89BD-433C-8126-D09CA5730AF9}">
        <x15:connection id="dpc_covid19_ita_andamento_nazionale">
          <x15:rangePr sourceName="_xlcn.WorksheetConnection_Cartel1dpc_covid19_ita_andamento_nazionale1"/>
        </x15:connection>
      </ext>
    </extLst>
  </connection>
  <connection id="5" xr16:uid="{E5E03414-A675-496F-8A12-D7987E4B9D59}" name="WorksheetConnection_COVID19-Analisys.xlsx!dpc_covid19_ita_regioni" type="102" refreshedVersion="6" minRefreshableVersion="5">
    <extLst>
      <ext xmlns:x15="http://schemas.microsoft.com/office/spreadsheetml/2010/11/main" uri="{DE250136-89BD-433C-8126-D09CA5730AF9}">
        <x15:connection id="dpc_covid19_ita_regioni">
          <x15:rangePr sourceName="_xlcn.WorksheetConnection_COVID19Analisys.xlsxdpc_covid19_ita_regioni1"/>
        </x15:connection>
      </ext>
    </extLst>
  </connection>
</connections>
</file>

<file path=xl/sharedStrings.xml><?xml version="1.0" encoding="utf-8"?>
<sst xmlns="http://schemas.openxmlformats.org/spreadsheetml/2006/main" count="793" uniqueCount="65">
  <si>
    <t>data</t>
  </si>
  <si>
    <t>stato</t>
  </si>
  <si>
    <t>ricoverati_con_sintomi</t>
  </si>
  <si>
    <t>terapia_intensiva</t>
  </si>
  <si>
    <t>totale_ospedalizzati</t>
  </si>
  <si>
    <t>isolamento_domiciliare</t>
  </si>
  <si>
    <t>totale_attualmente_positivi</t>
  </si>
  <si>
    <t>nuovi_attualmente_positivi</t>
  </si>
  <si>
    <t>dimessi_guariti</t>
  </si>
  <si>
    <t>deceduti</t>
  </si>
  <si>
    <t>totale_casi</t>
  </si>
  <si>
    <t>tamponi</t>
  </si>
  <si>
    <t>ITA</t>
  </si>
  <si>
    <t>Etichette di riga</t>
  </si>
  <si>
    <t>DECEDUTI</t>
  </si>
  <si>
    <t>Massimo di totale_attualmente_positivi</t>
  </si>
  <si>
    <t>Massimo di totale_casi</t>
  </si>
  <si>
    <t>aggiunta tabella in modello dati</t>
  </si>
  <si>
    <t>creazione pivot</t>
  </si>
  <si>
    <t>creazione grafico pivot e spostamento grafico in foglio dashboard</t>
  </si>
  <si>
    <t>STEP</t>
  </si>
  <si>
    <t>creazione filtro temporale</t>
  </si>
  <si>
    <t>TOTALE POSITIVI</t>
  </si>
  <si>
    <t>Massimo di dimessi_guariti</t>
  </si>
  <si>
    <t>Massimo di deceduti</t>
  </si>
  <si>
    <t>GUARITI</t>
  </si>
  <si>
    <t>ATTUALMENTE POSITIVI</t>
  </si>
  <si>
    <t>aggiunta campi calcolati (giorno, mese, anno) al modello dati + (opzionale) aggiunta dimensione mese con descrizione al modello dati</t>
  </si>
  <si>
    <t>https://github.com/pcm-dpc/COVID-19</t>
  </si>
  <si>
    <t>codice_regione</t>
  </si>
  <si>
    <t>denominazione_regione</t>
  </si>
  <si>
    <t>lat</t>
  </si>
  <si>
    <t>long</t>
  </si>
  <si>
    <t>Abruzzo</t>
  </si>
  <si>
    <t>Basilicata</t>
  </si>
  <si>
    <t>Bolzano</t>
  </si>
  <si>
    <t>Calabria</t>
  </si>
  <si>
    <t>Campania</t>
  </si>
  <si>
    <t>Emilia Romagna</t>
  </si>
  <si>
    <t>Friuli Venezia Giulia</t>
  </si>
  <si>
    <t>Lazio</t>
  </si>
  <si>
    <t>Liguria</t>
  </si>
  <si>
    <t>Lombardia</t>
  </si>
  <si>
    <t>Marche</t>
  </si>
  <si>
    <t>Molise</t>
  </si>
  <si>
    <t>Piemonte</t>
  </si>
  <si>
    <t>Puglia</t>
  </si>
  <si>
    <t>Sardegna</t>
  </si>
  <si>
    <t>Sicilia</t>
  </si>
  <si>
    <t>Toscana</t>
  </si>
  <si>
    <t>Trento</t>
  </si>
  <si>
    <t>Umbria</t>
  </si>
  <si>
    <t>Valle d'Aosta</t>
  </si>
  <si>
    <t>Veneto</t>
  </si>
  <si>
    <t>Fonte: https://github.com/pcm-dpc/COVID-19</t>
  </si>
  <si>
    <t>Presidenza del Consiglio dei Ministri
Dipartimento della Protezione Civile</t>
  </si>
  <si>
    <t>Trentino</t>
  </si>
  <si>
    <t>crezione pivot per ogni grafico rappresentato</t>
  </si>
  <si>
    <t>creazione colonna calcolata "denominazione_regione_adjust" per normalizzazione nomi da utilizzare nella mappa</t>
  </si>
  <si>
    <t>leggere da sorgente esterna (nazionale + regioni)</t>
  </si>
  <si>
    <t>TOTALE CASI</t>
  </si>
  <si>
    <t>NUOVI CASI</t>
  </si>
  <si>
    <t>TERAPIA INTENSIVA</t>
  </si>
  <si>
    <t>OSPEDALIZZATI</t>
  </si>
  <si>
    <t>DOMICILIARE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</si>
</sst>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Abadi"/>
      <family val="2"/>
    </font>
    <font>
      <sz val="11"/>
      <color theme="8" tint="-0.249977111117893"/>
      <name val="Calibri"/>
      <family val="2"/>
      <scheme val="minor"/>
    </font>
    <font>
      <b/>
      <i/>
      <sz val="36"/>
      <color theme="8" tint="-0.249977111117893"/>
      <name val="Calibri"/>
      <family val="2"/>
      <scheme val="minor"/>
    </font>
    <font>
      <sz val="12"/>
      <color theme="8" tint="-0.249977111117893"/>
      <name val="Abadi"/>
      <family val="2"/>
    </font>
    <font>
      <b/>
      <sz val="11"/>
      <color theme="8" tint="-0.249977111117893"/>
      <name val="Abadi"/>
      <family val="2"/>
    </font>
    <font>
      <b/>
      <i/>
      <sz val="14"/>
      <color theme="8" tint="-0.249977111117893"/>
      <name val="Abad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22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2"/>
    <xf numFmtId="14" fontId="0" fillId="0" borderId="0" xfId="0" applyNumberFormat="1" applyAlignment="1">
      <alignment horizontal="left"/>
    </xf>
    <xf numFmtId="0" fontId="4" fillId="0" borderId="0" xfId="0" applyFont="1"/>
    <xf numFmtId="14" fontId="0" fillId="0" borderId="0" xfId="0" pivotButton="1" applyNumberFormat="1"/>
    <xf numFmtId="0" fontId="6" fillId="0" borderId="0" xfId="0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0" fontId="3" fillId="0" borderId="0" xfId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</cellXfs>
  <cellStyles count="3">
    <cellStyle name="Collegamento ipertestuale" xfId="2" builtinId="8"/>
    <cellStyle name="Normale" xfId="0" builtinId="0"/>
    <cellStyle name="Percentuale" xfId="1" builtinId="5"/>
  </cellStyles>
  <dxfs count="361"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/>
        <i val="0"/>
      </font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/>
        <sz val="11"/>
        <color theme="1"/>
      </font>
    </dxf>
    <dxf>
      <font>
        <color theme="4"/>
      </font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sz val="11"/>
        <color theme="1"/>
      </font>
    </dxf>
    <dxf>
      <font>
        <color theme="4"/>
      </font>
      <fill>
        <patternFill patternType="solid">
          <fgColor theme="0"/>
          <bgColor theme="0"/>
        </patternFill>
      </fill>
      <border diagonalUp="0" diagonalDown="0">
        <left/>
        <right/>
        <top/>
        <bottom/>
        <vertical/>
        <horizontal/>
      </border>
    </dxf>
    <dxf>
      <fill>
        <patternFill>
          <bgColor theme="4" tint="0.39994506668294322"/>
        </patternFill>
      </fill>
    </dxf>
  </dxfs>
  <tableStyles count="5" defaultTableStyle="TableStyleMedium2" defaultPivotStyle="PivotStyleLight16">
    <tableStyle name="Stile filtro dati 1" pivot="0" table="0" count="2" xr9:uid="{C8A227DD-8BB2-4FF3-BE3A-4CEA6C9A6186}">
      <tableStyleElement type="headerRow" dxfId="292"/>
    </tableStyle>
    <tableStyle name="Stile filtro dati 2" pivot="0" table="0" count="1" xr9:uid="{3371B21A-7AB7-4F45-815F-95039E41B9B2}">
      <tableStyleElement type="wholeTable" dxfId="360"/>
    </tableStyle>
    <tableStyle name="Stile filtro dati 3" pivot="0" table="0" count="1" xr9:uid="{2AA8ED18-D27B-47D6-9515-50159E1E4219}"/>
    <tableStyle name="Stile sequenza temporale 1" pivot="0" table="0" count="8" xr9:uid="{A5AF6404-B0C0-4A60-9107-CC1ACD8B9348}">
      <tableStyleElement type="wholeTable" dxfId="359"/>
      <tableStyleElement type="headerRow" dxfId="358"/>
    </tableStyle>
    <tableStyle name="Stile sequenza temporale 2" pivot="0" table="0" count="8" xr9:uid="{99CA9090-7EBC-4988-AD7A-D6565B8551B5}">
      <tableStyleElement type="wholeTable" dxfId="357"/>
      <tableStyleElement type="headerRow" dxfId="356"/>
    </tableStyle>
  </tableStyles>
  <extLst>
    <ext xmlns:x14="http://schemas.microsoft.com/office/spreadsheetml/2009/9/main" uri="{46F421CA-312F-682f-3DD2-61675219B42D}">
      <x14:dxfs count="3">
        <dxf>
          <font>
            <color theme="4"/>
          </font>
        </dxf>
        <dxf>
          <font>
            <color theme="5"/>
          </font>
        </dxf>
        <dxf>
          <fill>
            <patternFill>
              <bgColor theme="4" tint="0.3999450666829432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Stile filtro dati 1">
          <x14:slicerStyleElements>
            <x14:slicerStyleElement type="selectedItemWithData" dxfId="0"/>
          </x14:slicerStyleElements>
        </x14:slicerStyle>
        <x14:slicerStyle name="Stile filtro dati 2"/>
        <x14:slicerStyle name="Stile filtro dati 3">
          <x14:slicerStyleElements>
            <x14:slicerStyleElement type="selectedItemWithData" dxfId="2"/>
          </x14:slicerStyleElements>
        </x14:slicerStyle>
      </x14:slicerStyles>
    </ext>
    <ext xmlns:x15="http://schemas.microsoft.com/office/spreadsheetml/2010/11/main" uri="{A0A4C193-F2C1-4fcb-8827-314CF55A85BB}">
      <x15:dxfs count="12"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Stile sequenza temporale 1">
          <x15:timelineStyleElements>
            <x15:timelineStyleElement type="selectionLabel" dxfId="11"/>
            <x15:timelineStyleElement type="timeLevel" dxfId="10"/>
            <x15:timelineStyleElement type="periodLabel1" dxfId="9"/>
            <x15:timelineStyleElement type="periodLabel2" dxfId="8"/>
            <x15:timelineStyleElement type="selectedTimeBlock" dxfId="7"/>
            <x15:timelineStyleElement type="unselectedTimeBlock" dxfId="6"/>
          </x15:timelineStyleElements>
        </x15:timelineStyle>
        <x15:timelineStyle name="Stile sequenza temporale 2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microsoft.com/office/2011/relationships/timelineCache" Target="timelineCaches/timelineCache1.xml"/><Relationship Id="rId26" Type="http://schemas.openxmlformats.org/officeDocument/2006/relationships/customXml" Target="../customXml/item2.xml"/><Relationship Id="rId39" Type="http://schemas.openxmlformats.org/officeDocument/2006/relationships/customXml" Target="../customXml/item15.xml"/><Relationship Id="rId21" Type="http://schemas.openxmlformats.org/officeDocument/2006/relationships/styles" Target="styles.xml"/><Relationship Id="rId34" Type="http://schemas.openxmlformats.org/officeDocument/2006/relationships/customXml" Target="../customXml/item10.xml"/><Relationship Id="rId42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41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alcChain" Target="calcChain.xml"/><Relationship Id="rId32" Type="http://schemas.openxmlformats.org/officeDocument/2006/relationships/customXml" Target="../customXml/item8.xml"/><Relationship Id="rId37" Type="http://schemas.openxmlformats.org/officeDocument/2006/relationships/customXml" Target="../customXml/item13.xml"/><Relationship Id="rId40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0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36" Type="http://schemas.openxmlformats.org/officeDocument/2006/relationships/customXml" Target="../customXml/item12.xml"/><Relationship Id="rId10" Type="http://schemas.openxmlformats.org/officeDocument/2006/relationships/pivotCacheDefinition" Target="pivotCache/pivotCacheDefinition5.xml"/><Relationship Id="rId19" Type="http://schemas.openxmlformats.org/officeDocument/2006/relationships/theme" Target="theme/theme1.xml"/><Relationship Id="rId31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Relationship Id="rId35" Type="http://schemas.openxmlformats.org/officeDocument/2006/relationships/customXml" Target="../customXml/item11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1.xml"/><Relationship Id="rId25" Type="http://schemas.openxmlformats.org/officeDocument/2006/relationships/customXml" Target="../customXml/item1.xml"/><Relationship Id="rId33" Type="http://schemas.openxmlformats.org/officeDocument/2006/relationships/customXml" Target="../customXml/item9.xml"/><Relationship Id="rId38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[COVID19-Analisys-Region.xlsx]Pivot!Tabella pivot8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>
                <a:solidFill>
                  <a:schemeClr val="accent5">
                    <a:lumMod val="75000"/>
                  </a:schemeClr>
                </a:solidFill>
              </a:rPr>
              <a:t>TOTALE CASI VS GUARITI VS DECEDUTI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Pivot!$G$5</c:f>
              <c:strCache>
                <c:ptCount val="1"/>
                <c:pt idx="0">
                  <c:v>TOTALE CASI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Pivot!$F$6:$F$21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Pivot!$G$6:$G$21</c:f>
              <c:numCache>
                <c:formatCode>General</c:formatCode>
                <c:ptCount val="16"/>
                <c:pt idx="0">
                  <c:v>229</c:v>
                </c:pt>
                <c:pt idx="1">
                  <c:v>322</c:v>
                </c:pt>
                <c:pt idx="2">
                  <c:v>400</c:v>
                </c:pt>
                <c:pt idx="3">
                  <c:v>650</c:v>
                </c:pt>
                <c:pt idx="4">
                  <c:v>888</c:v>
                </c:pt>
                <c:pt idx="5">
                  <c:v>1128</c:v>
                </c:pt>
                <c:pt idx="6">
                  <c:v>1694</c:v>
                </c:pt>
                <c:pt idx="7">
                  <c:v>2036</c:v>
                </c:pt>
                <c:pt idx="8">
                  <c:v>2502</c:v>
                </c:pt>
                <c:pt idx="9">
                  <c:v>3089</c:v>
                </c:pt>
                <c:pt idx="10">
                  <c:v>3858</c:v>
                </c:pt>
                <c:pt idx="11">
                  <c:v>4636</c:v>
                </c:pt>
                <c:pt idx="12">
                  <c:v>5883</c:v>
                </c:pt>
                <c:pt idx="13">
                  <c:v>7375</c:v>
                </c:pt>
                <c:pt idx="14">
                  <c:v>9172</c:v>
                </c:pt>
                <c:pt idx="15">
                  <c:v>10149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41-47B0-9B84-D9C74A56A1C6}"/>
            </c:ext>
          </c:extLst>
        </c:ser>
        <c:ser>
          <c:idx val="1"/>
          <c:order val="1"/>
          <c:tx>
            <c:strRef>
              <c:f>Pivot!$H$5</c:f>
              <c:strCache>
                <c:ptCount val="1"/>
                <c:pt idx="0">
                  <c:v>GUARITI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Pivot!$F$6:$F$21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Pivot!$H$6:$H$21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45</c:v>
                </c:pt>
                <c:pt idx="4">
                  <c:v>46</c:v>
                </c:pt>
                <c:pt idx="5">
                  <c:v>50</c:v>
                </c:pt>
                <c:pt idx="6">
                  <c:v>83</c:v>
                </c:pt>
                <c:pt idx="7">
                  <c:v>149</c:v>
                </c:pt>
                <c:pt idx="8">
                  <c:v>160</c:v>
                </c:pt>
                <c:pt idx="9">
                  <c:v>276</c:v>
                </c:pt>
                <c:pt idx="10">
                  <c:v>414</c:v>
                </c:pt>
                <c:pt idx="11">
                  <c:v>523</c:v>
                </c:pt>
                <c:pt idx="12">
                  <c:v>589</c:v>
                </c:pt>
                <c:pt idx="13">
                  <c:v>622</c:v>
                </c:pt>
                <c:pt idx="14">
                  <c:v>724</c:v>
                </c:pt>
                <c:pt idx="15">
                  <c:v>1004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41-47B0-9B84-D9C74A56A1C6}"/>
            </c:ext>
          </c:extLst>
        </c:ser>
        <c:ser>
          <c:idx val="2"/>
          <c:order val="2"/>
          <c:tx>
            <c:strRef>
              <c:f>Pivot!$I$5</c:f>
              <c:strCache>
                <c:ptCount val="1"/>
                <c:pt idx="0">
                  <c:v>DECEDUTI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Pivot!$F$6:$F$21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Pivot!$I$6:$I$21</c:f>
              <c:numCache>
                <c:formatCode>General</c:formatCode>
                <c:ptCount val="16"/>
                <c:pt idx="0">
                  <c:v>7</c:v>
                </c:pt>
                <c:pt idx="1">
                  <c:v>10</c:v>
                </c:pt>
                <c:pt idx="2">
                  <c:v>12</c:v>
                </c:pt>
                <c:pt idx="3">
                  <c:v>17</c:v>
                </c:pt>
                <c:pt idx="4">
                  <c:v>21</c:v>
                </c:pt>
                <c:pt idx="5">
                  <c:v>29</c:v>
                </c:pt>
                <c:pt idx="6">
                  <c:v>34</c:v>
                </c:pt>
                <c:pt idx="7">
                  <c:v>52</c:v>
                </c:pt>
                <c:pt idx="8">
                  <c:v>79</c:v>
                </c:pt>
                <c:pt idx="9">
                  <c:v>107</c:v>
                </c:pt>
                <c:pt idx="10">
                  <c:v>148</c:v>
                </c:pt>
                <c:pt idx="11">
                  <c:v>197</c:v>
                </c:pt>
                <c:pt idx="12">
                  <c:v>233</c:v>
                </c:pt>
                <c:pt idx="13">
                  <c:v>366</c:v>
                </c:pt>
                <c:pt idx="14">
                  <c:v>463</c:v>
                </c:pt>
                <c:pt idx="15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41-47B0-9B84-D9C74A56A1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44415008"/>
        <c:axId val="1226882720"/>
      </c:lineChart>
      <c:catAx>
        <c:axId val="154441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26882720"/>
        <c:crosses val="autoZero"/>
        <c:auto val="1"/>
        <c:lblAlgn val="ctr"/>
        <c:lblOffset val="100"/>
        <c:noMultiLvlLbl val="0"/>
      </c:catAx>
      <c:valAx>
        <c:axId val="122688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4441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[COVID19-Analisys-Region.xlsx]Pivot!Tabella pivot9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5">
                    <a:lumMod val="75000"/>
                  </a:schemeClr>
                </a:solidFill>
              </a:rPr>
              <a:t>NUOVI</a:t>
            </a:r>
            <a:r>
              <a:rPr lang="en-US" baseline="0">
                <a:solidFill>
                  <a:schemeClr val="accent5">
                    <a:lumMod val="75000"/>
                  </a:schemeClr>
                </a:solidFill>
              </a:rPr>
              <a:t> CASI AL GIORNO</a:t>
            </a:r>
            <a:endParaRPr lang="en-US">
              <a:solidFill>
                <a:schemeClr val="accent5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0.15059510298799772"/>
          <c:y val="0.24285924686507621"/>
          <c:w val="0.81196790895034254"/>
          <c:h val="0.38769958532789761"/>
        </c:manualLayout>
      </c:layout>
      <c:lineChart>
        <c:grouping val="standard"/>
        <c:varyColors val="0"/>
        <c:ser>
          <c:idx val="0"/>
          <c:order val="0"/>
          <c:tx>
            <c:strRef>
              <c:f>Pivot!$L$5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Pivot!$K$6:$K$21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Pivot!$L$6:$L$21</c:f>
              <c:numCache>
                <c:formatCode>General</c:formatCode>
                <c:ptCount val="16"/>
                <c:pt idx="0">
                  <c:v>221</c:v>
                </c:pt>
                <c:pt idx="1">
                  <c:v>90</c:v>
                </c:pt>
                <c:pt idx="2">
                  <c:v>74</c:v>
                </c:pt>
                <c:pt idx="3">
                  <c:v>203</c:v>
                </c:pt>
                <c:pt idx="4">
                  <c:v>233</c:v>
                </c:pt>
                <c:pt idx="5">
                  <c:v>228</c:v>
                </c:pt>
                <c:pt idx="6">
                  <c:v>528</c:v>
                </c:pt>
                <c:pt idx="7">
                  <c:v>258</c:v>
                </c:pt>
                <c:pt idx="8">
                  <c:v>428</c:v>
                </c:pt>
                <c:pt idx="9">
                  <c:v>443</c:v>
                </c:pt>
                <c:pt idx="10">
                  <c:v>590</c:v>
                </c:pt>
                <c:pt idx="11">
                  <c:v>620</c:v>
                </c:pt>
                <c:pt idx="12">
                  <c:v>1145</c:v>
                </c:pt>
                <c:pt idx="13">
                  <c:v>1326</c:v>
                </c:pt>
                <c:pt idx="14">
                  <c:v>1598</c:v>
                </c:pt>
                <c:pt idx="15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C5-4304-81DB-578EC20EF2C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3882848"/>
        <c:axId val="1037210528"/>
      </c:lineChart>
      <c:catAx>
        <c:axId val="137388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37210528"/>
        <c:crosses val="autoZero"/>
        <c:auto val="1"/>
        <c:lblAlgn val="ctr"/>
        <c:lblOffset val="100"/>
        <c:noMultiLvlLbl val="0"/>
      </c:catAx>
      <c:valAx>
        <c:axId val="103721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388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[COVID19-Analisys-Region.xlsx]Pivot!Tabella pivot10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5">
                    <a:lumMod val="75000"/>
                  </a:schemeClr>
                </a:solidFill>
              </a:rPr>
              <a:t>OSPEDALIZZATI VS DOMICILIARE VS INTENSIVA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8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Pivot!$O$5</c:f>
              <c:strCache>
                <c:ptCount val="1"/>
                <c:pt idx="0">
                  <c:v>TERAPIA INTENSIVA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Pivot!$N$6:$N$21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Pivot!$O$6:$O$21</c:f>
              <c:numCache>
                <c:formatCode>General</c:formatCode>
                <c:ptCount val="16"/>
                <c:pt idx="0">
                  <c:v>26</c:v>
                </c:pt>
                <c:pt idx="1">
                  <c:v>35</c:v>
                </c:pt>
                <c:pt idx="2">
                  <c:v>36</c:v>
                </c:pt>
                <c:pt idx="3">
                  <c:v>56</c:v>
                </c:pt>
                <c:pt idx="4">
                  <c:v>64</c:v>
                </c:pt>
                <c:pt idx="5">
                  <c:v>105</c:v>
                </c:pt>
                <c:pt idx="6">
                  <c:v>140</c:v>
                </c:pt>
                <c:pt idx="7">
                  <c:v>166</c:v>
                </c:pt>
                <c:pt idx="8">
                  <c:v>229</c:v>
                </c:pt>
                <c:pt idx="9">
                  <c:v>295</c:v>
                </c:pt>
                <c:pt idx="10">
                  <c:v>351</c:v>
                </c:pt>
                <c:pt idx="11">
                  <c:v>462</c:v>
                </c:pt>
                <c:pt idx="12">
                  <c:v>567</c:v>
                </c:pt>
                <c:pt idx="13">
                  <c:v>650</c:v>
                </c:pt>
                <c:pt idx="14">
                  <c:v>733</c:v>
                </c:pt>
                <c:pt idx="15">
                  <c:v>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0A-4691-925B-147B029495ED}"/>
            </c:ext>
          </c:extLst>
        </c:ser>
        <c:ser>
          <c:idx val="1"/>
          <c:order val="1"/>
          <c:tx>
            <c:strRef>
              <c:f>Pivot!$P$5</c:f>
              <c:strCache>
                <c:ptCount val="1"/>
                <c:pt idx="0">
                  <c:v>OSPEDALIZZATI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Pivot!$N$6:$N$21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Pivot!$P$6:$P$21</c:f>
              <c:numCache>
                <c:formatCode>General</c:formatCode>
                <c:ptCount val="16"/>
                <c:pt idx="0">
                  <c:v>127</c:v>
                </c:pt>
                <c:pt idx="1">
                  <c:v>150</c:v>
                </c:pt>
                <c:pt idx="2">
                  <c:v>164</c:v>
                </c:pt>
                <c:pt idx="3">
                  <c:v>304</c:v>
                </c:pt>
                <c:pt idx="4">
                  <c:v>409</c:v>
                </c:pt>
                <c:pt idx="5">
                  <c:v>506</c:v>
                </c:pt>
                <c:pt idx="6">
                  <c:v>779</c:v>
                </c:pt>
                <c:pt idx="7">
                  <c:v>908</c:v>
                </c:pt>
                <c:pt idx="8">
                  <c:v>1263</c:v>
                </c:pt>
                <c:pt idx="9">
                  <c:v>1641</c:v>
                </c:pt>
                <c:pt idx="10">
                  <c:v>2141</c:v>
                </c:pt>
                <c:pt idx="11">
                  <c:v>2856</c:v>
                </c:pt>
                <c:pt idx="12">
                  <c:v>3218</c:v>
                </c:pt>
                <c:pt idx="13">
                  <c:v>4207</c:v>
                </c:pt>
                <c:pt idx="14">
                  <c:v>5049</c:v>
                </c:pt>
                <c:pt idx="15">
                  <c:v>5915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0A-4691-925B-147B029495ED}"/>
            </c:ext>
          </c:extLst>
        </c:ser>
        <c:ser>
          <c:idx val="2"/>
          <c:order val="2"/>
          <c:tx>
            <c:strRef>
              <c:f>Pivot!$Q$5</c:f>
              <c:strCache>
                <c:ptCount val="1"/>
                <c:pt idx="0">
                  <c:v>DOMICILIARE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Pivot!$N$6:$N$21</c:f>
              <c:strCache>
                <c:ptCount val="16"/>
                <c:pt idx="0">
                  <c:v>24/02/2020 18:00</c:v>
                </c:pt>
                <c:pt idx="1">
                  <c:v>25/02/2020 18:00</c:v>
                </c:pt>
                <c:pt idx="2">
                  <c:v>26/02/2020 18:00</c:v>
                </c:pt>
                <c:pt idx="3">
                  <c:v>27/02/2020 18:00</c:v>
                </c:pt>
                <c:pt idx="4">
                  <c:v>28/02/2020 18:00</c:v>
                </c:pt>
                <c:pt idx="5">
                  <c:v>29/02/2020 17:00</c:v>
                </c:pt>
                <c:pt idx="6">
                  <c:v>01/03/2020 17:00</c:v>
                </c:pt>
                <c:pt idx="7">
                  <c:v>02/03/2020 18:00</c:v>
                </c:pt>
                <c:pt idx="8">
                  <c:v>03/03/2020 18:00</c:v>
                </c:pt>
                <c:pt idx="9">
                  <c:v>04/03/2020 17:00</c:v>
                </c:pt>
                <c:pt idx="10">
                  <c:v>05/03/2020 17:00</c:v>
                </c:pt>
                <c:pt idx="11">
                  <c:v>06/03/2020 17:00</c:v>
                </c:pt>
                <c:pt idx="12">
                  <c:v>07/03/2020 18:00</c:v>
                </c:pt>
                <c:pt idx="13">
                  <c:v>08/03/2020 18:00</c:v>
                </c:pt>
                <c:pt idx="14">
                  <c:v>09/03/2020 18:00</c:v>
                </c:pt>
                <c:pt idx="15">
                  <c:v>10/03/2020 18:00</c:v>
                </c:pt>
              </c:strCache>
            </c:strRef>
          </c:cat>
          <c:val>
            <c:numRef>
              <c:f>Pivot!$Q$6:$Q$21</c:f>
              <c:numCache>
                <c:formatCode>General</c:formatCode>
                <c:ptCount val="16"/>
                <c:pt idx="0">
                  <c:v>94</c:v>
                </c:pt>
                <c:pt idx="1">
                  <c:v>162</c:v>
                </c:pt>
                <c:pt idx="2">
                  <c:v>221</c:v>
                </c:pt>
                <c:pt idx="3">
                  <c:v>284</c:v>
                </c:pt>
                <c:pt idx="4">
                  <c:v>412</c:v>
                </c:pt>
                <c:pt idx="5">
                  <c:v>543</c:v>
                </c:pt>
                <c:pt idx="6">
                  <c:v>798</c:v>
                </c:pt>
                <c:pt idx="7">
                  <c:v>927</c:v>
                </c:pt>
                <c:pt idx="8">
                  <c:v>1000</c:v>
                </c:pt>
                <c:pt idx="9">
                  <c:v>1065</c:v>
                </c:pt>
                <c:pt idx="10">
                  <c:v>1155</c:v>
                </c:pt>
                <c:pt idx="11">
                  <c:v>1060</c:v>
                </c:pt>
                <c:pt idx="12">
                  <c:v>1843</c:v>
                </c:pt>
                <c:pt idx="13">
                  <c:v>2180</c:v>
                </c:pt>
                <c:pt idx="14">
                  <c:v>2936</c:v>
                </c:pt>
                <c:pt idx="15">
                  <c:v>2599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0A-4691-925B-147B029495E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3866000"/>
        <c:axId val="1593988592"/>
      </c:lineChart>
      <c:catAx>
        <c:axId val="138386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93988592"/>
        <c:crosses val="autoZero"/>
        <c:auto val="1"/>
        <c:lblAlgn val="ctr"/>
        <c:lblOffset val="100"/>
        <c:noMultiLvlLbl val="0"/>
      </c:catAx>
      <c:valAx>
        <c:axId val="15939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8386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MAPPA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MAPPA</a:t>
          </a:r>
        </a:p>
      </cx:txPr>
    </cx:title>
    <cx:plotArea>
      <cx:plotAreaRegion>
        <cx:plotSurface>
          <cx:spPr>
            <a:ln>
              <a:noFill/>
            </a:ln>
          </cx:spPr>
        </cx:plotSurface>
        <cx:series layoutId="regionMap" uniqueId="{83E430A0-A58B-41A9-8412-0E01E393884A}">
          <cx:tx>
            <cx:txData>
              <cx:f>_xlchart.v5.2</cx:f>
              <cx:v>Massimo di totale_casi</cx:v>
            </cx:txData>
          </cx:tx>
          <cx:dataLabels>
            <cx:visibility seriesName="0" categoryName="0" value="1"/>
          </cx:dataLabels>
          <cx:dataId val="0"/>
          <cx:layoutPr>
            <cx:geography cultureLanguage="it-IT" cultureRegion="IT" attribution="Con tecnologia Bing">
              <cx:geoCache provider="{E9337A44-BEBE-4D9F-B70C-5C5E7DAFC167}">
                <cx:binary>1HzZctw4tu2vOPxyXy5VGAmgo/tENJlzpmZ5UL0wZFkGJxAkwfnr72a6XC2lXXadOI4bx3ZEWkom
khtY2MNaG/Q/H4d/POZPD/WrweSF+8fj8K/XcdOU//jtN/cYP5kHd2aSx9o6+6k5e7TmN/vpU/L4
9NvH+qFPCv0bQZj99hg/1M3T8Pq//gnfpp/swT4+NIktrtunerx5cm3euO9c++alVw8fTVIsEtfU
yWOD//V6aZI8eXh1Y82DLh5ev3oqmqQZ78by6V+vX3z29avfTr/xq7u/ysHApv0IYxk744QrpBih
kkhM+OtXuS30H5cxPkNUUYaUIArBj/jLrS8eDAz/+2YdjXr4+LF+cg5md/z36/EvpjJfPoMZn71+
9WjboplXU8PC/uv1tnmA1Xj9KnE2/HwltPNstnfH6f/2Eoj/+ufJG7AgJ+88w+p09X506a9se47Q
C/P/uwhRQEghoiTzscIM+S8RImfYJ1hS4WOufF++BOjLSv21Nd8G5su4F5b/L1v4F5sFfOTfH+p2
muyXBfgJzkHOCBGcS0y5kj4lsLjPnYOeSc4RoMOEUhIx8eXWn53jb9jz7cX/c+CLGR4n+L/cF14Y
DJCcP9QQR78sy09AhJ5RJglhPlVSES6+QgRTIX0fkfmvT08Q+bE53wbky7gX0/s8u18MkFWdtHny
6u1T8TRBPlnPv/3MdOKfYU4ZVkwxn0h1GqzoGeIMM/AoiGdzvvmyNT57zGfrvL9v3bfh+ouvOUFv
VZ+9PVv/YvgFDw4KASgwfiZo6IwppXzu+0KAayH1Msz5Z0jiOdApiRnj9AS0v2fSt5F6PvYEHrj0
i2ETPuQPH+qf6U5UnSFfQHqhUvgKVp6eIkOZ8Bk4GiQixU+i3d+x59uw/GfkCShw4ZcDxZQPxc8E
haEzCQlGQBijkgtGyEtQ2JlkhDMkoGoGj1JfofJjg/4KlS8jv0LFlL8YLAdrPjzUH38qLvzMJ4hB
eqG+8MVpbaDOhC8VFNACUerDvydh7G9Z9G1gng09QWa+8osh8/Yhz59effw//7bupyYZfiYoIpxj
coxkJ0RTnEGIw0ogLHxfQR468Zq/bdW3EToZfoLS27OPZ//+xWA6PEzJz6Q6+AwYDOfEF5RCbc3Y
y6BGwHt8eFdAYccR/PSycPuhNd+G5Y9hJ3DAu78aGIluf2riB1kGlhn+CJ8oCkv+MvHLGQ3ILXRm
OkJSyECfCf7nMvrwY3P+Ao8vA08RSfQvhsi5zRP3M4knPoNNT7HkjDCg+v5JjQwymuJ4FgkwAf5J
TpLLj835NiBfxp3gAW//YnhcJU/GFs3PRIRDbYygJvZn/Qsp+lIKEGeKQL6R4DuKEMkxyGbPfeTv
GPRtTP4z8gSV+cKvBkurfy7/R5BGIIFQDoSF+WzOE88VM38u0RSTQmEOavIsD7wA5Yfm/AUkf4w7
BQTe/sUAuYWi+OnnKvzoDAGth1UXBCj+Sd0FBJOAUEMoRkxyCZn/JSJ/x55vY/KfkSeozBd+NVSS
x7n98mVp/uc6JhWQL8BTGGMEU+mLrzgkZlAnE+5zhYWas81zP7n9sT1/AcqXgaeYJI+/GCR31j0+
/NROGIWSCzSWIzdEp34CjTBoAoC0jAASqAI49MmeI/I3zPk2In8OPEFkfv9Xg6SeV6T4mazEP3vO
57/RnYTQhSV4CnQFZm3yBJQ/DPL+nTf21b8/Jvq79cdfAPStLzkFqwb++KsxyDfm54qVjJzNGjI0
Zb7JWTA5Y6C/KIrAyRSImicx7cfmfBufL+NOIJnf/sX8Z257ND/Te0AQm5tlIB1jfy63gJQ8L8bw
3L7EHIPkwoD4nzbLfmzOtwH5Mu4EEHj7/zcef93k//NIxAI6KcvjWYpnff7vXz3OGs55nAz9Ix18
rg1etM2/BKXtx3+9xhgKrD9PaMxf8SKNfGm7f04tfw54enANjJVns/QCjTMJygCTEkSB/mm+AmU1
np3Lp8CHQKHBUHYXtm5iOOAhzsDhCBIEdFHOj8TV2Xa+RDl4JBThykcQQKHFzf48w3Jl81Hb4s+F
+OP3V0VrrmxSNG625vWr8vPHZjtBuYO7w0YCBRZBT1zM+mr5+HAD52TmT/9fy001NUqSYLJUBRm/
H4mNgkz3Q4D05AddYQ61oHcMrUQhbFgalwe5769Fy95J1Iek7W9rNq2nXj+5Ko3DZyv5NwwkCDrG
wEgk1MJkJiewSM8NTHsN5ywSOgbS78ogZSTdiEKWmxThfAc/kNAST7LAG+Wyi9wutumjK/L2NqnM
uLVJVq1EFOuFiUa2M2yKQg1fsrWl+/R9S2d15/lSgoFIAGuFSoMKwG4+1PHc0hzNCPJqCiY1lPdW
i/spHodz6zu3juu23aa6vh5Lb1rYRvrvpgjxvRtNFbJe5iupLdngGCXLqWVbgKW45nm+Yf2UL21b
jr/Xut+Q8j5yA7kWPnc3DS3vdEn5HreyS8PUuGTdqPFDRZMgztto66qY+OsohjNL1HPtpXTvQSPx
74YqbVYCZeeCjXIftb63qqg28cLUdUiEx5dJQYYF6nK7c4P45DWyveJ5Z+qgkL4NPDb1t17alkGV
T6smUvV106bt8vvrOW//0/WEYhuCIXgOqAKnyE8eKXHT12NQlt5l36YyyLJyXCjrDatMijRIIrVN
q2jbjAU+JDW/G+Mi3aQY52GU+uO1kO37H9j0NcaYUmhFSJ8hOrvOS4yrrMZdUoxTQCs2XPW1NxyK
aXpbDlNz0TfIOy+Ghc4n/6bLyk9TlYmwzrvxd2PRO9tiFHzfnPkoy8kSMYhNSoDqCBoWmkup51uu
LhLXdiZ1wdCgcimaOD43ftqvelyZADX2vhnYdEUbg7og6X0vKJlp1slQsO0QVeU9kR3e0yzFO5Px
reXoXva9es9S64KutY9Ryfx9MyAcSm3yhZlSEmCSxdu2Y3aJzSiCvnT5vqBZsvr+3OYu6cnc4ASP
BA4MzTgIQOJkqYuqJlk1oDZwVfmWyZosSjy2QRfrD3ZC4UCHblOYdnwjowfWe9m+J4KsCtqI0Fhe
L75vDnQyvrIGuoPAuSE3Qzg6CUNqjHxrHYb7K1NEQdzhJQEfvRozZK4YTq/UoNn2+/c8Dc4EEwEp
QIA4CR6gAOiX8I7dlKYQbGwgbPHG4xkEE1rpsOgYuGIzthOgyJptnCRR0EVFd9tOtVoZQpNVkr/n
uTaHHNo31xXD7wmOo22MpzQwoJn+IEqT2ZJnaWS2lIBDEKjoobkNleJLS4sRJwW0Xm0wcvpOZwkO
qgHTc4y7e1fgJA5Q6bl11Zf0DbPZYtAquvH7JtqlbXvvoXQKC8f6fTuRdzLK4PM8z6ZlJsGjnKG7
tuzsBTL1jezaAUK829WNyi6HcnirBuQuuNFZMDbYvhtZNfzAy/z5SNjL2YFvcaD7jEOanJP2y9kl
PUmGjDZlkNeZ2npErPuG1ldwhNTbN0nUB9Uo7iJDilvnWX2QXqQXqCif0GjI9XxtKBN7qwvi7a2w
8ULTxFv2cZkuXd1UVygaF21F49vM+k/tSNKD6CaxiHE0rUzd7bykk9ctr+VSefZ9pGyx8fz09z7q
3V0nxXrKhn2Uo+GNQrhYpYd6kG5pxKg2rC2SwCeTDiOF+K4Sorg1Eb2IxlxsXETsipIe8ibPsk2M
qvtj5sp8PSxMdu6ZCI7Nag3TYxnedm1B7ww/x0rTN3nvwg7R+NyaFgXHGFdHYgiKyUyBw322KV3f
7aTfQ2YqbRsoEpfbaqj5rRvlnfQKtcqRrwNVKfoOoWrZZSIJyso2NxA1p8s0KrcDaMib0qZqAZHA
XpQtsheCjAeW5RDxug6tptGJpU6HepPygQSuj/W5LtomHOteBQhuviWMRkGTXLaQubdeL/V5SW4U
buh5iyAgJmVWrmydp4uSRmwLXYJ42fosvei6pF7KBNlVN2++YX7hUx8qmbm7hogumCIfHUZtfLfC
zCt3Te2RDfPYGE5N1O/Lkbz3fBrtiYm9vSp8tKpYlAeE1+ry+FJNg1p6ERQ0Q1XEi1QNi6Es0BMU
ZbuCf9SZ/t2Sxl4bheTe+FEdVFnVN0FERNhVsnhL6vbStRptJYEIQDih53EUIXC2ZpE17Ml2tLpv
pU7DYmr0wSIooJD19rrMJ8AbfrKjC7OitddNeu96Ze4c6dvl5wDDsYlDlYj6uhhFteHW8aDnZJHI
Cr/XMh4Cv6in64Y1DCCvkjArC7JrEkW3oiP9SjRjFXpj/rEuWH0ty1CVRb7u542eW2YulVdvoohu
yVR194xB1UJV4wUauWqftl15qJLxQ2mp/9EU1TLPvPOjI4Agqm+c3sTWZnuH8mk9wBZucCkX6FgI
MZGIS08LviJezze2w29Szc2CDLoIrS/NkqdoFevoagIIswDCVb/LbMT3WQ9VhWws+KUqg6ZCydov
JDkIxJpVwYpsS2pZb5SMphCKVYhqcw13HFoJKq49GdEN1rG/rVLh7z2/fJuoLj20JfdXtor8tUXT
ex3X0672mm495LB9E5To3VTxdkmV5vAxcV+ike99KFJ1nx3M/DLGNFsNdeofdFSsXcP47fHeqPH9
gyFdBXu4SdZe7vogsX4dtHScVlE2PGHJyvtMaj+cqGhCJ4v6DeSUJkTc+cvjqALXfJ9S6+961Twl
RPaLSHt2mfSpXVjroUDaJtocKwZKSBG4SbDbbjKBwf20ZtzPzicxjGFNpnLFfJuE2CQQUbAjYVfH
u4a25i7rqLkdkkvNtApo1vH9cQa6bW+Va1d1Iftz43VJkPhIXLVZkgYTj+K3RZRkQWrxsKSkfUwn
EQeuq906g7RyXlbTvi14fZhIUYQty1SodS63ERvdssSZDLz4mooyWdvCfNCWs3eqHO8rnWyZq8er
1qXZYfLKbtHFdRA7FS8rO/U7GU8XKkL5xWQLtEqjJl0kCUpvdAO1Z6vsxnn9tKFmiPaqUe0metT5
4G/LpBSXk292UVmhfZ56v6dd14cDFsWi69PhMhtFsuoRXUTDIFdC9/HBoYgG/cALYF24vz/+5Ezc
v+Vj9x4n2xyJ6bxqZHHBxjgKP6dHWTh/02iHl7EokpU/me5OaFWGlGZvSpR0N+B994KP46oiDV/T
BOtVKki1gmOedoN47Ael7aJ9Pb8IbMdFnaAyjLhvVh0c6g+IgMREhw8JZ8Nalx67jYdoyTqmtuA2
fJ9UmO9pSYugOSb4TO+ayXg7oEbFeix4tfTyNgvLdFDnNInzwA1FssZNuSZZ2W9Rkn2qzFTudDo2
AU5wcoFs5BaZbm4yr3sLTXay1WlPdjozEF/koG9YxXXQt7R+G4nsQ+QglDf1FFpeFquOFuU2bvsi
iMo6vsWeWKJh2LnMdnf+4PwV39UT53tlIryKGR1/T7zLoe0vItte1c6AkxMXr+F42BB0dBr2lsRr
duQ8sYfd4ci4lK/bINEozBLRX7mcLXGK3QVBSb/QXSY3XSM3qm6z+8x4F70PCTilxSUCzrAuPXrB
UVdfx5BRF2IUdtXmozowvh8RjpblpMqFijq5UmXP91E/mNDHdFgoo8ZVugOHaK8SXoxXExROK4ns
JpWFWvtYJouKF/GuTFy+amS006KhNyXwpEWucbccU9uvW5mHbVNuYjGEPOuyw/Glp3wIiyZigY3z
eD0RM2yoKuMDpmUWitTuJzmk5znKs4BniVoaXvfnuyKN3aGcXzgSWSjFMKxwL90N10qsbLNJ0pXx
6njhoo6+MWkpN4ZGl2naQGWnKrzOmBnCrlX6TWbCSfX6Ii3GALahuuxT112CgWLlmnK6xXFyWXvd
prM6wJaoDz0UT6Gcl8gNPl36YsoOcaWyQ50lgabxtK+0yW54y5YJQ/Et770imCpltzb129D0XrMq
pTnvedmC3jH1d7KKysDUeb5KcektkpHWBxT76TZDZDvwEX6rZH2oNX+Mi9pcNNgLJtqyW9dbvSj7
sb6ePP2mKoQLS2XwTdmIfpkZnG2MX2SLqGiZW42ixkFeDVDl8SZIaWb3ZP5aOBOHw7RtmnU/OG/n
OIwoTVTB9BISOoiy4RBH7T5LpX0HDr3ybWtuogTdqaoxl3VU4sBSN0ebVF+bhMI+SOkbmfV4mZc3
w+Bn1xMSt62OzeLIBrq85SHRGor1vuyvege3gCpmWrRlmy7boZreGkzWaQJM8RJH3fSxk1BNWbGD
2gYKXj1OoSnKYmHnqdNC34yz4NGxHNKAjKD8qfwLmariMpq6Oxx3yTJOY72B3pq7IvRS23zlgcx0
4fsO8h0fzbKMmmQxdVGIQTE54CrqV8B2o6CFJ6JuJhd54H99sk7Z9F6m1UcpvGJFagW7qbNNuu78
mgEHnRZdlbtlnYHr4s4nb6Z8cMvGJG+GoX1PB3Uj+6K4c3M2cnEMMkwgnRpvahTrfZLIPiAoNwFn
Edm2GuD6Pp0j6JRG+MCQ4IETOPUg4Ng2hvbhc7aufNAvKC6AQifJDk2SrE07NDfA8uJF7g2/UzdU
+9iTu6qK00UnXbaEgtFdHl90LpYNZ/ratfWH44LHCaG7qvT5lvT1Os2nH4gdX3E6H47JUiRAIoTn
acipnkX6CuWR7AlQuXwMc6b0OZmSaOOMcOc2iS5Y53cXmSz10rJxuPr+auGvbq/gyShQ/7iC0yJC
zmcLn6+WLEWsiIiaICsbGfZlEq8SpbswwW0dlgjVGxZXOVBjqfdpotyFaFeVXMe2XBFl1aETeNq0
0ncBKDBkEY8xUEhR24soTeT6+8bSr6CF04+g4GIFRygwnO46MVZHhnVNausgwQaK88wfghTql8F2
e3gGrNtPcXZTkYgukkZ3b4ZMBflE6Lu5yjlk8GBfKDozBsciEkJmvJh65gJismGrGqbW0uMyZK4f
d33ZfewTZ26Nc8BnuihZxQ7x+1ooSJK1BzXM5K1krNiP5Livp6iA/DKFGCjT0L87UYp7b0gHk8kp
OFaU0wCZMhw9EJak6u2yhXNEIZ13qydctWSFp0KOonT//YX+ShTECs4GwcaAs0GSCSxm1eiZXh23
GsgEE1MQ1xgHrZd2TYDqOEi6VF7XMgdh5Jgc0kmRwANlexHRutrxwYWx9KuP00hyCBpJ8YMd8JVc
NRsGR8igK0PhjACcD3hp2KRG4hUQRYMalLJDY/DBkra40L2roCRNbi3OH1t4wGbpFUm2yOuUbdsm
6wIjmD5HgtofrBSI+HDH55oMPEsFDx8KLhl07xCbO0XPl0rHtvBdhCGqpU4G1q4/awwqJGNTLvgQ
9bsKt26tmUP3jSwf4XnS7ta1pt0WKi9WYxYYq0GAQ2W6a0ie77zYtVOgeLuZBm/R87y4LtIen6uq
C/Oct3XgchKAOqfexkW+y1o7Bdpz05Uf2afE+dmuGuStq2p32RhtLo8SuP97pwd7kVo1BtmxQuAe
21Sy4UDbsX+Rxlm6OXrGkWjJznNAQ8E9Jh1/+Cwufa6JE4mTdZJ49bVo1D2s7U3egCxrcdQD19zL
ooGpJAm7y3x1eVQa6qnJr4l8j5af1e2piJug9Ep8p3s0LvOmh0J1pngD5h/qYewCyhv6JimyK1tO
bhsVCh0i2eVBUq0QduyCzC+WAKv+g4t2Md1C0cYDAUxjWQ4NCNj10Kdh7YRbtIkfBaUvhkdWfHLA
yp76rksDVCgDZNgke6uz5rKTEE58hbb51NrtmHLzDhadAf9KMtTcHKeCPLXpZER2PoF4gTlwiiTm
fJFQXu5lo8ob2kWf8sg1q5hHdlt4Ng96haoblCOQ+TvuQ7IR8SpnOFqZIb2vgBY9NRSHKBNDHIyG
hSwldjnI3pzXqr7x82p8YGMKxCVp1btoaPJQ12a461XtFngomuvRLOgAnJiCfL+kuh7f6zHtAjLg
bIUmPw7beQ+Ng4bSba7JsSzuRgPSB52qTZwhUIvAvwkU/lAxtPUyn4ugVvQitKI/0FE158zJPc3j
ai/0TWu84Uo0+XAgMWqgx6PqQ9O0bAEuN4QU21DNBUCWCXMHjaDP20Z4aIXrgr6ZdfBD5edlgPxh
IdNY/Z7ZBCoy/KhKXIK7MnQYbG+CydB+VycDg9aEL7aMJEERTeDG/thvWZ1eFNzV1wmIPbXqREhH
zhaVsLBVYrpSpMHgJCBoh6yqHyskyZuumPTFn781hulgSl0ZetCav3JjBwSxG8Rb6VpwDCKDZMTp
5ngT5BEUpL1tYKOO15lD/bLP7ZPvURFmUaL3fKA3R+beA+ndxWyCkhNk4kU5td6qRjlbMWYfFJng
wXaceuuIdsMyi1G/jatJBlPLp8vaYL34HFwnK5MlPKzxLqOs2I8y3na9pw8GKp+gjvscHBCb2T9x
mPOJL7si6t7xsr8YMlZfRWmRhn1KPhro+93GOTDnsmF6CbxhnTc5vzVdBNlL4Y9Vyu+A+LMLncIL
ssk7X/PhwA3sRDyim8jr3LbDLXStcK2XiVcmhynLz7t5C9R9plZC1VAAYD++k7Rxe1E0YxlgYHn7
JPJDG2XTbmAtOkxM3P+xEyrRXkxwYDi0MVQSSdIEBcnkvpyxjeKgpiU/WNW3W+Sh8yaV5gqyjoEe
QE9DnLbgPHrS65RMLmxR3tzE2nWh5yO9mFh/PbTanh9fXF3Zcw10GVqFOdki3yS3fhEa43e3w5gK
IKjpEOK5WPEMKLjUlXxdtPqTacVwDi1EssVyxYF8hkdmLidovxzTst9AmOgHufY7r1shL3Wro/Vm
QndpZc3m+FshL7JIhemcM6Num9YyWjMihreSRLtyYmRxDLVTH7kldLz0dgKdbteJPl9NPmiv0r/I
6TBCrYrwqua12x3psRGgtLbShZ+jdTySgBW0uoob4wetI+vjzZ2U3loB2kFF6XSgyKwnm+6TuT6r
YnmNeMp28PhcD87TpJtyrJa+Bw1IlLEJwlbEg4LW5xIlddg0ploP0FxbqNEf15Acl0iz7IK5Dtxd
8wc+NeRN2kTmYpzEwyREvK8RzQPQ2MU5AR85p9jzVwSl8N5YRfs8mqI9r1u8TIeWLvKotNuY1cWm
4ZkLKWgkC+J0eYgz7hZN0Y6bPB/4okZevPJcMi5gX6c3hRVAQ47FyLFSn9WcJKfeVdrQaQ3tpfK+
FBDTprr1AzUMxV7Gep3xATyhakYXNFBTQ3+A3iJMdxHUuetK8GLHMN2PrR1/LxhoNePQbrx0QEvP
xmXgddkDAn17ObjCW+dl9pb3EVnKTNFFIdJsXWk/XxTQVd2D5H55LJLiPsWbhFRk43oXMDJNB9az
bM0gx650Wcpr2pZpoKv+kQJbv7YaN8vaB6LN8pyGkYzQNQEJcNXlpjqoPM3DI8OkBmULBc3PfJT5
ozfWecjtoDdHZcPRuF2oOXOqsn1P/H4KBC/rRZPS7l2H3utquBhc7HTQmQ8yi8enfLgbu+6uMEPz
4KXTRVt8LEpoAaKqqJfeMUjQChrgLCncfTOOUIxgV1zVwq154WchLxE0wqbBDymh6r3f0ptxk1ZD
dENKU4alTsi0GSv/8mhVC/Pe4zQLYp1nq1p79QGKW7tPSQlT7tGjYLncOdqrvQPiZh0BNabt2n2X
IL0XXRkCXRdL59f6dmy4CSEHTPdFqu90HOCqMNdspN0aeg5dKFUkF0LGYqm6TcuT5IMZ+w0CX7ke
IRFDmihdtcrnPEbyrlmbqm+DtLuPMp68Q9RtRwSNyKLHeO8xLTY9MKow4zgOTMq6HbZMwyr1DxOE
QhBWcbwmBUd5OEFXxo0jSNzYXR8bOqyIt7lMdpXrug3qbTYGFI55hE1toZxQFTSEevYp77LzhkyQ
56HduDJlpHFAhins894efGLshfNTs00I0u0W3MHsjpSgjhnoB1AJr+AMgb9ItOeHRyqmkQ3HuIXm
JhSrQYyH+HLMZX1ZNGwPCK/7frLvEqvjQw+OGThN4oD6Y3bTRurdkGfd/WiyOGQgCt8R0VchtcMb
jkAfY5WKb20ZVdeVv/a8TxqjHLI0FKTQLBULVtJ2NyHbb3CTlIujZJLmb4VfeEE3ivI+Lx0JTIGL
XeOkoEtjLKhsY3xVRBk0gWo7hR7Eu21n2nhT4H2fkwGULGiNGTsMgWhzvsrmYNLOprWqAaEuf+cN
LN+1vB/O40Sf18Kzd4S7ndf11b0BAfrYf8N01At/8u25wJUMter6bRGnEFwyoek6q0D8YCi7n6Bo
WEGVlgRNLbJ1Olc1ZQs7C7XV4fu0C5jVKf0DNgFMAp6bhQf9pID/CuAlmyDMZDXDDQq6xEL5ygkb
Zpb6/4g6s+Y4dXBr/yKqmCTglqFHd9ttO7GTG5UzbCRAAoFAiF9/VnfO952bLrezK7EbeIe1nqWN
Aaud4qP30LgWHPWx9wLnzjQgBU1ddEQlc+fLtJL5lwdR/Ps2b2tuE6uKUcr4avnqP9nk029ir3CT
rL+MryoeF8EabE/rMi66VEOaJzWlu9pJc06lL46QxtN8TKkpH2+7cPnfP8COHGASN99nvdVYQAJ5
pJyFT/GsvZ3JZPycSIyiwoQtXAep837q3oc1SQ9Wc/VuddYcfF54fpTk0b0/BPcXyLquWpOkrTIK
hwo7j766PlteQjn0uY3Z8EYl/ymS+S8j7R31wIQad5G+RY77d75nt3mmv/zfi5ANKCvn6/1yl7ii
bLM7M2eeOWbgONQxnl3yO7NBU6xu3kWtaY8M63kxJWn8Tc9tnrSd29eLSorHVke8NDv4bmvzdhPB
mgfrORJje3yoNgq/ETJk2W3LtuXA6JQWQzIH732QpnuPuZeA9xEaCG7CzPphMS5Q0RSVX7Kd2PXx
4kV8ugjP5tYfRe530K7+7+OBi/WVajseHhWAaP6kMZ4fpWvydsncT5I29CjvIAKtXRHxviJmmN4z
3q4vcVN4v8noj3kSsv7WL2Q9h6rJcm8eapS/WB4eUh5cKSj960XKUZwHE/11w7y9ON78bi1a1ByH
3XOSrfyfLQQ9/Aqn7754r9972fOiJvqfRrCtPr3yZr71Ml0rmw2yxFM2PrFkHE/JuB5I9LR0sfdz
WpK4SrqWlbGzXc60eU+aJPuuiPgkazoc/R7mMCxN6KjZIrFls7Wgjf6YxzW5cJvgvpFZm/uQto6e
FNuhySZ4VA//80+dUfVP3ZPt7HY+d345BY0uODTZy3T30vvZ1Tve+/Fb1gwhVI6svaazv384Zdio
Sxp7vGCzg4vP/fCbIn1YbA2bj7ASfq2raU88tNPz5qN0Zmrb97E3Vc0ytzeo75uDvustofsYxnmf
Nb2uAr2s2MN1oQJJfi8okTnJ/nc2dpk//1uouI2jEsyij+7UJeK5uf8bolu8EwriJcro34x29sOn
4qj69vjPS27tZt+GlH5uYgXMxYP/ujHyn2g9gqfw5cHzsyzJlZ/4e7Nm9tzWvncY71/B5PIO2yRY
AV23LmpfpufF8WWHmt1eszE9zIFuq9DbprNPFrcjniFvmGaHYm0dimY/kpsTa/RBzPitM8KhvQVk
Tzz21nrM+/BX9pm03lvG5fZzJNF5Fa34xmwbnITABj22/kHDannvY6y6G6aMZzb56sVzpMym8dsG
dOqvD3t7UY6iw8PR8IxI/wbUK8KBXcKeipd1nbJ3byyzRJb+Nk5bZU0976zXwLeBZAfTtuGvc+On
B9KouHRbdgQECp0axF7lkZpU4eiyHLHT4ESzrj+0aWwLm7IAN50zZQQBsYxYJnZtu1Ao/zLdTY1W
FXhBSHadTvJuXiIARIcHhSGXCDOj8upDHE/01JuE7kksFjyG6OLduOvUr06SCtfBfbZyAvpH7fem
vdOho139HCPly5wKWj3k9DnRwWGTMJLYcH/YWveSbWR9gSxh9lnGzp5ovoZ1NK/UV9PTpsjr2Hbz
fmrnJJ99L8WmuYXz7l+znfRk0NSwJE14xi6Pr0QYXjRyB/8mimjV4bWPjjX6R7G1dVYZJ/nLvCX1
S7dusBVCCcPr/lZE8QivUy3HoO1ncBEOIrE17/H9PvG9VeW1jFkJfnTBjpvxA4ZW/eIGCASt7458
TMx7H5FfTs82p+nEbv5kKk08XfkmUtgChvE4KqCy/QT0wocUweA3k2w9QMdprmKeQW2O7WdPTX2B
pS/gecxRMUwy+G5sFcVi+Ai53oXtnFZjw9IrlyIpVxiv7wx++DA03x7N/fGSOljcOrngh+CXJZmW
d17LOfeEhGUUZh9YaLqjewxwNIpNwUaQD3Et9m4G3tfatZo1XPU14LoyiWDQoETwRCCrlUls/bLD
eSY6Zx6qYbh0GF4zVQgSAFbw1uk2d1tfoJGr3YPGqfu3cPKGC0bVwkbcvSpXNyfutbnJ1vTUYXLL
XcxXCBl1/Rq4j5GFMdgHW5dhCiiHNvUTACpXKT/tqnRtLbSklR3SduueA+6VwbREJ2wccUloj0c9
HSaMRgTm4NSxYhj79jXxgqTqa92WPYy/vCbOuy51p/IkBlbWDDy8QjczTzHL0qL1YO+mZvvC/J6P
Szb9GJGgx1ab/rf2pK1q4g/nBqgLA3JA/wRhRND2krnyI9O/A3Lz8/bi80F8ogmrMsBudppU23yC
1d/FDWR5f2Tnh8C01g8U2LHC99O6nGMuX7Rd5qLBAuqtc3JjVOofIWSPqtavul9lyf0mxTNhyGlp
VfHwfWbpoko0FL8Kk5XzgvRbO3RNpVpvK6icfk3BBt4jpJ7eRZCKcnvncePW/y/shD6Z1Z4y0tor
upJ5TgGd6KymFy+cvzcKH425n9a32SB8loSq3F9RWwp/la60HRHV6juY7wCXd//28w62HZbqqYxt
FpYLsdnJhfxteTzBFvNMDiBMlOi7476X7XZ5fAXCBo/gaMiZc3Om2Ng+Vjnt9MzdLplYs4N/kl34
Rpk5GkL0bsV5By/gePZDWC+XMMjoNds2KEp1eHVZ+xneB20MZdsxUfwjUuw2NCGd0CLGKhBxcxP3
YTjxTIvxmXxbrPFKnZHm9fEysTrH6YnBy+Od0TRGzZ8+tc+Tsg9GXlnXGCzmMIoKZ0mw+/deNf32
PIXzz96OBpPD9IFmwBKYhiaDRQxAHnvzM3gl7/nxldbMK1fFLYzVke/ZhsUBZwaQN5tiLLAy287j
HYhz3TaVynqf/aLqQhrhsXyLW3eh64DHQRT+/bcNa9W/1hn/1+vxHMFkWE2dI/1WDoNNcX//P6vw
0ZGpq4ugR4eCwfkYDzQD1rSu7jXoJvkSug5QUf9iIxY9tXPIbgljyUug32aViEO9ZoDo7tVlDGBW
JROXpw5t6+DXjSkMbpJTyGaZPz5BZancBwN1ADYrF/Tsr+mwlTR4mlfnudek39pr4NW7f7CcITTf
Ote8TXQG8rAtfhlPW3oIVMCKaEr8XT0KcksyQ25rCDk2WbMYG1CQHdtlqHeANXLZM75fhdaHDYDK
NZbDbuqarLK+7sp49tpLZEiYZ1vzCYtoupk1IQWhmEj9RJG3aO5PPktRxbZlwG7ufjZ31//xwlV0
bswM5WuLOPSkmu6nMCqWLNE3G/tbDiEyviwfQdAP34OUldoo+1xP3Z5GM3+z94WQONGg+2zZs46z
9FlnHkIUKZyXiYniwfKQe5ttIb1izDNiV2dzcH68hEM/HqLQnWi3udO8Xvup1piHtgG4PTMZ1p67
yTWHkEzEN7Cs5kRSv8npoFEGWqPiasSf5Vj0r3HiucM/2fqudC4mMU/8v3VK5vO8tsuZai8F+kB+
zSBPz2NA4rOc03wIpX9bgu5Qe6+hcNleBBmsIkvOj5epCb+ITQdUy1C6U687SJ6YAR83YCSBVYTO
a46cpqgkPW4m4N28CiYSH5oZPXTwiH6VqQgPyaJJFbW0EI1x1y0Q7vr4Kh38ncDcBDVs1fmjGDxe
AgphDr5JXwbJ8tWkXF/svNjrMs0/MrN1bxrNCuONeU1alBedtM/dSHfJ0LKTq8Wff5xlu2LJZ/fp
BLyLrNpVbuVkevinU+J2bThA1BjpnI8qbKp1yWzVTPXyDu+en+fQIBijvhA0iD/vo1UxIwRQRHCq
SttA/wnTptm7kaGCq/UzMn5adnTYnhNP2j2PpAWyiD8UjpFi4VjM2Jhg4d2G5YN5gV/06RaeHm+B
PJ3raYSoPECJRKJlfcWlPDd333irWw8qy9aWkQbqXi/xfNad+VC8c+8LZ+vB8mjYJ0RG3xHUeDJ+
Z3dNpzB/FDoA2pqPLapuW/O/1Dbfhj5LfmYLrHIjouaciXp69NGzIc2a6ztPcm+reAtG4vG2nXly
iDRUxQjzbizm5Ec2tgHcTBFc104tt80uv5ihopLY9XZN2KqXYZR8l81xVDze4kiCNxGT4aJ9gF9u
xjIcYB5+X5oad9USbLlpFXjCiPNK3sGZsBFnyLvbldzFnUHHat/CxVqaeSqYcPHr2sn4FQb8p+dW
9fT41rTVpFzAbuZiluTfDz8Sq8+d0v/7tk+JBpftVS5TPI8FwRocG/BJmwcSewPBxP21qmUG1XaU
2M3AifUQS/IIhvg7M4be0FyLxzsht/YdAni2unxOYrPn2YYnA2rSc63E7wxkAnAK3KDTwOaT3cLr
5rZzMoX0TyNpRY346wVqeaUpDGupJ3bu5XhyUc/ftN8cpmw7yNX9de3YQH25q3QisLTIMHagLppg
H/qoC4/CXW9oPwrFJneQtfJHyxSakCcMNeqfkdltC3laGzA693I9C/epOz1UveXxAZKe+1xju3dk
GK+2rt/JKusLxQJeYF33fki6mtzNbnnuRzdikW/B+DVYWXsYQgehuaw6h45h/FB81vX63DmvPQTW
mgIDXfYUIJxUZFk7fVGyPGmp3Ld5mlVOeApnJxyLxyADoW+8YfJWz3LB5zqpPh9SZ06PWosgA7ZW
0plqNqVMJMSK//8SwdQohuCLzMZDA4ekh+d3vwW+/DZ2s31as2QsViK8G03wlwZNvHuwxjXGMXS2
nbAq+LFBnyo5TezJNxN9j+2Sd0lQjbi1eJ5kKke8Zvgv4uO739DpLWynFzpzYJTLwG9Cx8thkDpC
Vk1EL1qsryMc5mpqtvbfE9Ddn4qpnvUlhoEzR/Xe6Gi5bJRGL5TL+AXUJgefneTMcXmM0WM/+xV3
16aP/3qpQP6tZa6/zBarUD45poswmn6bNa1BlXFfFn0AccIL+Hpk9Ye4k3LU6PZp5Wla9b3WuaNd
8CQdbB4dsc8Va3I+CtW9EGH7nWXm2dz9eSq6S2cm0OgD1SUSazcuB7NPPD2eifawXt4Boc4tdelQ
lJtCQ880DWVnFQBowQgVHR/mQAJoo4xCBFE2Nbhjkm07ZMBUrsma/b2YycVluox6R5skefL958SG
zas3LoWcg+Uds7f/ysf+UNdpeHkUZpcwr7Cqk4cIgB/yS/7TY1gdJpUcmE1vEB8tLB8hL/F918Ln
Bee1b3LEy7IX3IpzSaVrz/+UCn9K25u9V58V/ejYu/sYSd6Q8BwPo4X+7Bp5rmXyFMdOX7C6s1tY
B+olsjZX4NKgWniieHjyOPR2OLDB3GQ/INEi7PjVNeLYz/C8xdwMhYqXb64d5lu0oaN7M2hpKqMC
amD80rXrQc66vTRLFr1E4bQjy7ZeAfN+qjm1Z2/dEOxhKrmpsM4ZYdOBKuSTsvv3FwrhAQbS8fFf
Pb7VuHYDYQzPHW1rBpK8Yvtdg/jVZM81y+C0x1Cs605fR/jqe5DJdfEA9x/zk6DIXwSNAuNPZ6B3
sMutj3mrd5FX/Fva7/L7w4yJ3Rxf72Uxx/CJMpVsQ7lJ538kIfmxNT0MmaAdr6SeOXIJY3+R4Ber
DbB59VBb5wZZAwb1G49ZEWQz3TFEiaZ7yG/VGh6wwh23+I2DEahJAYF2Ke3SlrLDVPpA5vli+KGx
zU82RePROSoKwyN21NC7CtZBeCGmw5xIxW8Xe80rU176hFzfiwGkeVpHbS+jBS4JFXiHT/ZLdWCN
mqnbyodAb4bh+cE+ev5IcxvEPdhGDMM47MBdfaDP6EayPmHsQRCCzjdsR//xFj4KA8S5D8Ph99YG
wXPNu1+jB2EmGQL+K1YO/hp6I7z37wqzZ6FYghxIi0Sh6vB8BGREOxGQeKHcZVuuufMuULUZhfDy
1c/LclUA5gq51CdJHDRz8muhjuyaNniNrYCyx+HvGArvz/EnKEQ75thyyDIO+Sfoke301/28gBFX
9daUac8/AUO2Wfzsp7EqMvCVW+Q3SBq04w4K/ksW4VJCg6eo2sM0VmFvk4PEdl8sZCDV5m2iyjJk
bGJ0CmYz97Y4yzH/ISpAwkHtNzmISjCDv1vuV9J2CDsIKFK8s4Xzw22nvA5LmvjiAwxwUOe3kY4b
0kAJzd0CzyP04f/3PPyBkRTgzIaCzsczWxxA+PQ1PRpp2soY7xN+BjiHNDwIZCGPNWvh3swCKHpm
Sh+rO828EgZzXUSeh48WM+VqF3i4kTmxUPWVFc1p6kZoiqr7EwyYr7b22+hDHI4gAFcAb1bYV7+5
1cBfw/BAVnK/KTWr2mFqYYXM1WzTUvvD+gK5qQg38w1W6+e4qp9iLaTXeFUXqQk5ywDy4fJ7Yn9V
tt6YmH/XkZX3JUNjmRQl7hx5qqdn6rN+xzqvhwKcqaPZ7jkD5mU7LNB/uWcrimuoHT+MwN+gk6ir
FGnedZ/GrmxnBASSWjQJsPyWQGRFynjz3H+tFw/njCVhCdEeknaLNWb01zP1XrcmQSg0QKZHadWi
zqY6Hz0JIzHrLAbHts7jen5Nw2S+JBybILihvlhHmCyrkwKtXrLzRLJ+D6/C5okW3+46+xOV7VDO
cAlqyEBpRM/K4zBfUpAeQwadd8l8l29ihMhvN7kPcZ91glVUZ9AIF1QZ34bZHmHkIGrDI7ikNZVZ
GUX8toh43K/+7z5OfytvdCWwHYqpuxdVizls25akFLD/E3+UOUuQJI7WSkmPwv6d8BO8jlMzld7o
fTW+rMDFYTtnyVdPZVxCbwuLVGNBnDFw2cn9ySZKKqSugrwGz4B8GvQqPjWmbGIw4End7mvh3znU
NDnR9bCR7DyaDFTJlrTHOlm/dZ0yh5Viiu3RGsBSDBlCJCpkGVA3sa+lffK2INh3nfvLWpa7Dnoj
MhRFHRKIm96GDAGLkQZHM6Ykthd1rL21yzNP8R1umz6PyTK/MDIfU36nxiXyfAviagmvhxw+Ylb6
Dazj2gM9A/XrDYmW7ilr1N54s8boBGcmRMho3vo2F5nyiwCjTGnAwFPSFbQdLm1oS2cUQHM3tUet
CEon0IpAe29uGJ5sJo5CT6epRnkaNBlypNtfDX5hAL2oDKEe6xx65MGL52e/z+ZTJI/gUSCiI7ba
IEc/GYr8Ahl26Z8+qCW0uRU1yJe62jQ+MUtjtwugTG0++UNSPu2QnppyBzkTlSqCxEiXqPBp21Se
pw8tS94wAeqc+8PvnlJwmRYwS0jHl2D+zvyAF7wFcGK87gpo8Gfq23uURrzMMmjA9TNcTg9OStC9
bOAMszjPkrqDn+RyJHL+ZDrddnH6qgbe5vHG5WG2pFxndFYYJdOsz/NAio4mhVNcH+UaIZomsZEv
sQ+mvyE5FOM3D4kvgJHNdzcBiVzquDuOVIvdCIujmsfkA2R88kxwzTcALHYm7ROuuNrToflvWJeu
SqgAPKzXHaay7JiliMo2etEVqBJESJt93Pio3ysI1GhOnmgbvXHWQ6oK1PVOTpRw9OciI1NTmFlE
JfCNCBHyXxB9LlvX97uEUzCm9VyffYwYaAzDwUtBzxOGGVTxaa8cHtcte+Ucgp1vT0744wUBX51D
/HxGzfL3MS5QGG5B7m/2T4jQBXa2qS3jNfzbwZQumxZkZu+pS0gA9kGUHvKVB2ZX90LmlK20MvoX
S4b+vvtAxZsRQ+3hu+Zx6nQeuKwrLIdhg9VUwhdREpiu3fsdVK4eblApEdTMh8RDPHOB8c/qZclx
xldd6HicK8as2LNU19D6oMbWaovKZDDXzuAhYLFCKe13aTlvcA+oJxe0Eiz1zk7BrtNQPuvmMKYq
KRdG4Ee3lRP9UjIJeAkETVpIIegFITdd/+dNYAOYw9heoyCV2objLhrgh3OW7mS3VbHOaF43n75A
Nx7DYI8OOOcOnNqbGM0PxPOek4h+ElJ/B0Y9PGepxCETuHEwL5cBx8kXdL2BVvrhw/jN4QX+ijwi
iqnG+BqT9shrSm7N8rWgWJVjP37JoKtzyeucI6NYDWL5rWwI+Cha0WPnu+0RbO+ihpzRZKIiqXqV
bvaw4tkFirXI7QRaiAFzXcUYHug4fU8SxGcinOCxsueti11JO3jKMd3CkirwxZDgRdkYo6om/hMt
GDAwI7OSb+YcRAIuV4smi0bS5dEMomWuvb9kTJHoZMEVdKLa1d51xBp8QFipy1X9Hb/2OQ79dTc0
WF02iKJQ7eYNK5xVo8IlEmEJ2S4rguAHxSMKHixAhwYCEGpYJpg5EPRcCQ4OWWZcWtgICA2TnEVc
Flqjv7kJSki9mqPEgRiFaZpfQLJA+3riaWXZF3AeUHvU4hPKxpNupye5oKBOXQ1y5YsIDHEpTUYs
67/TZPzAnf8Gd7+rAjAlAEs50ijWj1/GzpShwJwmEc8DIYg0qTM/LSasfYpNErok2iiwqGixDHyj
eKHpshRsGHRhaqkqWPFRrlyES8lkcAUhDyRIvw9bDVHIU9UakZegtecIiPy7UlO/w5gKWDz9AuJU
8SktI9/84YbjrsYW440SlTh7Qyw2KYDYead1oHHeKvEU0C7EJN62+QR+CzzTTAs+daZIJ9nkXoNx
n6QD9Px+Kxu5tk+egklpGpjYYwKzchiOqUv+LGP/w7frUrEBDvE42yr0wUzadA4PFsoikofmCRFv
5iDysYx+mBmNPHbSlmk2X5bGgmHS3gdZvodxP5U45eoGaD3IYzz2YKp3Q4KhgPeYIZB2/I4DFShS
kIPKF428J84mwZ7KF7tbW/4ZoOGKpj85h1krRkQa03sVts3rsHQm74gPqx7BtIF5uCO9Eaqq3w1X
zx3FFACt6ztEyxnqImY/LjTyEmGPlmlS4KcuPQhYpvcHIUY3lyLGPT5lt7i+J327cA+X+OddE+qY
/T0kac6QH12XsIZqvMFwJQ0i9xazuO8h6qZZC4fL6sso6wzLTtdWa9f87nwwmH3gBcgnpjtrfVrC
7wrzhvJbHK310xxeYUmI3aYg+RkWQciX0wkbU4a5a0Hqe0i+mJoIxAwUU+I0JiMfP6wab2NYf+8U
1cfQ+82HyltKvXRB5U8KnXU1JTITB7MsH4Memz1kcIxencNDg1A1kIMBZ6mMby4Lu51AEEaMaN9x
xlXuRfebJaUnau8TdZdNZ8zAXhzAPFHo6k2NtR5XyhXS1wjRs6GMG/Pu1OLvgyQ4IBbh7YAYJ/mK
2wEExGHc1nUPdAFPwBjtYLa1R2r2ZBN/DHHJQQfJPtZLUPJwQYhow7MUtD49aGOOSJzOpWtQCvqN
4qiXoOpFhgmpOS/q1LCE4bHHKUPowdcJODvUC7LLTBjtVuX60sThGU4ChM9WlJJAiBr9uZhV2x1W
pJk2Zv74PHv1e+p2XR8iBjvaY8T0Jw4SgBAWISqQhElQZG4fbQiAJ810Sr2ElDjcOG8gRrTgrIDo
j+bNEBTTSEWkkJH52WXKe13hoQmcm0GTX0pO2Q8/AcRkhBT5TAx2FzMXTI5kH3d1UoRkxLkHFEfo
JNDUBOyXmjEKk4CN2IKCsGSINeerWm0+Kb/dt96Zmoad2khkhfKAaxGo4sbg3Am6VRGjJhdrUOep
z3jVgcELnYLCDEQplsve4hJHOCOrUmPKd3RmvEDu7TT3ostT/C/eChxa89InwEy0pSeRxRtGtF6W
PWJoy/pR87jNM8mXSqKychw3Uslh/cqmUOe6yca9yP5i0OJ7uSYvkPxz0y2wTXpn80ZInJWRBi8T
ivI+hZMOcdirBrKc8HFfeJvYgszslq4gELvRL3HSCim5qTbQJ3nKLMfpUxsAIV0id4JjA+boz5BC
u3Ap2HdYXsUKhAniWgM9kWNQxylNOanHabeEiPtuI6GYOtIFV+XYtv73sRMHRApU3qg2KgzF+QPL
AM4x7yZAKIAA21IEbSFisOYW6d/StOPPiCPgBEP0GQeWpnvApRqMMOgNyPdhiucRBG2tpw+FoOcO
iwoImwaCH4L41QTK2HNGHGI2F4vBojqnEo4hvkDub/3ipDQBFJwRIGsnYXD0x5jhdK/VBldcwe2w
OA1OIftGMPkdx0iWNmG/kmk+DjiLp4JjTAoLFvrObMLy6XqAm51HQEPhbQo94WzgCoLL+LNEUVxC
Aa934bwPrQr3Iw1LnDhTF/22YtlHeAY5fgfp9zJN9VlLZyrfi9WLdk/aQ85sijm2TdPWKGk4gKD2
VfRkJqWqaBz+9kbdeoSBUB9gniTqB9i+Zj+I7UeP2oLPjOa0oXeYGZctnNAz6hq37PjqkXArBdY5
tELUwNh3kD75HocxYd9PorhCPG8XJfFhBh58McvKd/cjuAohg7PbLEr6GfxheqCz5xBXSbdyDHhX
TOsIHfurDYMB9R/SLAqEgWpCr2IztjCDsud6W3aNb98YTsp+4sJ9jzbiqtG7BR7/6ZLolqhlgwjJ
2x2bmrGgGz4jEckAOYMQqDWKWpiC+dLx7zYk9jZ49BvwvujsbcubP36KGIHrBMAVDE8gHuMCC91j
uxRzWKkFR4udsxyQ1pLHvuxzwJkEJSGGYe+u6+zJK1E+FFGnT3PQJAUgHV5lcQSNrPkYAftWmHz5
vluxtWlgIbsxxiCIMPYBh7Bdu5VbhHKx/SZ1iIMPHscLCLIPQlzKuYMNanHEmPSnFzBxAL5k3+ck
bE+ML0mVyWmDp73+HFX/luEnz60A6bQAhR5x/GvOPzshXVUf+mKaRAhfwLz7OF3gilzxAW6lAN7H
v4kBCAaJTbRTgY+DV8CM6jiq5iH6H8rObDduZcu2/1LPxQMGyWBTDwXcZDL7VN/YeiEsW2bfk8Hm
62swvevUPRsoXNwXYcu2tKVsItaaa86xdg2MnrluJh/f1VOFGh004+eCJTaICxKaRVmeu2Y4jMOw
3Bsp72hPUgtb7RPjH9JvbreRmI43qnUTXlLja9LWduBoUx9MgkwduJmtLgouFsdc61pcD8RCt6jm
eMUL85z3P9I6cy6i3YgybHdLOB07HP0+1vQmQAu4W2JdbGsZnezBwGlVdlvdrqNTYiUYvJZ5M6bN
93ro3qw23825wbujSIed27X3TlRplAfzkTO13nfJ8C1UsThUWvbJIDc6oTGbGzPCZqlGC9ucoQWL
HJLnwbFP2GxhjHl6vFkc0A/fh6HsT4Olfso8/Rpyk3eMN9AwTMMmzMmtJ92LV1YyyDE8B16uf+Wj
8YTMW27p5iZ6KQePd/ppY5/eFU3U+/vcQk9aMP9ve+BjbRQvfjOiZCxWqk5yyF6rFEWoyqtmKzJ0
/rTVwm2yDLwFsFXpSb6v7aQ/O818mMUQcdIb8tCX3kMaj/6wyla2o6adEUlJtqOXPmEQpIQU54I1
OvtYmtnWoCa0rGG56sVwYI2QuRk8tPBQITXRgDLu0Yd029ZOtQ+nuWXyiNDT1MO+VUt1NHrjG7a6
Af2n0QNh/kxUoh3M5Hl2MqZF6fSGve9XbcV8jcSzZKGTJD2Bc9t4ApR0rR0M/81SCH/uF+yfszff
zS2xnTuz44kdcLL4cc5zJBMDldokSG6On9PS3fVM1jbZSBqh1yj/Sky1xM0gNBGr39j5fOgZ7m5a
0T+G2CMon92tTPPaRxSuyQOcdaf8YbT5xalzCxOvuA5K/u7iPMP1kN3bQ+Mham7KGDWuDPNwA54G
uY5JHHSGj6m4NB0uRHpK1dLfxh3Cl0PTEWdNiRoU7pDe+n20MNGUSXmRTn4d1UtdJkRIR60+qJD5
miwkPvZq+W63aXyVBYYPMeQUFLw/YQmQVQxqNzU5ODCQDa32NZvGm4o1Y0f/TcqLhKJbM+AVxBE2
Jv937DVXesgQIzGvEV7WH3HYHqKcd36B07w6pgbiXtNowymtV2F2w1wIbcjt84su5h+DXuunwS1/
IMbogBtQi0sxg+8o77DUvbKd1TxUbfphmBVsmGH6VLIsfPRf3gXd8DaUmn1x073J2zCFHxOU0+Ci
Hi9nr+sNfCfxO0qjAagRNEqYwDpokef3AO9+x3PzsDCGbcSUnUMdN8KQOTXPo3Z29Ea9a3l70Gsr
9EdNlYFtJbxdyN9xSD7hs9J8bYh+jPpoHYwyIqHI/eqXIDSY7ukI2mUPtVF/zKQKd11mMsWc848E
yoYBFULNdC7KJPITAhBMHV6LTSke0qHMg64ph2A2u6vWx/eDVv20MOXTx1FFuhKPYDH/GkOdYGHB
FToz0nqPnT69bzYlw5jIaI19KIm11lM6+hmR2O0g1a7tpo3ZKnUsTLxjBCyfc6eYd9povkPunEGW
jBPXjj9kdLk0Oogkw/jeat13LS+zjbmYiuAWEuCYF8+RxttUielailPdwdlZJEEQZeDls81f3QIG
jbzpoxviGmrNZDu1HsgI08i2knw+ZD+qU8wWNonCYgjasoS6oifvykzOc5argzQSCr5UE5xxq9qd
qeTBTaxN7OBI6pmOn8NW3vXOoPOoDYp+vs3QfJo1zt9GNL9i8Jcq/BGnofKBURGPC7XkNC3201il
2q6wHOA7NSGaVCxPRpU8tIW+5QWfPmbu+Nw76HDD/DaroX4md7qr5uE7SYbqgqf0zSZBNYnwOpXh
tWin56jCW2Q34TPjDRo/40cyob9nknpb/Wi6GH0qFOVl+KaETjNPijSPE7qBPtKDzp2njZN02aVS
DV5OlaVbEDBcr3S7nNfzVxOKrW6k5mXAnS2n9kN4M9p5xz8sUkBuSoS/yjbpzmPKI+Ut0FiylqlB
opf5ReRh9ucDD/GmZ+QTRHO47Ici+lm56Vrzxb9MMuh7K4k7rE7eTmM7BVYHauSyYQbZru0co8xR
toel7njms2KfmfT8WAGBwn62Jt69VnLJC4ygof5gG3rpl5XxkQ5fEyLAZox0ce2GmcvUieUGs/Hn
ZKrfSUHDY86YTstfc9RhDBgRPnPL/pZ6NNyZaDajSfugcvOjjE0XPl14FA1jJllGqIrosPVMFZil
+0rrxJ6cosG7CW4elo0gGa34YGC2ILGUBthaB99d7JdWGbigXdrxqNS3KkICjlS6M4epQwce9UOd
U0othHB1XAGbZURC5E06Wtxz+Gm0LZF41naSCkkz95BhF6qX3gq61vzqmTZ4wvycaC03i94FFPD5
/YBGyrhCUeMv0VHVOlIXZiBaLjP2UapQ6ScujNaUG3eSmNDLN9OM3iyNQy1t3uGDEn8yFHl6VbyG
2sKFr5l0e4OB394VNPf1cHL09KuPw/zEjpkfdHZv7uIkRyyzQA9U99R5brNvEbIT9nX75uSiT1oI
Q+rHbCliE5zoMp9exxmPkvEVy/4Xj7nYOilyeJpEzUeNl9mYwpBmq2u3JOX23pTKx9wqt1q87JIB
WMhS7xkpQe3s3CjgB/2QDsMLU3rvHsdVm6ztNhYtQ/udTnhw+vpEcoftq5t1pGB37RH17btbIzJL
g754aOZATbzwdJowHTUwloO1c2xqJI7KHMpX1lhXU1IWWDlxywVxaEeP+xHOPZy4/gPu8hTgDkQC
kUDHwon+mvIOsF6Uujvmv9w0QIAgfQTwTattJyuuDhUyTNSsS5aOPLSNkWyTLt5aLiKJmumsvNh6
XjyVn1wxvQ9unARRVp3Q0/JtU2DiaBTquWPvunC2ry3DrTNSz1Zh1gqEEDjlur2uj/UVEhfTsWG7
xLipnRwHWdMtra8EZ42M89dEoZyASzphttjYes7sbSpBBEkCWWF8WGjifZ1615gGutUURoOnXDwD
C2w2YhlHreVV31VcSFqCSOCZNkIYg1zfGas7YSIVUBNNfm/E14ycT2CqT4M9W6uDriDxJLJtVCHC
2/VMJyTip8Y29kx2w51qSC70lIyJXgi6+m5vVYX0MyNj8i/f63gEpofP2zQxNhOZPDL3IDexrElU
+7lsrcqXbn6Ea0Uk0ofs1/ggA78GPPHe+D2ku/B0pziKwn424srDiiEQVSk+upB4NsOC+rOhxZ+T
b73ejkHjzi1TXF6IEceJrihOlYudQxtnH8xlUMQWFwCUhE0o8PeHROpDiT7vuNSlQ4WyPi4CqMRY
zTRfFJ9AQvjfcRowSVObjLmcD9YIWaCP+Y4uHVs3m48oIzjt7IjGeXgvsE9WMsye2io/jLIfAq0N
qXxq9zghANDIe5RqwLA40rL9kH/UrK7bpKHxPZJmcfJWbXCVUex2JtkxNhXmLtdkQkr8qjZ0BL3q
ChSHSAQ82K3rZBua3WbrwAHb8rgf3VJLiFmqxI+X4qI6afhMwjdDCzm0p5XyqwKlDR0wnrLcd+G6
BHPFd3IcHgMCJJLzTj5pZH29ljvWne5KO8IapCOU9zhbknQhSdpPP4swnw5eMdS+VTHN76x3jBd4
Np0huyLeQNowK95kRVP5PYO5okcnH+223Hqy/JmSQNcbV4diMIOXwtM6JDz57jo1wiFQXvGRbxtz
bvjXWYlqR5afRjriL+Xj4CXv4+pPttzHxdAqQnB73FGPXmSFj3ZuMsnOl6uduZdu0vxKl9XZltoK
BGt+5964+KSTeUM5S3EuINoUUYkk7Gk/IkCn+wa40sYjFkwqEulZJctZRuGTboDmEwDLprnRqP+d
BDUoXFGJggKiDiGfehQRunNirlltcI5vFi8bjiM0FxmjobWRi5l5Ka2NU3xO8AKCENo7jZDeQddN
NoUWomsSOSmwuu9namBJnQxvoiVrCa+mV4Z7GcKa2YXDq0i2LxhwzsKO7O2ygAkDeOgcKhBhvG7c
0zx0K6hl3nhp9Vg3sb3VSkrtqDc+bIMIefrkDpq2o8SRO065Tasg4A6mvp2metmtFjh3dl+5j6sj
MSkIDI3JmM5rzwsngtlTBItITsckyfZqnr9o5fLNYvOqpTvRtG66eOV8JsZrB42aA6ulB1FKdkHB
HdyTijrNStx5Xd3sMlW+mI19NU13uWtHKE6RN2Y+GuSxSGOQ6Npc+BQm4IbQPaLefBriBlJGLbMd
zoDel865seJ5g8MwsEvTOpFd5K0wZWHgjtPBUuOnPhQYMeuqwsNk3yM5Um+iGWyLSWwD5tnLZWHQ
tmSFuaMMxjsBUaW3U/OwvOal/jGSCHoO14jIlH3GXl7cAz67a7OfUz4+IFWoS20jIQG5JyQ15URs
EHUw35wqwNm7RjoWmnn8LQV7w8Tw+wgSE4ttRwyciG2AHfM3AzWJ4BHfW3IK93ZvRtBqxKuWetcs
La7CDGscnLq2xdf8GBH8SdKkPVsFWmmuizc16r47g1ope/U1JF2xwxqicUnwS3Xf4c7gSDHxU6v2
o8yY9HSc0YvNSzjJadI98M0R76VDs7oa7cXEsIBYPXRVYDTzS+fqNr0EdUlW0geEde7HhBiMQuLG
UR1SIgGuKJIVrMHlJYxi4LwgFeHPxr0O7rZGkXSJ7FgR8gyOvd1IEJ4bKKF9jkgQ5F9W6Tk+Tq4P
rar6bbiInQRjRUMcvZCcxVme5xY3PmlxXQWkvFog+SObh3YR9lQ3ZtAgnE7fy4TAQOieGLzt8tW8
PzPo6OPxUVQa+UDdxDgSec7JrJ5aEDFOv88cTGh4Lz68TGkbd2kssov6tlQ403VTrE7g9JJSUbm2
uTOn33mG/msMz3rUMhDm5Tw1LU2VbkaPma2jP9znWjrvkeIuOsaXjfC0eptgiN0V3VPtljPqX5Js
RGifiDKHO0ITm3AQ5aESckcmxT5YSxQwoLG2ZqEjAJhzINe72x4KdXF1uv3J1oIqBc/twOfHTzhC
k5kLrQgMzcm28eRsKppeJmdYPNQnjMM1INtXgTeTa6Hg3JOCGyN49HNySvIeTA0TZFct+c45QeTp
zo3U3wQyI2TLCIsP1aAiO3Yhyfbm2VRGHCE7zyPP3wr05lZVj1OvrmNrYGenfKgRobAAx9cijL1t
RNcOvwEZY7rvS4Cp2hoiQdBvNtbkaAdNiQ+1+CJ5HhHfI74Y5RtNvyoEsFmalY4qK580dRehOZ4m
vX4yo2KvSJJy4LXeear6ByF62lOz7olSO98ppxvcJ5cmI7Nh5xl8BBDF1wZr66ad1Z1WD/IUWRbJ
bLu/1mTfdk76YGgPQsbQHnV0NrNzDya102aptYiG0dWJuAEDllM98z1cb3fjXFT6iFWrjaMHQr5y
gyUDl58HgWIN9kEK4unAFYc1Cb7OxAvOnBZQvTEoskpG/f0Nx1VmirsrZ/aJguc1ZPahINtnRzM1
hBiNBghzr9k49sE1i2hTSkftaZ5wWTpYOQuG/YguLzdfqCg5uiAJWXvw5/hSYu8c46T3IxziDPCR
9G7/jOowO+MCdje3fPeqXa285T4deRkuHYm6BOszXrVX7EkAaMG7doSnEAVhyPMoUpklaUCoKuV8
9qKXqnXXykV9TiCGLM3d69S5j9xb3SMebAORLea+LETr3x4IU45IrgtWQKyvcCIxrGfYmu1humaJ
GywYpI4tjtfXriRmt9TWZpJQK6qQmGUUQzeIsfK+AlChH1j0J6XKJ28AaWZoyr/9n4WsSFm0nbqE
Vepyc2TEMlVcvijvB25mCs+p6vY36gB1c7IFeCKDmC8R5H+omhnPNJ753lZRi9fRIHKdsuXk9ozZ
STWdIPI/yGmcLzdLKqwSy7+h5EYsECzxMKMdWccCWFKP8I3P9x6YhHVPnL3dhlBZiArNCU5HgZ9S
GanhG438+Qe/Vli99WJTMq9SLpUO1TzJYsJliKUDaBXPISvWYCkDVbumaG4fygWRJ+7NvRjah4VZ
yvPk7buJofOYltoB6vZRZwnJU8UQ2GdRBTNMjViwXTrX29cPORYBz3Te5ERmMcKHZGr53qHGUUjs
wY0c48wwjcZqgtUOsOj22yq5hDBNKv43xkT4cFbpK2FOSGFxhsn0xu/VFUFMUBzkcbmoqUlzuU2R
vw7UU19lRQ0B04OrrFLzPtLYaxG5Mr2MKn8Zu3okxOp1JOwI4mQOIT/ePCYXWEdorm1eOCO/W52u
H+WEiQobiPfSlcd2jdkNwLNvu1EKVrsE2RCFFEig2BFp6k1dODPm6ewq9G7aWoQfzlblgKedp9BP
es7HET+cpir5a8pNkm7ouwMoq7ngVsoJCm+FKL9WAsi5XnONBHDgRixzikc0nq6AxfdxVyd3uBRx
n8bw+O0lz55Gy93NqYBztDjP4hai7IrmvuSzrsWVW4UlRB9j8R1dtp9DiEaMWyF+LMVkYrPiqUtt
xi1T0i/fppSKrxgfyljVrzN0Kh6kKbpm5Tdk4fE6rsD83ChDbLDDwzQ633XTooMZprrwhz8MkU4U
lzqc54e0ocxul4jQTTGfibt3j61FsXijJ4nYHrDqVThr8yLaWSVmK44e+1wsvzT+PJhJSxLQ5dWF
hePZgQSwjWOvejOqahuGqnowjKyCK19wIfXKgSyTrhF3cqp47BhjW7V70LQIy+w66TZkb5IYHecH
WPyMM8jV3/AwicJOZcfpVeSpEn5xI7Jw+yZn7GrtxWCy4Cfgx7Ztr/9AbSpOc2xOLF+pX2+AdWdO
QD7mpnXXhs3C3eU8aLLkHDBFfp671g9LxJt5jrE/dqlFMGwUSKZKRw3/3g4T/WM6wKWBBTTiTNwk
YMd2eQ6ImRzcKXNY61B5Xr6zBEDoyIpb34q89CRLSuKeA/jBZF68ZqBvDyrWhKCu04Vf0MHySa7h
FktsYxgHJnqzX/EGPLjzqA44cQva5NUpaBXzpUOrildYVwQpS5jO/biGdUGTx7vQJO08OpoR6HlM
o70+JWHcEVjPUOX5d2RDGNzeaVrs7coVj0kUREx2fS1Jiu+GNmSSPI+nypJic2P1Uth5m3Icyyct
bZ1d2eHL+5+vjnT9E9yBc98OjD1onvNDbsY/sJofM2LvyVS1ewsVMpgqAQ4eGPgdf7DLvOZ8w1U3
67qJMkGwKcpjosu3Ku53NzxXa+GwvxHppqLAGdEv67kRP0+l0W48KDi3A5FAJeiLMt/ZXY51oKb9
YS0FTXLlolkR8Byn6A9KrSqCplD65XbZVon1Uw6xguSRjpd+/TDoZKCgcYtD2t0zGrlwSa/n+39/
KNzvjlHp9/VYPY1oCdRL/JVlhz/rEaTQ7bPFTEuK93HYDQc6gvmbGbotaeseO0LNi0DOlvmklV3Q
9K36KHtqXMyE5jWqiuSCh4G/UAgaEtMadc9bL7AguNP8TRpnW8XesXSG0F+iIv2WDw6jWlujs2ht
gSixrmjJ1U8Vuub3xGkuSv82NWHyBdEGH4dAov5DDeoqCU8t/Ir0mLCFTQKA7TZvmgZDHCvKdzRe
5TSkapop2okMF4CF1fDGkOkxCGwEyrppN8OKdzRe5SzesqIwr23ydjtow9DLIal135w21X3OFO9+
qkN+iDJ6gKYonwwwFmNmBRB2ufTHprxiKnuESa9tLTPil1vpnZoIP0YiICcSj+GhBOkX3NAJKhof
pjXklqZzfZw1J34tZ+9pBsJ+NzcieR0SgcrmpADd17801zyc5Ebvp4ZSfeHg7qWWnl3c5tdqymq0
N1L9Swe8WVPgRutQ4Kh1WJvS5+20H9Mxe+xqDuPOQtGduemO6Syf/rDR0hECQBSteJV8j0UEGneI
RJA06j5picprAr/BundjKfXznwu/cZWHs51hFUE/redHmUydVLTY/XlyyEtVNMU8134GZCIvHVLb
oCG7cnhNER1xuU3aeYpJrOD97S6RBUsyya6380SLygkanWORWAFBqFGFbAreKIcboH2ZveWITkHj
MDBidLIm+QRn8OhwYl0aQoMbvW/do65nTTCODnQUYudBVLXTtcl/3yqcgnuN9hXukzH2zi7LRXb+
c79XmTM/VG79pizpod9yGsUWwUAMH01gpuKpZvvOnWuk1lPK7HWxa1aR6NZMWRoZiDXD0fZapjW9
GZJlmB20xzk88qJs/cELcz8hYLJleHzScVTd92HFXHwFnjNLch///AiYCjX8Pqo+mE5Uv8+YA1ez
HViXrq5PWrruVMHlerJj6y3UwnwvEuaOeANg4sEVqnHaH7yuTQ9csQhPwIx4LNcvYtXKA5tj1iUL
1aOtEUQrshBjCcc/OWK8VG3x04JG0HdD9RK1+hULoI0GZPMZBbyvkYx/KUd6Ky21iLnV3SW1y+ae
1Bs9A28HzpL5GxlvOGzr7+SQqhqURrNG3H2HWiAudWVvR0NvLzduzCDrv5A+f5BkppHqG2uMCj8f
cTEz4Wd8IxuUvZrVNLH1s2MkwNsquEF+MyZCZm9ajyqqwRYU8ojN5y7N49q/YWSESq2HSMW4XnH6
4XX/DVCEdwf/Mcp4T2oaTEUr728/ikBkr/eK3BrHaqgF8UAwFzkJ91mnz9+HmNlt0XX3pHDksze+
QjrYL3ka/4jySvmZJdAnE9vbZTrzFPg1+xsmdVBJsRsy86EaWLrnrGsHBPnIhgA2MNR0jcv/1bIQ
n1EEQCvm5s7kHG8A49upL2Nq5SZyjgInElnKBBRPA/MYXCCAx45y8ta31cowfMwSGMfXTg0zVRR0
eVLt18URhB+S3zpIvwr//24qKGnx+JkHUsg421fwvgpH65iOijyUY2M/bPopUDbDaHXjDog0P44Z
FEU8Z0nQWV5KX0KJbK9ZY0gDDDSa6bPTMbWUmeGzNIlVOGUI5eTPf2okQ9Bf2q2oGvlmuiyF8dJE
HnA4yDflxsxdjfKj7JzsUoKw4jQaqs1Q2uZWrAhMSWDpHCbNz8ki+3SjTc4tPhZ97uH/Vq7zPHe9
t23b3+xlJJJq5HyoDcaEIGp9pMeRIY7CS0vQb+cWVnrUwvBFQhy6bzl7mnVbDHZU/qlCd6lG3fuz
hYrHhxIdM0hCaD11pLWbqRCxa1HpjCFOoltLULuOfmTliLb0WEzHSTyVoYWSmjWfdTNrjOHhckhw
mpuWK+d2Vt5OTU7PuhwMRsJnMGqVTyPI9rcRypRbIRzcfqpcxGdMvdG2rwFlSwdW0qiZHqwr46CL
6LdCNt7lc8Fw9bbZZ7xgRCkOHnae/ezZl6Tuk5eiv1DR1996q6D+ae3kBSCI8+fcsXgBrF/Zr1GP
ZIm6nVt5ls/b1tm1bleeaq3k7WSbzxY4lKZnL5YTtz9JZV6Ezqw8Ich9P4bub0JnBkKc/buEVPjQ
2ep9SaxhB4URaSC0wpeKNZ8qtvcLRhYfZ/RwX/XaYQKjBwCcSSizI5KeeQL3OqIhK+IQq/YASm4t
4LWedSS3QyXSXW4L2W956y53kbEwSOQkGx1e3Sqe92VDUTXbhJ5ljOJblvZRYZC5WN70EbHw7uzI
xT1zRmYQYJh55ZyxzzXnWVgs40tn0KS6ufXGsZX+SvLh0SoKF29IdGKyNm9rVP3DXIv2zuVlu8la
RmdTNTjb222/DrmR2ebL7Wee++fSneoH0TZo04K64LblxIR9f1x6/Xi7zOQan24tnbcxW8sM1rSs
O0hufzo30Xe2xSjwjt7IA+K4QRK1T5UYDZ5l1zvJfHy0cuPQrGutmtp47EaNEICtTolBFtxdLiBL
hgD3afEyh/MCKIIKKqf9kytcBMKRyWRRAQCBuPgkoLOeeMPgi1oGanSTvStSV+3j//xFlofywEY1
ZMkmfghXSWHOw9/YxeSOwPVP5FVz146VzNlrApNSktT1ncJ1T7SUPxR2G0bjnF2ambGqqg5x+61V
RVy6JzsBuzAK59Es02fycD28mchdw2IcJ50db9lLyxiMYCsCsmr9Us+P8dSxU27Iw+vgYS9q3Kx+
6CNGsgaXRu9PdWduSX9+w1sJYprIti/N5veCAeGY4w3k3opcOrl4e1uHUnga0192VR2XlGgk92O0
l6wHuNalosxhmkEkAVJ6HcbY5aadXk3zQWtY8bay2u7jtrj/gySWlrcb4owla4Bg1wY6a5EG4fzg
ZFpXrULbide0Ao01qCumKik7lJrm1c7mFBEORUQT6YkHBhrFQJb19kdzOLxK6DS+LAT7uRw65M5L
PhpV7vMifx8Ycd5pnfzIbHTBOuXcL8Uz3sDxVSoAcdWwEkVvBwmS9V3RowrrlbRfslS/JjFc/76U
UMCLsTj+e823T9AuxSb2moZ6vzDhrUOk/nfdiEsH/Udy3Vv3lSR6ruUnwaYHxNfobYokYsSybSiD
JsKFCSsGcFQ3v0H/JEtyxO1yQIH+0L3VxdoC5u9mCJiNu4lNtIeRzUeN2b2xAJLhZEyiD8f4Q9db
z5gpAyJTXAep8TxO3mdt2EFZAftZqlrzs0g+dHV/MaB7IKzzU1jpISfAGVUKXp0jiw3jxJ/Yhl5Z
GMhDvi4pckt5NJ10pd9YmGiz8Ske+o2ncw+nYftMpweQiFEukeXeq5gYEEmv8eC0SY8SMgca+Wk8
yGOYETWPWR4EvlS4jBsbk7HSwrICqxBBJHCaY6fUTJ3VXy6PKas9D2X7/1hwavx9wamhS1Pogoml
JWwh/r5Ltmyb2uuntEFqrrYjGtTdvH7I3IesowZvrLlmosQHR9R8sJ2/Pr39WdSzjlL38Ka0mNOv
SKonM2ogD2hlzpoFUycPJKX5+OdDTclZjfQi/7auuf5rA/fDn2USf9ZJ/6zquU1Q8P726X8egqfg
9hX//Bd/vsE/P+UL/vqG6+Lsf/kk+PsO7/9lS/fTVzfk/f/yl/+ywvtf1pf/3yu8EQlvv9vP6T/+
2gL+Lyu8/88naNrln2vc193Yt6/4a4e39Q9GK47h0arahqGzSWP8ui33Nv/BE0g+gSygDSDXZInN
f6/wNv7Bnxs6Uyns7JwS7K9dF0Cv273FP2w2RXsuzkGXvItu//+s8PacdfPKn+fmtsPbEDZ0TGF7
0jUNk41bf9uUy1XuVprTEwWK+1PUsP+X3VNPOntIGF6INCAR5WzBYh/supPbZsC2Z9nZztazImBh
lLZjxSaaLCNhcrdGIFRcn8D2/sRLF7+U3Owyt14jG/RVU0b9QRMtFpoaCjTfKfKRAajoWLsLADE+
sN4a52LBxp7cIdbVvcUmUL5elzrWzPEppcnaMCzeNLF1rIlpbkK25mDeZyhdRfYRq9BqJwQ3V+OF
CeH7yrbZDmMFbgb7eDZMjMdCAcR5HcE1m+GeZP42Kq1zxXqNuMB6NBI6woDB79Jiyl490uDqw2E6
pkuEj79Nf2njQC6w6uU+dQeyKL1F/Phh6q0U+ws16hTan4ZqoNOkRL7HyaHDMU9CxFu7Mp7iJUXa
MuyLAyzwiGjpbCwt2rMPk7xivQRLBoRKc6k3o8I7Teq9yz0EOezeU4TpReJkoif4SjKt9xOIwD4F
31WvT0viHCVwteQd5BhbYhicxg059Dpvr7lnvygEjDCsx40HBtdhkcmmH413lloa26rjcfHGCY/u
YsGC7ImpGLUmts2PWbef4hqDw+RaX7pJOsJ5cSrCmtn0Ormq8g26KwZMRUlmx7qWiAA8j/pHrxZG
dynBcMmg0e4sY0O4cNeLBrNeoR4jYj6bKpn2AMMo+qz8ClvD5ar7DS7xB/T+FzzlMKkeR1FWu3YG
nlheNG3d417r1KAtdbrWQsG03K8pd2zWtzHfz+Kh2XZXZOr7Loseez3+NVv2R8v8WfQDoEInqZip
2uMjij3G/Wis35j29psFM+Opn1m/07d1QhgHKXjG384S4TlLXoSEXMcGHr+FHynlXG0S6R262PO2
zCieqVbeiz6/iibdSnJBpFTqC8woOI04Bblh12UqIDBaV3xG5Rz7bozjdWY57KmLmxdr0L4y1h+/
eWl8btLojU2MGZ1hNKAE6TsZ1YeyHqlxapakekTQefUvv7oyoimAITe2v/rFvM7aAFSa94nbGWy4
AW7bW1BvjToBxNLgsC/6yQhkf2wSZKPGdX8sY+4yrFNB2ktFOCC5zvNCyVp1DaFue0se4NALkF1w
s092v7wziHqhcvDtYvTrmGsWCDr3o+/q1tmp1NP6uZY2+9Vt6GXthE0RczelYW6CD5mtty4PABME
EkGPIL5OILzaOzFNMe44Fo5Ta4XrbCIG4UWobbLPbIy7nzvdT0zaIFn1pyEhCMNeZ0I5IBp2wiQi
xPa6T30ui1fVNP3Z6K2T7MoPLX2ZKsLuTgZDH1E5PUaS2GmB0isd9yWLywuLDZ/aJL3zrHYL8ODZ
cdF2cbgOYdNs8YwALiwEZNmxU1s5YjubbJD061eTcaX6xHLFnWkGlZvd4Sk903oGdV+8yAx7iFjm
Y5jeLYQ1zPRHx1zeSv6LvPNYjl3Ztuu/qC3cgEkkgIY65Q1ZdEXbQZCbJICET3h8vQb2vYpnIqSI
15TU3OfQFKuAxDJzjnkaclb+g3sCWsHZipM+zBjytBDKGwuRYJ+7hwyeH+OTF1fWKQkP8QzbMU03
+E3P+A76rYjG+KVUA6dJ5EPu4SGyKcKgeeuBbUUZDXj7WiVBe+4mTOQcK3escC9DpvfFPDzOFhNr
YyJzueAva7JsFenQeps1wQCYUIeVy7D8JuCCQXHieds0j96Ywh6nmANXiNdYOTTynZHfqo4Ijijm
5GDcWuJ7L2A3DBxAKGPTjRw0pDp3Ok9uQHzZAmrh+vSiyXorXfumUh7rHsyHQ80To7RLfJGSfb4f
h5TmNrEYrahXVWtIgs5IVjRyZ6PqTK3ISD5rNZlrb6J0jmpCfiWeqHqPUOYyVeNj1RtbPTgmgoSY
DdjYHDts/6QX3kbKIXlFpb8eonHtOMtOF+mNdjezgfydJsFY5Q7CPPJwwRXTyUYW/2pa3q2Y+Euc
JOeyC6C+lZgAUNjBQ9r+fU/dFBMqq7s2n36VxBngHtyif/UT0PxFdFeE97oyTiZ8gA3QVMrfvxQB
8si5dDsSQZt426XptNAYeLyCJ0SO/ye2MWv2ojkWTcV8oJfWRjY4kguoI5YaPXBzsbNS7kSYY4EA
zWjvNBaOlVis/tVE2tPUM09LVoGoD840fdoJAcylg3czMINvrduvtEbbYAZoLTu7ufMFqBiDRZdf
1Zs0V/elfSMpvv0WWFtsHhMNp6e0YKsPs/GOzZP3jUPN5BUxWWeEpG12mRFi684n4rO60MylxAjT
XKNnjYIIcT0VdoakrwT7koVPBSy0aqpzMmyhfCyRHZNRQswuslsulD99H3erOClQl6Vsp535MfDU
j+81iwVxwAzlTkeBHwCPT4exCILrShlEDfZJdQ/9mGq9LXaBsrZA4Jj1tfVtWZrnPPWIEsCIXuIK
rKT6jOZij0sc0bnO35CN35o+7tGuyvKdP6vdrOTwTKTsptXqPceUtvP6Ol6peJmfMt2B0bxWzBdI
G+wB6XH90xpbRNlbEAs2DJcdvOvTi3bNDdKncF9jtQ8lIieKrpiPGxEsKr8mUjeof/aNBdGLTWrj
oVYyy/mlbhhPIEFETZLyRk9xcRvC+J0GwjAivgbce4tMNN/ldnCJHWdYx6o85yav00e8SHDPGW5w
gvgmdmyXY3n+9ufh2Z5ArpgssJu+OTSQKjZyQtaRCptQS5Z4yJN5ExycppkrDfga/O6yImSs7EEt
0Z2vqxZ3PbfiGlwzTaz86GyE+0PLXrohJKC+8M927ZlrfO0LmDs79z46oRpNwC7F4L3xRvuqdYpn
rnKvfivORFNxbSUE0PZsl8f6tajGlYuyzAHLDhTwznDN3yKh1cIxvJqWaLVTUi9aaG3+Au9y2XOX
49aoKQYRFaN69HF9tCbPbaW0xdZ9zXzyVM9q3Bmxnx40dRzLn6rjFmBnaR2asEI55xT0jYAplnrP
TInMUCEXJZ6SYxr6j10z3FkRBWqbeWoXJoibE0duiQVx0XyleqNlEV7CyfguPQC3eQYTnQTbfckm
e14YYYH15Ji/aW1BCC5Rg7ADXkkjafd+u3LovjesBXkUAB2Fu6DwSDrPsG8kHkYMrepaeLZ7dkvx
01FR8ZxUk6e35C5wJznlZrT50JPaf7YLbJaGuK+hU3KYxRfmCvOWSJqbNvOhMgpEdUNXn6o6ugdw
RPY04z+m8/Y2M4b72E291eQP0ybrnQ5lkYFch6uCNO9fIu6/mglAqhtxKuYs18HisbkynGNfVy/U
fA+BGzu3geGTw9FeppiiMw/UfNvh8efjSge6h0lof9OkgB9tTCoza7kd0EFvXbFn4Wfh3RI8RBuP
DJkhje/GNmz3KKRWqQ20V8xlj87Rf9ZskvaJgWqxyZr7Fi18cmsPXnNoE8b7aHROQ88N6PkjZ23E
zCKKurfAqUk5DzhAxhnkqIEYznJgoOus37DmeP17b6SN/m48F3gaK4EtZOrLiAt2CvOXNBGPtt/a
0JCb9QjldvJvIzLMJsRaFk8tE50i84Qc8w+xGEvWe2H1497u94nK7pwEnKmTOd8HWp8p/2oCJh+O
li86DeX9jE5o1FixFR+PFbTJlukjaWDkDqwIwel3sw0iTkWcpW1EAZ2nbCQL41R2zmvhORQVgtqL
rVi3kjkXR5r7cGlj+4G6u94oW2CEZlahzHBZWRT91rDVxu7Q/fZpzEBgEf+kxk2pQ0Y6DbVHCrHH
0DrcKRzGMSB07MzmrrTqVzmmPCVkvZf9bx8phtM+xucOSCQyoG0mhi98LAzMrUXjJM075SNCi/sw
vs+bs/Tqq5WzVAapDxJxRoRVt5uYxbXtEV0V5bfpHNQvtiXgjPgbw+rP5GbPHODOQ8mLPEaDgSzN
X6OCstbYMdFJiFfXAVSTDDQkiBKQJBYPuvHEtTU+MiOWbCNSFrL91K4FVlAL+VQCs6sbkXFhgW0f
ZEmkUpwm31mGvi578eryQRWRterN7MYPjRekWkhIpYGF0qu8HVrrirF2wRMOFGEc1jTHRfFC2NmV
34denllzM05HUk/hj7AlwUmkuWQXvGk6IWVxhoACzR92KSsWAL0oLrP0AAaICVVJYQAnn9sfPghF
a7GF5FIA9kB0G7Y9RuvBf/GHpj36Sal3zLN4WUUjflxSd7dTLjjapnhTOT5QvLhkBl9fA2wFM3xR
ZmXDqgRNgRs4OfRAf9dThl6I9ildx61/z4q0gpcJucRnDj/0+yID+NGnHwQdvjQeoCaE9yLJruSQ
gxOCYEt6YLGmQ8caj+0daNeph+a0TxOXgNdEhdzvrrFC5zfDb+EVVKb7IaebJHc4vDKfThocDMVR
ywpLHQZsrEQZxMTdcaZhboVOm1Q/qkH0UPQFzme7/SKcmXPIy+60XV55XP9zvvZfGk7tf8rLZ/7T
/F8woLJM22KuxPjtfzOiYhSTJZ/GY5l/RsXnv59t/etb/zWrsv/huYyqAmE7/ETPY+z4z2FV8A8G
0cykfJIAbVPwXf82rHL/YQmsPp5J3LLwbPnvhlXOPzyH4ZIHmcG1AkaW/5VhleUHS1DUf5hWCT+Q
ro8b32LL7nn/KUiqCcremAe0jG1t7zLf+uMPScFWNUM7XnoXHGUU51WCSWAIVyXzFWKRSXdLXDvb
lAbgr2ZpYWtBu4XOwluqnXfZUyaR8Iac2T/gvGLIwN2QDm+zTO6NAnpnWfeHqLdvmrC+U4BSWJ33
v5mViRX3jiuqLa/02pYmivj8wxnVo46woVuuRzMMMWg09Ystp/cYxlzCPMhm3o+5afyZJvrRpXfU
tYUEu73JMQjtCUHMkLI5AJIiQDWNQaJ9X64078cK7dMyHHjSpfuBQOJToitaARtal6l4iewBtoBd
r/JqPqdh/xPqs83iiOAX5i10k2ds+RnG64nOgcKSBEVEoR4L3LESO12K5/8v5/ahpwGwIZ+iIUOa
xBoSbukqRNs/MQ0HuoCZOSDHZwo8ElGa+HtAYRmCdy9St7olYVShQmaHHww+MNJQblM3erBThn05
PopSIP8N4oSF2QDdKHrWj3pfrVvtgLtKacpCHL5MC5lYCR1TivY8wSyqeJwpVkRVmjDKkL7aDrKi
A3DfWKNllOrEVs+5ZKSR7NnprBrSKmKXfMK5fkay8IGwfbklaNFCUFPUNfBD7hrf+h0rkjnagFxp
k4cvJv+RUk/hASunZyUPOoIFlBjYUlLxU0+SFFt4LyMKS9KwHkQTHAKnpDk2Lmnt5KvcOpk2zB3A
o0lRfJREq2+HdEGPargkZbNlSInx23SB+UmEtjTKm9xr7XXjy5vapEFNu45sAp9SbJrgbiTe4zQ6
r5w33aZpsKlCPdZHQdxL6bXBCX0YmsuRXqNVNRlE9fLopcgK6u59codn6K09nq282vghch2kVOk2
pw1bt68sXqutaS6wkK69WK2LEj2mNQwKk8iKlBIdmQSH4tNoOua+Mokgd/iOGIzKaoTVtIHf8Nzo
9qeadbpLkwpYlendoLXQK3fZxPoweiwwZNtkYIwVxgR9+g9h4I3bWaEOZh56TRH/rxyDzHsWdECy
xmGTU87ZbJboKCpSI4bsSHzpBSGB2Dk22sYeA3MYHdpZ2gefFSTzYtqusJSHrLCSg625Gng/cASy
oZkbxo5+O/HxTdFjpCJ8FvxIWoBm2MB3Eq3090U48f5XCVVQbBJdKkKWXGrXt0/o+EjeKw13HVTQ
rRyfzbo/91AOY0it1aOYe3/Tzi6mAPMGMCljCwfLgHTXoOk/87Jbez3mxDrlJ9SsAstkIqtxLhMI
GXhiyNEDDsYbxOgYxqntHf/+bjcghRFtAO1tCXxNMV+ZoSKHZdSt+M/uukraY7fvDXEpIq9HbWJ/
8Tal0rtwF0hIKb1Y49/t4t/W8BuWiFzY1bI6lZ/wsMyVtByq7La7h2vBqFMSVcCg9nMB89s2705X
xgGlOheGRtJVGl9QFscGR/TfLx2m8dFYUhu4GKfs1zLaV6Jh/gQYZNkDxL9V9h5xo61ysAlc37SN
QRSaOBbyj9m+j0bzc6q8QzpzqaZT9GyDbupBqCQZX+4P6g+ZrY9OWVxwFtxD9FjHngNTG/srmSoI
nrtXAppv4rq4JBZmVjv7M1fJbzGDN20xRy8eIGm99f6OP442wUNuhqxjh2/g25qZG+u6qLauH93N
My2+HOCvNXl+I4tvR0PBSwMgyV76p5q4ZgdQ1DEXeiQJbEKkI0fLpE9ljt8NL7lV/cm0t1iO+wOO
jydGMnlTH8V4ccoBSy8z4Nhmu4NtRiJyrYjX8zMmieztYyBhBSaVGAHxbH0Jt4XePdgcjGP15qXp
1TQW95eF5yCQDW4Z3QTbKNyWmQIWDFB0w/lLlhuejSkmlqcnSaltTpPp3ZMztalGg7i6XC6uO5KJ
F+avJQQkopA9UzH3Wxl5ZLw8+H7z3MiWZX9CWF7pdAHAreCSiHsraua9iA6T4xU3cflgm8GABJj1
UNzcAg6DXhBHF2eAHRAy0dq5ghgHKWln5/xPHbtqW/l6EzvigpeWaFfmGc597Qi5Syt7Z9qEcPuW
QBAfLzL4sgKpmVPQu22/cRIvw5EvqHltdKNWfp6wMqya+RVbzs9Eyu+a6QLjRouktnRIP2rj6DT5
rRNHT0OuEkaB1BTkc9/VqbxxpPxpbcIFkJbBze6gDQ5R9iYQta7Iv+7PRreLi4NsvWHTNvPSw9LI
cSH0bSY3yhSHoXiu2p/cD4MDakzrtm+fZy8iNVRiKwlHRktu6p6KiacR8aclkZ5TvCcgdeXW2WdR
B/k2ftWQLNViVAcswE8t5d2UuNlmaMStHXQ7Gh1k4DXQKwQrd/iMGQCHNUAAl3mpIEZsUO9O6rhH
yK6fCeAYaPR0TCWOvEZNNxlyppVPWSfroL6FJAGGjnIJHFjE6mxf5M5NZCOQcZqDQoO+qrXjIzi3
H8I/KBcCLNqJwDVe341Rw0anUl+RRY4MHiPu8J5xhfbbTUB2pDcW68qtNbb3R2s5No7S8sgPqpET
wJmlBW/RzyLtwA4RbgpIhaD7yyMR0yagJj4zTMfuieMAYU5ebOI8fnM0+LZAfySO32xhM54tfLuB
iSYTNdzenvBfu61rrXtAdQfJk+3v/FTYLoJf2LilHtAfIX+y0TiEffadsq5jlLcHBRvfT3CYhm/l
Wjxy8edtfUJzob9UJI+av9WHsJxgJXKkYwHVKTNXf/Ceck4ZldsnBlcHPwt3rm5IfDDCm2KAsTNS
CWnULkMNsk8nsEFbeLL2VPenqFNvjH2mtTVQOg0uEwbdvvRZTaKvnXNKTavwrsWfsCaw76G0DSjM
yyybznOltNi3FVgT+ucaBCeG9mXuqfP+OsysjjzjzZGzuBA/vAV7CVhwSDvkfx16cRStqGnYT95b
cvD3MvDfEBRt9ZScrTh6NZHKr7ivXJBxqffiZxwVGB7CEoAIun7F/N14KbHlbME71LrJbuJuuPW7
MLx1JIdjIf17yxg3+H5+ccWOC+DNPLGDflLC+MwpC3lOedekJGI+VRwAYXznO3hnzBabYYsbam9U
20iGLwbPxQkCWhGZnx02jJKEHtk8Rz2WqI7wTaDWh0RFezmN10a9DJbxEkoPKEz4Ugr6+TRhX1Sb
LEYGRdIK1n8f5+WdwR1W1/ZdrRyURvyBvAiOZQSm7vhr1T1g8/nXRlVLHzPsIp/Zrd+Yn5lFCoZR
OswcIgrALnogxIHBKpbYZDF616LZkUGIlyvTLP3KzlibhNPyDGBTpJJTGQPParHLRN+VTW7DBPNi
M4zFa5Z1r6byHrIeOliEjHbVtXyUjTqCsTkXGJkJ0CVLKfZIax1juInDcINfCSb/EEPnYmyVJNlZ
fQV51J8HLlOxGUweFv0IQB4Yx2PtFj9s6rvtTzN454b/3YhwVyzM7qytvtNlVxcPFqJ8zNt9zEQU
H2UD1QBSKyepv+kzd7hE1a3pzbwZERugCjeJaUSYrJAjYv2ARKACrDbu6zgX2Nbc+pMyUB0Hnlw5
EFsO/ieW/qjp6vABc9S+tgK1dZWCt8yFLdrp02SaTZDZgqQkgLK0xC6syJKMI++tKmdvF4R/7TLI
HTQJkwL1ldsNT9lsBhtCvDteadM8kRs5JOV9FkSo93ggxdFdP9/29pW7oL+3BobxlopJkJdI+dxp
3jtsZFAB0zCyhgoNbGMjUQQAFNyCIWC8XPz6sDTEysESjZgAOLRO27Wq3oiH+W1k4m212f1JnGjR
BYAaJ5CG1W33BJM/XNUjHDwJY8f3KERmtnIRagm7ABQohluzGyjgBas21d1n1TQxDUK04LMpa8sD
JFMyS6Wzd0gS24m3oslHxLwsmYq2zmGlIVli8Noz2m4GSNcq/LRbNkl9AM4H9pZa4Jao0Ve+Q5Ob
WdV0/gsb19R9/rOMaQL+rlJCdq3acIPt7C1Dp4glRj5CHiIJ6q62AZXLyDioILzUDs7ibCJyPu45
K7FJZP0MXzfgmuUDS+8qOA0EZGD6LmjB8yZC3VhipOlydBbeN3lIz3kLqVMWJ+xhS/2cv8iw30Vu
8MgSG7VINLLbIjXR6lKsQrR2gQG4Af0Zw8ABwlSpvVNHJ7eeUlgMKMwBYJnzYxYC3LHH9rAc68Qx
fxamfC4l0z6Ybce6828loMhDU3v9zkfVBRSUW9YMTszdFDXEKMb7pgv8S+Mu8ppByyMehbUSrjjz
lm4Sa9dYhP8QLdSsqfpdxmoEVwRZ/26mznHCur0um/ZzRNwb9DeuxDYd866ws7rJiglKCfTAFbv6
o/IMwHz2NYZrsFJWau0qO18BCL62NoI51rvhjV5gKeQnjaLZsHvcq7K+km5Wx9k+nYFcZTWBNKYe
UPWokYTIHKSZNeUgqLjVjdchSV6HOeCoZ8+s23k9WTy9NFvaGODv1oxfJlW4t730mbfUDhH2cfoJ
Peac6f5JT/mH0TCgrIXHdJz58daLiUzq6Dp5sv4abXuyhfVap3BPZAFlWrLDSKTXgGbAGN7oGtVm
9xRUzCmbQl3rYQr3g4GNIUuu5QjVYWQhU4/EI7IEhLKR7yPnR4R0sE2U+duOAgYj14JnmXYjy+zS
BVrip8GJaTlbcq93vXWaxV/pdKYKBXAPwooPMbsUAFtSqfXdbATbyu53XU5lAXuDjhmKh0jFKZ2Y
QffJUt/WOVHX1U068tPtuD8oIaCD81AK8hc7Gi4QwLpN7Qz7puQrAon+PRzuMKxMu1b4HwSPnGbN
T9TMgMt06wT5H8570oK5/XEKPccVluPpt1k8h2TdE27Sg5dqoHoDekIPSPy1monKm/8E2Kg3WQC5
dJy25khgD9bBdjX4PQEnfveWGta3x1bW1UFzKlj44k4AFuNYGn73uQkwGybTQAAR01wALUThSDGi
tTK+dB+AhWMVKQtwXPHsv8O1pJh3DkmCUXvuaCNZgB1BJj60RXaeM64afBxRZ2BfCHCjxH25HXLe
gHlkG4a1BHDCPOBwrJdhf//O6Uv64dC98TF/WlJbh2rprpnPUVDvJxeOvCwkYGDto0FWlbtrW3b4
DK2TvTbaG9Sg4DVd7vqncCwp2KJvCQ9jLfwQeUN1IOFO8Kcw5oFHrsAQcZUjm1hrZbw4Y30B9Q8F
odGIfGxyZ2g403VlwEfxEqhNaR6vGSh8ZUTtbFmmA+FuP1NH1Vub5Q/TDUhjqX5vcs1AtEMpI+VD
MUwN/FGDfs3aF13zbIh2fA6c+I9O5ktIIDv2wwXgEkcIKtg6kl4Y7XqigjZ6Gg+V74L+YxjZJenG
SMmedXvgBrvaL9/hMZm4yLib2E3/VoYLptixEPkROByXYlyrxDjWof4KlqIFh8c5zJnpiAr+J83/
tx3DikkN1LFdHx8bmsGuADgRxz55xd6IRYz6rneRUZW12KQd1w8pJgnoGbQcTWff6nnb1Dzr8QGS
FIn7tSLQJLbPM/68Y+Hn2xk+5rrIMEuP4YUsLoB/oYlcq/QZX2jSMN959fTEpfESTBWbx1l8VyII
1v2LtBqCA6LRBypC0DwG7A6dYsgZaF9cIf2NStgMV0yzIOQa6zoOb0H7VoC2g7Pr2q/hSMmpsCau
ROOerKy8n43yJINyia/AHSJqAIJeeY6qccPVa5zdrn1FErBCCr5OUo5+XWhU1PNH5WmqrZgizC12
pWlHp9qnNDAO1kjx2dPSrMa5dPYiDV/clomN/RoZUONCqR7RhwTc7OCBCA6/ayxUJEU1v7DXQvrX
+3I3E+WhTKoibBB3ATt0fA/TJqC261V79jrxXo7jMxvwaN2AncQXnqIFSfPklNqVxXfNSyCAjVKf
9RM5P7CbZSK+8KewP6zYEffh99TkyI58YHdDm+0aJ0aUI5FYiLKCcsiABA5Hslb9GOI7TA+uhPfr
PTn3cllRCQWYvSmzK2OcdNNQObEegnvn5C9uOldrg7YWpuh7p9mKYqBiTwXHI14QybXoDtow3juL
yEupk33vEKhSzs5b1yUnelKY5JHa1cRdrStbXju0Hqz28RQEs3ONecpjemUxL3G+mMjBDB+PEwv3
rR2GMH1pVbWyiUQZyQIp3HCZ46BFmpwO3JRR7Fwlmf2ZsD5BqJp5/ofXovhCQPbKKUrMpxT9Afet
WzLzw5r1YXpQocnJxhg67/sS7SBGzzXjq+9QYDofAuznsjimBYnSRZgjXEAbSVp3+9uLvGHrTbJF
5fyUQDDppNR3wIN/NS89k+tkwKaLy7JrhviRn1LXoF9hAVf5gqeL1CcNCAsvttY3mHCu9jLzDtL0
MYQGfqznG52ncmXMIZGMQj2J7iVPa1YqNhqLZMQvLfkc4rJCZJLx3Md3CZlBckIFYplh1SOq+koM
22BmA2zlwZubLfM+G4PdpPdK7oIYMqpgZ1UipYKCciscy79PnOq7McQrvmZ9zFsNdn+iZAEx/uP7
NavBhoAN4V3zqL3xlz11XhKzHOOjSWT2CKajXqECEet5yv7Ek7MJHfUtUpP9qMeg+++LVgHPXIFu
zoyCao1RbRn5xVtVGWizQODS7UzPNDvIWWb7FlblcDLFbU4WzN6PVEcDa993FvFNsBeY4peb2u1/
JsOha9W8HSooXmxVI3807F/Vu49JIz/CcZlW+FcB9Z30CbRmaYiGEaIPSRnLwxPMi5/REj8XOCaR
Mi6haHn7ZUoDVoB1xcB/HszuJaioU7wUZWeKvYSCg6GiF2OLiAO6ZtbVM4noyONwmSZOEN+2pviF
tMe+J4y+cq3mbeAFHKDZRI2HzM1mtGervN90Gf2CaPfmpHkyYMR3LXPfuCSCVz4PL3/wL7mfHXQe
PsfwdDapgQEH6xIEnAKDJ/kH3VhAh4BjbfSJfyR57175jIBjI3jxFf0HEUCPRZktGVZltTFqCwnv
xIUUQTO6DE5lH4gwu60pZjtBvw77a5F72C17ilVlk7o4LZdY1YjHxrhHyLQstDKsaiZS53psLeRy
/JlNfjZanobxQttAeTvZRDyRRNYc7UJ40K6fokC3ICAleE+7hncF3BGpNn44zMGT5nhwcbGc0BKt
5pi9WtrV5sYx2eLlL44uzlL790RaoMkuOMNYNa4SMxHbshgWysR7YybGiTKCqOjA9tmA+NW5F/ah
T7yvydBq7UGeeVTXUkA8nRrQk8vVbij00jn6tjul0G82hNrNhEQYC0dX9ktcZ/pYxfoI6uVOCbCn
cW7doZqnC7fmbed6qMiifQ0Bx5Fc9GPgRGvbtX9c39uRUvJZmtPRbSuLUqi+Hzt6Kw3Sr5rSq6e5
ZWVY3bAPpL1v6KTB/YfYWMxPU5jUMcG2dim0of79qQUyDx8BSUPhROO6JkB32E3jn4aek5OtDCGa
F8bOKs5WWE8LqBvkZv1F+F+4Qei0n+wQTxc5RxGr5nVotF+VyWAfjNi2tntIs8AFTrRBiDoK54/5
taw2MFuRVCmGtZmYcn0rt1oXNFr9rBGAghwCuvKQr74D5X/F4Bt0aKJ/9lyy7ojTAqksbuyqjY5o
jMiTW/LOws7c1rPHaIq6p3UVGyx041MW0AcVkgG0j7IgJC8Wk/hjRJtIVs/wZQd2tYMlkm/7MHoj
SkCv4h6TflGT+1fLGSsBtRJuYbbFY6Bw3LN2c2+qwc5wFyQB/QhDUA8PbYbHtEQPZQ3vvcEgDiTS
a78FNZesCqMEcdm2DIsNUT/mY873zijSdcI4xEmvgyDwloXQkIGoszOqbCUl0Fhz2Hz3BvmNSiTq
JmNjRb6odXAtpHJ/8Q6dhwyPaWTI9bZOLePR9CG/ZrjEDqz1bwf5AIuYPWfEp6YYYRGVzTyCULUC
rEJYps/I897NvuhWo3I/ql78hCkRXKJGnzM3bYw8hAOkcjl/TXtiz7cUq2jt8VsG5aaX7Mi8mequ
4tzAksq6cDZWAhfyIU1IS1bLqlBRHzCqWSoKByEhHy4y4QG9xzhEl4jZNqvQguegHnZN5t1N8uhl
XLjQpys0b+u4Ghvka2JNagsoGPjPbCGyTZbcE1QcnCLfOldKWQ/W7EEvSSPrZPRX7d5rt+qIyWYF
aoRVv/6rsvh/VkdC2/9/tDrdJFGnk/8oIPnn9/xLQGL+w/TQbQTCEqa0+Vn/lI94/xC+i9PJBd60
PGL8f1OPCPxM0jFNU/g+64Dle/6X1Qn1yOKMMk33X//3v6Qecf3/7HVaVCh2IFzbR5AiTZ9fVf35
fISb2/yP/2b9dyO3gESE6RL8k/06lfMAmeTSBfVbnlF/J/ne8FMkTN5dnok9gV3M8gCR8CzEahHc
5SMrT5ucb7r0mTERminReZcwCsGQV+yq0VYeW5C+ptvcJx73fMv+1WxZ5ZmOTyqBWGmZf9qjdyF2
G6uSl/62fnToenfr5s6Dgbt+3Zc22rVa7qo4+UqM5GvM0BHadfScIhio/eRpxn4FWY/fJ2aUeeyJ
q9H7tN0KAp7Zc2KXZ1StGZFVrQ6uQ5jdto17GxKYEMXGtZDBVcCkZYrgXpmd762hBq4aQNnM6F1m
NyuZkEI1X5aIERS1xqseO9c652Q5p4I/qsppbU1m26XX3xK3+ctJcq05haeW4WdH08lQw26tD7TF
oECYtfIrGTNe2JcdWGTseDqhjwbgskqz9KWb0QbkkwJby5aSGIrV2LLErRDur+YFvFRxZEr+IS3+
ujyNdjX5pN7s3wQshgxjOGMvYEMfmc9oIZhR8cNT6T7AZmN2L7LrYAGlM8R+dvkonYo37+9HMvOm
EVizF4XxUiGcieOA53n8neilhpyJtVt+ijPkX1bngl5qsPE0g424oH2ae1ZFBvMFEfKagrh9y1SI
4zXajbJl2QKPaejiEq71fJmY6zHnmt7ACWdbqVL8BCCbO5XfQF1A2G2MxEsSQt2ZbPHRwlNRp+IV
juMdoNtHt1XXPsOaaeK42IoxhwfOHwZk/gA07GpSPGU6n3eaYA/f5RlntPYnWWXtlq2uiQ01aumy
u3bL2pP5r8MbaZffdgQOvCdYqYuSYeumrCc7r9uqDpuuQ8xxWvE7IlnxNJioAtg6XQzbQqI39HTG
+Y2qWIaNcfxbuO7FIetpKIMjSlHUpzTOdFDk4RkIu+uC3nqBbdZjyruVEBbi8ZN9r/518f/z4PKZ
KCI7hWJ9wT76VlXBixMssNKGzQOWpYm1Lv16xWR8JgzRVYhj4gEMYIUQeHn3GSozPoAklUn6lfAm
HOo/fRJc3fLdtum1a2ObS/4kll5cinr8YUa+gxZa7by6fZNpcM8NV5G5McawJ5c7ru3Sjkuu2rOs
gBTcvEejc4yN8DjbXEF/L/9GqnXIxQ1Be9cMmLr1GDB5A9FLwbcqRt7lv9fscsaUaXPb5PNtbHWn
SJZ7Zr5Yi8biV8cueY4e3qiKZQ9kTTKk3AckzWzAWS2W7oOB4RBNh3jk7j1qM7gakj0rBfRHnvPX
cL0HKzy/Oj/+/QiHmRtw+RnLl6LSMTd2E/2yKjsEWQv0pWjecsDcqyrIOSwG9ZWH+Y2Xqd+aeCd6
y6haew1bf9BvhC43m97nU+hd86FbLlTT5o41PedhmL0FtsO+Zn6LYrld5ASBRkWfWd3H1Mi7RhqX
HgPK2gymEx7K8d0hgTYj69UrXH+TeA9RWQQ7yRNchXz42HMGpgvk6KXbIYnOurQe9HNDyoUVgwMA
1fgbhM1bXb12MbyOnDhRdpG8x1TVvCTELSvpGdfls0s9aG5/P2rSjtYM2p/j/jr39H5yRJMQxFjV
1K8S/5O881iSHEmT9KvMbU8oAQwGwHBc5zQ8iAe9QIKCc46n3w+ZVTLVPbO9MnvbWZGWlqyMyCDu
AMzsV9VPKyra6tvCRhCFOIkknGlLDxlEkEtYUs6OyOcD9x/Yn3WFpF5Z8omux1Qz1s8Y3rHN1PEP
hR3NuksUQQU9LwmAf1SWvAuCuFi2VOAwJgtIPu4YD/4U9I8u8JJRD50eek1dq8i+Erijo9Hq6hWo
vbtKYV6wQ+1E5pSyMGl2S+oncDdyup2foRS3o3iwQPHn2Ao/Mp45UhUv82sD8YKfNHGvUU+IEA9E
1l8DPf1hcnyKGSas+5wjaSWZ7WNHswrnIGXlEsVhbuRHV91SZPIdrkNSqOw+2fnVGhqAiOGv2Vb7
6TQe4gaGK5+lwxpnAxfvugottCIz2RUVv51T8Ne+qX4igQnM7M8WtRpxX6OFDxiBNZWdBzXhcFPx
68grrA3at2qKF7/gKleafaM36kp5Rbdsenkn4KeAGUOwycOf3CZew5yRPbc2IqgyPsEeDf0NnE4A
a6Qd8nWRRbeVE3wIg76kX9eCZFGpZkgLDB6kAtdZkRW9Ag3bQCAGguFgeRks5lF5eKEngnUj4rFm
mLSLxt5bYk9UhcV4pYa8uXQGsYzQZgfgW/IeUOx+RDvFlEnwyyaTZWbbtsSAJHgP00R7H/g16L69
Cd2Se3IcT7yCHBk8wYa/DvLFGPPOeqH/oXhfbKosW/DBv96BXx9xos5d1q2x4+dszegQdSUZHd6x
YmRLoRGaBClM3I8DrrrON2MYibtflytsimss3sFJ2NTpFi9ab98YQUcwxXiVWUCl5MARKvgcodj/
fjsdEX38+s5DEV8DP9t5odiGurcn1n4jG66Mgawi+LEZGvbpPDiesaxhM6iuWnshnntSAgGF1jYb
iQjtuze9NfT3U9eKE4DgXaLkbQGIULM4hZUr0Ekg2vVTVUgsadmTBpgdcCWexBEQSP6d1je1bewc
o1rPV349AIhRM+3Wfe7m4IsRXeKcXAjTrAVhLAxoNa91lMy/prOfYZdQnfBgfdUAUojwdnq6612b
702HR6D2OJjhS5L/SZnywYrurJReKXvvUUeLdWjjFiSCCQQPpr0fKLwJWnrYnRMEFWSIkxhYTxh9
lUa0C5kzjpNO9VyzMLR2O7BEzgnEktGFmHvpNG8dAOCnTiFy3JXli01v4KKD3NT35gFq0MJuYK+N
QH/ZOg4D/cjAu4qx2bo4MuaPj/ob//Mqf5MN0Hm5a3SjWNdxuqxqoM9qr/oCEgUD1uTdQgwURG+C
qMUdyY85JitLMw58Jo5IEtoMj2Nz5c9w76Rce68BrSYOzk4yDXQZpTwNyrXhcvhWciXytx7if92U
a+ala+dGnSfGx7mjrduBT+2ZloQchsmjN7nYSI/vRYmG3a8llVHQA3YaiDa4utdoJGqhmvuyrtaA
2XZdBZycdKEVUWntemvE4QcPHk1c2AxyECq5tMbS2fNll6UQh7KDQVdr6/nlQ7Kg8Yy57vjgRw9m
H76W7catkr2ovF051ds8sOirh+SY8qbr5VpZ2G1aebSKEqSxOHbK2SeDTqkFdGrP2xk2dZAjF8Rk
ng0c3pBe101KVTHDVHH0KGXqCtzjwR6MwoYT9ieznWUmxKohm9245orByybHyOZ4LIrSuhnbElyr
fU5yCcKG4bZzT8zhWE/uPtK1XdtojMarrUXLRBeU6w5rZGmRTvW3ZIHnlwZNfJX28iawNZoTSDP7
8Z0PRdEaXXh5NGGMD53DOcMXZztx9uYU3dH6zZz6Tvgu1m8U2UDJc26Br3MYWxEPfSBcOy0AaN9H
80CA95MEVPU0quK9yuiYMOhmY+cZj5s4qOIzxePvurDuyZ3QUFCNa4Dj59ybi1Aoe6ACYCnydudF
3UMMzYDwCCPtKEmeGqunopHbHJ5Vt/VT2V/ifvohVsDkn8hxYK56VVHtR0GOkaT0AjR+zC3IJeZT
/pAibi57A+WIxZidNc3ZKbSYBoqY8j2io9PJgZU1WK1GAocOtwhuXF/ygGQqmaw662WU3BKfxP7Y
b6iA4J6iqYpDjZXxxcYZ0Z+zsRoHdcFe/ETOiOXcYqTQxqhUth5tGQKldIDre89zrlkFuy4w4n1j
FTfRYF/CAOfgLwMyavGKAqcffKIMscC4mxmIc5pjHBi1UeilRz1qEbbZvxK3J/mZ3iRt+syS3i4w
/2170LVkq4C3WD/MbpiDz1NGqHrpPFbeNcUAPbPtrnY+YsamNWNldsaD0/blaaAWAmq4uMTQrGZ2
3m1ksFtoiufYJi2Xp/jbypIjjEe71S1Pwn0Wkx3uKlS1Potgu9svfheeaJVvD9pEftoe+5s4yd0l
u/LolozkrVWsp659NfN62JiA7nLPv3i/NKVZXUrd5D6Y9SbzmTOFtZSd/zzOelQ/K1M4irEhb6tZ
sSpm7WpCxCpmNatE1mJcydZVY6Ipq52B8DUggNkIYYhr2pEJDvP87JhLykRthUNKDz1Wu/wgkNOk
bR7iWV8TEjEY+8KzU6gjSfZib2eE8EArLtvSatcxQp09K3ZC3Mz0JvBQbOhNKOlLGmxxoOq8oM5L
MzFG10rni6pVhG0kQXuiFSy3X1XU3NgjIU87DA3gkslCR07MkRX1WV9MERrHWXEcDBMcsNhmsxaJ
yLhvECc5zHM85OZEtMSeiD8mNDzYHyiaXGz09zIFG2e1M59oePCwbjYIoaSd98yuKN+dNVJIKl/W
rJoK3o4lyEma3LgvwrH9gBq6b8xp4DyD6joiv5azDktR1E+tU/HqzRotbZCvS8PFiYcjAYhsy0Cy
RfQyOrnrUkIis9qrQrK4GYtdRvc69xuasMAbhRsLmRi5GOba8JgjIA8+RfGN+wQ4sEbjuWtnpbmZ
NefOyF+Bex6MWY2OHZcgjPcm59EfEMxuHeviQyZIFKbfr/BNUy0z69v5rHRzgi52MbbJMxLKjUrc
gDtweMEZ/ILZ4Nemp1upB4EVAX3dG1gS5mAlM/S1kgWiS0J7nk7ePtPkwrTIChNhxUgZ5OvcQRKg
SudLA+AX5HCcnYalRSOdUZpsvXLciXjvTo5+Bf/XnIircZro8YNhF/Mxrrjq3jPpwtMN9ytPx3fp
5Z82baLFyGpV4U0QFDjy1CnkvovMVWyI8Dip5MZyzfnw4RTz97kNk32O0zYEOc2g3FWbb+UxoSV7
5K1lcU5JDFiI48p6aGMHh2tuErjPAb4zwowD2zyRAne2YadwrJfJ0qjc9SBBupgjJge3o4dai0S7
qiLoK8ytroOf3JeEkbe5dZEeubioW1rV9JG1pJ+prKM4a4KSwpirArcpXzsvpTcsL0dcMmqne9Gb
3/fs5tOv1mHxhJa4i7Kj6Yww05YedKCl3nQvOTYnIivt2kyghXTYf/y7qGLwohJrjd3idnTTu9hM
6lVudziSOQWFVUy8VwPkUiAxs2UH/yvKz8aZplVfNRegwXvBL7twhWxWlfjozJ5jWk11oYGQ0SYF
/TcKDEHM7QmhKMTS3T4loAl1N6wWpR7dkeHmsFJW+57quBCmIse9PFm1lnxzcyicbKeIdHlRtqLV
kcM98yyOjkh9MV7ILmfrVk9PnHocOkBwB1q8vRh8wpWI4MZUwO0pA7w1LP9nSvhq2O1eifr7No9p
X+8eTTp4J9rzUkq22zR7mWGa2MMutngoe5fpGa2XkxFftU7cFw2rTlZx/xWa6JdEeJxlVn5xoqTp
lfoN/I6f+C9wAsGm3s1aSUFOvSv7jeMjN6QBybWU1jc7zjdxGvcraQNsYJtGSiPgq1oZNauVTe+Y
kRbrZixuEvY0R4SD59rpH2tZP3l4KRecgCMgmdnGMTkQlrLAMdPWPf3S2WoKXUw4bf+odJ9zTkv5
YhSEGKDwk9YZJY9xTklcx+lqip1HfBp3zFRulRrew24e74dUYZtsm76UiaVpjBjOi8G+bQe1aaUP
UW8BtQPNmwLauDzFQY/4GdP+1Qa7bKIMT5MusW6LZUvSgtUGFV20xLSJ1Lrb1rpBTN/UOm1VecqO
2bDiH80ocuZSDt7KQZ+ouFCH6cnAIedyBGNHxZ2PYwXtu7nNWs5LUXRN6cVGhGM7TGENf7Bpa4Wg
mttYD43gLci7lRNDpO8skAM1GyY/cT6haIabNkqq5Tg+jL3+WDrtyAMzWdUj6+QYM0OrZHI0rOKU
kp4hIGMCGjLzOxffjiYBP/o0OKXVngc3U8/Z3FZKdvA5iPxVEaC1TH2InZBK6ZrIhlHDrrPBynuK
s6hfoZ9MkcnZF8MyonjlkdDKL6p07qQBldZgeHtwNWTyLLz4hUS9YvDBEvjEvg6CKe1RAtw/dZLH
MCHZzZeSBhs0W9II4Kb03dftuunUhUZXb+BZMXvKnEod2MLj5FSpsUsA6ZTnqr/Dwp+tPWldi3KO
oynuI1SnUjH48ys4B7r8HkPUUbx0L1Y8Ry76aWVX9qeX6p+qSANc8KhWgC7ejMKE/gxBbxk29kNH
/ZbbhV+tnr7SewATEBfeUo76lfPmfckBatNQ1WtTGpQa2p77jIRI3jjLqYSdyBVL3Mpj3pl1/d3g
EqvEOfgs4qFkmMH/BaK7CfJNkfr3iT9iRx/kGuBYtepTeQ9+ghxPZrq3RIy5zBtX7iSTPZ9N50GG
5qfd5Noq7JsH3eYn8zp5NkFDQ7ZJbkUpc4T83tkMigNxraVckpOGmSrHpDWILTnsownT3wefgNFE
o69KL6+mCcNYw3Ky6HPkbLpcFQMuvCWhhOjjET6V2I/zliWxZBjVD2O9jjMfHUxJCIrcbrh2wSU1
2wAT4BjS1NbjO9OipzCjI9CyUO9T8yM3PnGl8SRtV3lFgDr11wZz08qp4XHn8FfirqdQdRTt4v+b
7hxKkF14Kep7BqXNQzS6fT7SjoFkMVRfVvg+D/StpnmZh0leYR2sCF9ECZVZ+RN0vEoshjaBI8Xx
L2W+OlKyt4gM5PmkY4jmBDdJ2srlrwkK3fILXSXBOraNuwyCDoql/huo+DvR/SdP8d/Ant7mYdYg
WBH4/odsNDhAV3ccJZyZJ2gqcIJ/V7caT42A4i19kbbmJopZ8UKcV3lmnGJJRioQ/721TVOfg+n/
+4j84p0HdfgJZvLv8fjf/+pPcdP+A5CjCVML3qar6A/4S940rD9ME86ri5KJjOnw1vxFcjT+IFXj
6rrQHet3Av4vedN0gTzOWilMa8UXNtz/krxJ5P+fLgCC9rZpucrlIgBA+c8XgOLZIdvOxXDa4DRp
JDMaJEmXZCc5ALL7rG+99ULMAI2tpOGbxxvnacj2GAIqcGD2WmcQECuPaiGhrzCPFxRX6AYgB2Uz
zQi7LWbQRVHjuaJpqd5o+njqcu22pygFUiKe4IBdbULgKG7ZaWICYmQF+WKo9SctMM7U0Yq1F0Hu
G6fwwdPM5zbrim1cZ5eQCD2OMXsuCz81lnxUJXz7PpTA4KlsW+EZf3bTvuUIh2W7G6lRVq9wjijn
obkTt8ObaPFm9k0cb5LwlRLiJRmKZlf3UM6MvE9WrhvtJLEAhq1M4R3f2bCVxKPIxrMWDZFmpjrl
1H7UZkiLlxf0R78a73nLmb63NVkuzs9E9MRdl0agtASn5NZND9OKZGm3TcuMhUdEZyy8iyiO1kmJ
lGLYNRA+PHkNyRTpeo+xVRez3YsKkXLjw6JZeS31AZAJ6MkRT8aIX3moE+wRens3jYT0gpqnE+Ub
W6+tb0D64zWKWra+FaohY7xNKudcR8PWtw72TcaB07Y7EkJ6xdbcOlEb5231wixwExp3JKpZwPV+
2wrdPOYZhT6tfc9OF4MP+aVfq6NZjecmIrhRvQYm59RS3YHwwIlT1VucowcEFOcBDuG5TWnUMga0
w06fASEaf6KD4YqL59YUdXLx8ekjCIak1jhHu5EHBi2fQOi5jxCvqEvvSZl5U7ZwQeDhJJbQQ021
Qulc0CJTM/SmvpUNKXBAzWzxLie7YdAuuLHCJzPFG+0P7TLX+nBHpSSzVNsAyhkQntNqUAk0NKJj
uTomUxyJMMrcDQRyqD09Y2Kvje/7YtjEzXagQxEjziIb14QtznCCDnVFyIVB3kioRA95tCN00Gsy
wMmczITAcfQ1umxNQ2E8eeZEhUZ6p2XVt42FxmtuQ9JGcUI7c519ST37GOmo33IcWxsjnzAM7Wvf
abihxo4Knq2rN9fc++JIlCzzLCS0OW+9RETi04MQNGeTMZCf4dPEC6aaug+eqwZ1Mzb9Khf+Xs8y
KkFc6HCq7l/yeHpvpTJWqT2+9z7tPCGn9jAvXWYEWLBzDujSeSg7mklg5NHZMeQE2Snc6a1cvyee
MsxoAyI3BDpD681zrI2eZt6SNB0HeTGtw3KEjWZa97WZXA0dF0TVpbeE2AbaHhr/TA3SvhOlsRfj
9JYPJfNvjpIlfUHLDJUkjtxdkFgQiILxFmbGfRUbcI/M4GuKwp0emHMeUFv00lgksvgSoRLnkGTY
4/xfMfvqHkqH3jLziI1nWsDeLKd5nmBv4oQANGcFnLhbnggCB3FbnT2pgRdouIeIM50bWnkWFjtN
P/Ce0rQ8GIDldlZfHGpLHtqBRyC7sM848JayuLblr2cNT5XM+RJdxW/U7tI0ZxrjbWMJfGdk1DjJ
QyXmSW6P3u8sba/Cudrzs9RtunMm9qm9fBrltLWN7gKtHf/uRVEIH+gGkAVsR6He35CQu+b0nyBM
NIukz1YADunwLcjDN95O+dYKY866Td/pMNBJYzPQskX1keVQHugoOGI7PtRjuO0H5lmp9ZY5UMER
u5TXv6uecYOlaMrgwSfr4Dz2F49fmXYvvjlEMtCCxjPp8u+eeGGK22rh1Gm94Imnlimb79Stm+86
1XZj62W38DDIIdiWiUxH1KMM0KhKwUgDu//IZ2PD6tbDvSQluA0HekgcBwyLI0a1hT4VbRCmOIG5
061ouptq6Jtt2NbecaglxQw4H0E97ZnfpruktI1HxGiOUvF9S94be04w0q7X3upacoJhNrBf5vQR
OjZZ0JCBk2xXjXNuyZIutLgsdi4VZ0oFFz3DIe1Z/GZUiu9kPWLdzUdc/lzMCzDhdElOJfV0sdbc
+pNDUlkO76nGNKxEFMChuqLUNyGihetmLkXzhvQ1I8y41NrmqeyqD+zuUBgT7Sy6mSXmgzpLqQwF
8FhRap36l3wsXtQ4P0o8kGRRaLyjylb3QQYzPqy8I4Eud00REeaJJEeS8Hm6uRpJNgooPDkQ+Qss
DvzAa2ovc6lyTJ79VmT3YxkdGFycRdbdpBIvoE3FWpcgM0bkEkmnZ6vaw/iuBAvjQOdXbnwpvP8L
JQx02WMtyMylqLZEn7wzRoCHpjlWQ+auY2Ztp5xxJuVd9DcbtJ6UwiAy0q64kpI9yBqOvGXv7yXT
w+DRUNGDlc+aaIWrJ6qvkb6P1fDRR7cFijSjiEM7p1TVAIICB+GqTqxT27ZrURLFmuKO02mIFEb5
mlgwx3kN+ZVMeHws9w09klVNIObNhelZmN17AaYkLftLQs60IqdJ3fLSrOhWLhwKnwuBJSl4bJV9
C8Z3G/ikQWJ1k3kO302uHd5rlcJSo/2KZgCqsL2IoRuDuqpul4FwiDuWrwkXIGJQ8QR4leCj24Gj
IOqVDMl9OBwbD4mYhlwjeuIceOzM9oNi5M3g4lIeyMzRlnqBJzugyifcHWlKNZrYD6lfHYNmrI6/
/jS6X4SYAgLvFKC5NoochelMGxApiWnEDQ3l7twZLEgO2lO/FwoEbNynZ1mZAIrDK6GNG5npJE8o
141sCUGrUBxFrICceFvtB9J9ceg8iGyehjF07jzjPtcAdTCyPeK8/U5hIyOyRvdN7DirsGl+zK5T
N7JWL0NF41/KPbv0jWqGISqqulNotLIKEcQQRIMm9vHvpouKqjeTZSuMy1c9Y3TjFtUqbOUPGQDY
kUHyUk9MotlbQawhoB37PLgYZ54MZhQsOZQVCJgHZvqqGyZcBzaX3WB2WwqTaGMXH8UMPaOv7iMp
43OmDw2hZZ3W3xLSjVm47BcgjdArzbpMdXkGZ5rfvqZhmHxRrW18k4W3q4dh6baorwwASsWsMLtO
U/Ou1UbJ1Y9HvZBk9+pAY+NjPjtYaZddBVKBOjx2m9SMpM4AF849d8ost4btkc4B3mM+d2VNPpuH
TuFnrzxu8V9o+qriUD7RwY0hnqwcNgNHz74c+7nDOcA8kALm6VLnBMwg91E/VOO1ylktNNB1qyrB
GM2JA6owDzjKuEvOk4eplIemRwysm2LVz3W7TQImOEqtjWaQChJRiBht4DOmTYbJwUTLDHD3t1Yz
36q2emjLMeJQOHeUT+xhFb1TtS2cxyh4UYU9IIKMD2LonhN/rvCTSPyjv0v65ppqwGVocX2fFCOz
ZMTp7fCoHuqalkFg3DyBnpOWvlM//dQq5hsyn3TMAf6l7JGds0E9W+PFo1UIniKaNVdA5FqnRGdd
xl2+a7JT1pEDme9qehx+pppskJfg6LciOkd0883Jsk8t7THX8FidZx80uYldPlinnnxNnNBGZdM2
DF+PDqOKSWnspz+6WQ9LMzeOwUAfkdVmT+xZL/xS1EMAGyDB5YDa4Q5YDiUpE3+S4M5x8kez9I79
Exqw6fH3KJPrxokplGf5LjLqxEV7tqzuhqjvyiKlSXku1KahF++Vr//MeHRY49qqbIeTJ7Gh16Z7
NmALEsthE9cF9GG60UuY1lc0ZVyBAhW2p/2osfNDpue3aeUz5SlIa/m05NLHvAqqiN7voeNN7RCm
DPZoVj/n2wfxmYNcZFPP0qExrIzRJZiMI8Lq3iES2ecwqkvk6TQHB0QQw5K+WM1JslU5OntaRD97
GjkXodGOzJIZktLcdq+l6jYzGCeHo3WF6fmdRgK3BQEmqmTQiQQARhTakdUsvBuEdYHy+WaV9j0c
LMguTV1w/fAUH9BqBQZ2/F770megRRyDix2CD/JtweazeMq9s7DqbC2m/MRMudsOmJHwBqlu3xCN
sqT8liiglH4xMYtCKl4EE+WNUK3PrTq8ewWHFx3fDqLsxpNFsW8N+6Wx5sJuUT5hu9+0rrx6pfGM
shI+aE6Ie0wn7D0FbHaCcy6ii9lkvP5EvsfoGDzmlCk5OIAr5eMU0U52EF+iNLoQCD8n1fRADJso
UIU5NS2fihkQ3H+Vs71N5BV2luBMJ+++770LRP8VC+wrXOON1tUzFZ4NQJp8u4IxfFTvrHdj5O73
nfjVkfLFpSW+7sq7ComRTR4A8GJPxcL7/AMAc/4mKPE0leWGOstN1BU/c+Z1NJMn1Xz07dQsCs//
huCjr62A0D5eURJMr4LLd2HCa2TKn0anziLrfyfLPrmfMD8tpP+ileONLCNGAH301cODCNDLh44W
CNX91LTNktVj5xK17peBwsSM+rWeoqOnis8B7BRUaqiinUEfgKGy2950j+NUPlLWQ2S8wlVdJCxW
d7FLmLdD/agdsDOZoa8nTBAZIYGT3sCItDpk/3GMyfXwfJTIR3slX3SoutSSlPsu7Ja9qUEaCSlz
Dcmwbkx72THzWukZNA+JvShs/C+D7aUI6u8WWD/l1nCRyk5b9R6EG/QDHmItGm9SPpoTp+gI9qis
zhS3LO2OVHVUZ5+McG/ZO3pLbFYnG57Jgs3FrkE3W2Dqvfy3zgdIYTj/Mh/w9J4k3//29T/+50wL
+Psc7c9/+XuQ5vwBwchmdOLSbeLixmeS9TsnYP/BDJO/V7YQhmkwTPv3SZr1B6MtG5gk8QEd/Z4P
/RUUsP6QNusRE77fqYO/OJh/Tk1/185Q3fKfTFH5Cf5xjKYbFt+CzhVl8QUNYw4k/H2OSn/zkOgF
ypVtFcnKjqJyYXk6ZPEGKEsyopgHxowyVrf0Ad+RZDsrq1HM36uQTXe/bwIQDImx0baeM1EJwWBr
rKAg57bRMH1K37WS8b2mPciAVrYWaQWoxHPYREcRLS3a1hao08hPYf3UeU6zSbHesTXO1pqD1BfR
Y7IEQbfIK1iXytGOKf1YN0EAQTWyqEvUU22hGdnzWNhvpVKH2ldMrEcoqlBGrrFuZTs6Lx8p1LPX
+LM/8qk7ABmAMuea1xELbqFKfBzcFklFACrj5/PHNy8bx40oiTKIeA0CjvB1yGZCxcGbj0zuYAwD
Y0jOjTCik7LEeC0b4rm9g9PTkQZDNJxAIvZBdKVCcS9a50RhAJWGKYwu7EAtdDR8dcwwxSL0CSZo
fpSuYB6xpQ80CDxmdWajR6SW81XQGDTBsp1mGB9p4Tca4mM1l4jrNIB7KV0iekR1JFNy8qjxPWCY
AkssQjk1CY+m74eYDRhFdgXLDQU3W41cRmFWz1pCBWlLUG6KnCU+zVMlvlNs3fDI82MgvFvbLtKb
NANriLFdlZN/CF3n2lfp0RtoWAJQsSpDce8rHuBjj+aumrpcTc1AD2X6rZlkl6oheTU41qyrQsPq
4cRHs9RvrKWT6T+QTQ+RHPcG7SwL0UIHGTnMGx0KeFGFYJAsTPySnGbsl+82eFBkotpa4gfZRg5v
B+kOpix5CVuo5o1lntKrfuXNiB+dmQiokQWBcuJZ+WxcJDvfv/dJmW+YyBk+I8oyUBu9Z4IE8uU8
GbTZOP0HtHojLbGIltbas81nMpo3w2TG+7TbZRxGN7j3xHrLF3qIJZFJEjLsJKPLmGJDEmVWbjra
2QA/mJy+txm0Uoy7wA4Tv8Udo0GN0WcUq5WbA5OIbDFwFFzQjYacOOVr0i5s3WyMp219jUf2JIGT
UQlBdjMO7xCn52HE+M6CVGDtMmfe1XNNRye7YbrCfS1O6SFoz13m3WWq+KhM/AP4hyxp4Fj29Fub
tm1eMvEWtd9DT2MLDRbGuW5H7N9OYC2qMv/gJPITskXzTaxrVfY1+jUJlp7+rETaL5FLUiY2WCeo
n+a4Z75hdVO7Ivf2RomcbWU+ByRCmgVM7GUcbXNOHCiVoSDLkVpAnKJ12Esy7jDP5QSs32aQwRbd
vlYdpyL80nwm8I2OcoaF30Ubsx1qyhx6fVfMbSsTYQ6d8kMW5hiSHBQzyebIbUn4aUwSFSRDJ4rV
Lm4RmacG1ExlfjfKObiG+THw6i0mnZrr3kgube2satui78CY/H1X6CQtYqaIqjKxY9n9PiwBRlWV
yelhsK61nj2Zpv8kNc0+ReWzjHLagwUnZb1LHz1twv2hmdPabLkbc2XgBijag6NH3w2DGPCF2Xvr
BU9qcjhQehKLSlff164qt1UZbkLdkGxwFeq0rNdW9z5Krgx9YBOaDI/9GHzb4huy5BevOUHTCEd1
RIz1rUCIEINHu1/OwyvHluqSWrxLmNhir9iErd8tgX8pc7Y0orNj4psYI1IkiLry7I5ffRWOTEp0
LGTaD5wr+6spDr2DFQX/LSZZu672XoDHYt57Av6p1pys1t1AMYJuUp7QteDJCYI59gNeGhL9TraK
S8Riiw04hOFkNXVJs4He9+aNzTHOmzcyasPampF5k8XD3+MGQTYhKNT7kdrkvlwkpXao635cm0OX
r2r6cNC4PSgh+AriCMfIWAr8iRRUSoVLrhsBFLmBfOAImhyUMTy3KgjXPmbkBnTlqkx7TsFdALvf
3tTeaAO5i+pjn7qrLoU1BvC53pDk0vW+ODOW6YK8XU1BGa+IkMC/qidGFdQf5FaQPIacfgJVeocs
IbFM4px3KbtQw7C3Ri/YsR/miVzYvCswHcKIwIbbqWwZT1mGo7UhOsRVX1Pqs9TA8i9d087X7dg5
UPryG8O0WReydFg2IqBfGVy62X0IE3GAlE5KHt7AlZ+XGEeL8c7QjOC+tJmcGMLjyRN2GOywFuip
QR9fzTQhtZYxYaxlYz0XQS/2+YwrMlN6uTpjjyt+WNrMGBFAHrJKUgiokn0G7Kgpl7bk6Bz51ner
rRy3fyVHt0eSTfdGaj+AbnbZxFIa02ji/wJH/v9KVx6utH8lsy7f0+I9+8cIqfXr3/wpslp/KCKk
JEgdiJhzjvSvvaFBHNSiqo4sKNNUV1fIr/+uslo6upEyTYrxzHmP+ufWEJEVgZXPJ3eKbqv40H9h
c2jyzf9BYzdsExXJQYzUXZM97KzB/y1BOupBNeKjYouCJ8AdCK7A9WFAaW/DMeUcozjQMwKdUwC+
AaxNdtiPq+inizFex4Z3nQMvxvxpXXRItG4bG9Ze7xgrV0JiYwPeL/mPjNNn5lQvQ+Rv2N+cGo1k
V2wxHR7DCyvphyjVNZDWHrbnx9/ejf9k/+uwjf4Pv6JAXEYGsiiFkf9kI2CCS2goo7o1HoOrFXNb
zUG5X5kqIQm/tmm/jvGVAL3mJ028ZDPl3nEOglZzJguuBNsNLwSOR752jsTkap/OecLYSM6wa/cc
tE/TxM9fENV04/wUZfVLQDdJGnlv8bnmhRiqfse5MDONuxH3OWpncqpb96qGLTUMRzNLimXia995
itEi9xpKIuzqxcrX6RR+SNfagkdBDArSg8+N3hrBR8PCRNHdFncmmI12X7jAW38H3MgGuQThjJjH
kuNZm6wdn35ldKClkXOaQ7R9sqZpsAbblJ66imQb4M5MERad42s65kogZulpYCRWjdEdcY3XCQ2n
y+Tdv35z7PnskSfjPB+hVdIRhu2A5ldc4YawSU3/05vT5lTeTRaoBJgNDGTmi2mwdn3zXrb5WmQH
vzD2plPysOWJPeKx1vyj4dqbrs9urd47dJjNPD67+32xKtpVGND4RyTnO5tlq04EJT2kEPV0TTIX
rzQ8emxcNusnvtxNMBGB0fHd0/4IcWWtjFM2jJuCr8fGkoZUCUGc1yRW2srS4VmU2SnkOp1zg78+
4LfyAm7JyR7AQ7fqXtMAuuTWbg7ARfzrwjK3iWWyk5dbzAQH10tOI9HIul7ZQHxMoa3/9Utq6P/x
JbW43B3HMWyDYypPlb/f0lMvCCSzY0N40D5zrZyh4kQP7L3LwY+sDv3puKar7JJ7w+n/8L2t+Wn2
T2+oYoRlkkVXIBdM658eKDq7rzIpHHORwsls2KoEPU1CfPey/l/cncdy5EiarV9lbPZoA+CQi9mE
QAhGBLXcwMhMElo4NPD093NW3zuV2X2rbLaz7GQXGQKAu5//nO8UpzAlWq6+Dn9GW8eygUzHjZTm
wOjLHp9u9kUbDI7mxr5dmpAEGlkJgnSlOPWleFWh7I5ldG1PNvYzfhdTLETJBsCCy6bMafapXXyo
mPj3vdx3d0tJjgReLgOY7Auw5qPn3ywmwa4yLUloZ199Af7sG2jBgxD7XvWFXOfhiGZnY2DR0ChB
sBzCo02Yf1jVxc70O9Pnf/fkkWHI18Aw21vJ+2BjyZPSWfClJyC/mWil9wwb8Oq5Dw2qnY961ysZ
b0DP05Swl8R9oHd09qptl7cs76GgKKdPlSI2YqBsmMESMvaTW4yjnzHhHdfOxgP0eY85HtJiX0sS
PnNJGvIymU8EHOhyVGJkOGEtnktt3MXciUIplhND6ApHQ2OOpDmVrNlxufr2/Jbr7nWmZbfjyNGl
b0w4GozjSytJVrmSSYnefUrbfYAoWYKJ8W6oWLizMO3DlNNn4Hgcc2Gv/GjQXylRKgkHMEkjFMgj
Xsm0M3pthm7rKwHX8LHvUzQRKmk3ViIvJmpy4CSRlPzrfgvBShLOTZ2dTpSfMiUX60o4poEnKBoN
Gay66VGWR5uknV8jNSvReW77B0cWL2FOJNhRwjSbop8U0p41JVk3aNeUy2h4WCd0ff3L95d3G/AJ
OjuCN2PiDeeEi0QJlyjiAFmw0PJGYyWWl0o2z5SAnikpPVGi+mg6TCuR2aUS3CuUd03TzhOITPT4
AV3eQZ9PlFBvodgbSrrP0fBHJea3StZPMvOaEVCzmlD8q8qlP8ZkBMAsIFFDgagcbz2mBA5tZA5T
AxP05EpXg4Q6tL4U7r9SI4a+PAGO3Bdq9MB8jmofHqReGMGdYR/nX7t++NyooYXG9MLKO337bdgE
n/mjYMLhM+nArRPA7uEMxwMfwh0MNzUWwWD1zjKYQILvaNuJ9rUaoRTMUtixP7edfq/rgIVF/+KJ
1HvUp2iDQ4Qoi8wlsyuYQdrc3Zuj80aU4c1WwxvSLcz5ufyW61kNdyLwX7oa97Rq8BMNFunzioZb
RkI6syEvPiJLgy9QQyPsWzzWGSNp5UZJQmq4xKS93ammqI65UxNea1N1PapxlOc8U6v5c4wyeM+q
s6nGklsMO4E7wGvQOiSTLfA1hAWYdeniWV2ydhwRB9PkzmMmFo7DU7GgS1lqXAaI7KS5FP11qfPc
TvGbVKO1MVcNgx3jNp25m+XW2NiPXKShGsqNajwHQR3mKRO7mRLHvDPac8PTeFJDPdBtPy015mvV
wI++pTentcd1pYaBBVPBgukg0gRkJt8C4MO6pQaIQBJgjZakApktzpymR4VyU0NHLBonChKgG+hc
AQ2TyUaNKEtmlfSoQw2v3K+6bJGgGGemzDUtnsEtc85UY8Mgm2iHb5lUAXQ/5twUhXsmTiJLQdId
UMddqXn05YYvaex4F0pTvyaTAaq+5FQ2zhAg8/JTq4bsCk8uqVHGsn03E98rlJx9PysqK/PbRQ1y
aQhVf4fhbjnm7541pRf2gA+0RMl9EoZgRInQZf30WLYj2Y7F5DbXvGJtKZCgQLknfmKAC9IxLyxi
TxblZ1JBIoxiTHLkk3epZuwcyk5W6dj/MBZnp9M6SpUJyOGMrU+UL4ecFnOiC1e+wJ01zdFCUaP2
wjCiu0LBC3SJVVoa7o2LiaXo5bmMJdmx6dQvVNKBnH7runThEboQL0hdSg01HM9aoW+KRjyVFic/
GdFDEQdmBnR6asNA5n2yMRqwrkK/ocYG09pEwaFctt7k0+fVUfwTAVDc5EvzFL92rokWOJts93Lg
hZwTzp7g7tINaikotL0Tst4aXngNF588ZkykuST31FCesiWf/ag81WOGeuEVKhnAvr1fDk1MNmJY
3ptZTUrCCr9MMfmkDrECgiY+YxrnOwMvmpVwyciNrcw5fx0N686RHGid7tyW4W4BrFgY1HSNMNFn
LEQS35W5NGcmv+g4esQM16lu3Cgar0wXRkCkMyDlmWdt+ir5LBlsYa54weFCBgPsVTEzrqjSO6kM
LZbP6dhxGWYkfaltInO5aUPLCmaflTgpMMb7zJE3+uvSQFJWEa7ERBusWN6knJ4wwd21sX03C7KY
Pr1467wkRzGdYpD6G7tnqDPP6Ji6FIHt6B+ooYGw9pGGWd0bmc3kNB8W0vkk/HCRTvSWzeV+1gxM
h2a/y2rfXHuchlauP1+XGM5YEOEQwxy9CwE0tA5+PJrg+BQ6GHzuEO47tMK4sd5afw5Su7zKoGVH
suuJKjT1pTX0ALPqhj2vEV37+bir5QT8VCM7uvjVwVZe7j6K4ID3HM5RsLdaq31qmW/urER/1O0i
3/og3taGG5kHl4dXvrjxFbV87ODjtW3P6HAZ1oIe1HiGz3s9a+Q9MAMfUwMYcicenSip9rY9HmUy
XxH34ETUageiOm8l//esHPsdAwaifF+1w9rgDyXSvVafKsO5JVCzaUe6TriGCQNC+mDKsHzpVvi6
WIa2gRSrrXQudkRbFnzNPBhNVGzCsYeg1hdPkODJ8y24sCiwWQ3yqRQDWVHCj6tpT/oCl0dkJfvQ
BrnjNh9AiKhcad18x7/wYKGIkkLXlV7DTzfN7C3J2eM2+o9l1p8lVeGeIAJEPyqwUNSVVi9MlXx9
YbhdX0KPOlzbSQ5aad4uy/TWahSH9g5BufENKy0eIZL8NBXv6b34qGb34ibpfsm0H9Qg8Qni1phI
y9HIg3WrjHe9WG6qAYN80Q/f32ZrIbxLMpIJraNBnvY0YC0jutvJnMhqDSDS1m7H79SVvJs0fD4i
CrXtMvm01bblsaU3PFlOY6p3N17BohXbLcZ34tURz4rQcdJdgm1nXdZyTWzQZO6CJ6mKt3ph60d0
ejlC/uSoSgKgi46j8M4EFhOi16s64X7heRGTBgvZHUIL3FfDIWZmbIzGu6R//TErO9oL4qemng9W
2dzWprq78/lzdLxtN6afkcogDUQsaGJ5qhLpc8won7Ma36vdHF1na5gq3Rr9dOdtF80tzAVEcHeZ
Hko+WqYiEpqovi/MhCNwXH/RGQmFJ79x6/luUUgaKjdOSw2rOQmNbWgsVNz74sn0qV53xJNYtLus
tdGa1TE9M6ct6dutTxVDvfi71O5JdbYQ9Vop751yHfH5yiKlNs3sjmm9BKW74AVgk8nOiB0TYMWo
kSr6wK4AMsZbYiBZ0l8BpJ12PxC0TgUbD8ScsUsNupYmual7j8ztwhWdQcQmM4vBUIYkQvty6zKA
ruv+Y4mpX2uY5L9RLVlSND4WqMM9W6kKlvuYpw/O1HxYun1nDdqr3kPHScpXhrWQwVm15NDfAznb
9CHiMc6wwZ+urcE/GmZzcZ1Y3zXACFFfnv2+ujIBHiVednA6uKRaGLV7t7Pf2VfQsDJPLKAVuxBM
9fzMZexPhCmJL0vaLxy9dRmEpn/Pk/2Ij3wvyuKtzsMzlaoMfQRcxHC4y33QAsJ+9BuslmFjP/j+
vdHc16OBqxIJVxEnyZxOF7vDzsZfZ6NiaKRdR4Co/YI/SPf2DHWgTyZmtB6iMQC5T6WrnxyZFN73
M9bDli8KwqBYE/kbVmPNgl+4jDgmv/9s2mAmkyrwQc1p8eqV3t5jgV9leomEK66kNr5D2EA6qE6m
Q+Nr/G5U6auElKoM1Dcczfutp4wYcgQwU5kgWCa/4PYhJcnXx1azg7I5cYjT6Kgrx+Y8GyS/XZAU
49y3uKPmd/81ctgWg49vN21dQ/6R/W5sixujp74m4s2so55oPPXNmIB72OCD7pFmi8G3TAVHvkbd
FlqxgRR9M/r8raJutjKNcMIyFdrMocmSAhuhqh4bTieoHZwZ+tg6ezpdVTzfKxQk9AXiskUcBbXW
3vUUFq8GhTRnZkWASordkFo3rbUnawijSAk7hscrcGMaq8vxapyNYDbRnUZNiU8AeNZtNNxN2Jld
uwp6JK5g7PlP0+mV/tkesFh2Am6nrA6NdfF8aqPpNcfdZcnjUBmeeuNiZfSuv3UbVnVzBBMK6Det
xw7PrPswQRgSdfNS8lRIvNuykThQkZmKSn/ptXRHTHJTWtGV0nV6f36aaudiGuN5mY4F/zzP2rtb
eweJ99+PY8w1y1NlmVvmJ3t34BYVgmBHcx+b+ck2yrfY6C5AApbkDRrAOhl5RiAbhC48U5NT+8Bv
LO11suQwCNAcTMe4dnb48klseFi7rI++jEFh6vlbLp79OCefDBRgdrIP2T6MuL9N4QRKnTDt5iVO
rvjJ1qDjeK3nGoyS+oV8gzW4Jz00bnFe06k4nokzfESCw3N3jic3iDF5Oj2gcPGtGRHztTT/6A3+
wzxhCNaQEEsb6Sj7mh0Y6vYPveSIXTHfc8PjXJUn9fElUX3TgBubmj0h2lfSql8Q/e9No11XPdPF
Mb5aKjhRBQ05qJ9BQ9HjCqhMJ2Bl03IPnF9rfcLM0ZXfRD8V+Yvg8KVnka0d4C3hUdbLE9V+L57G
rZ4jfLUVj2XyJqV7sSeHfTFZ31TbF4N/CCOTxt7x3Ep62ymGkVH2RprxMibjGf/kLml5B7xtq7YJ
eW7jQXxDU+aYlnPJoddwD3yme7gnhGUIgiy8f2HtYIEG+uzs5s49SC2DEXs0INcMlAE63fIUht3t
UgUax2aeNj87gVfYSLqHXGd3qzEx41bb97XprGdY/hw5vcs3+ekbWCXa6r0eOF7InT4x81D4oShF
Cier/uiP45ZwRbUqnAbwBdpta1nEZZAjYZOu1fcvFKvKbO403wPZg/rSVf5DAddAXSuhjNRA99ip
3EMuKrr1pHHHgXnBvkC33Ewqo8kOrUn2Wiq92QqXvekSSsdSckvh+QNR9ccqT47G7D13Djs9mBEt
DlvGnJgkNnb9OeJz41hdv/CoYnoq0dZF6T10EdclDqaV09hUfLL9bbhc6oLohMz5S203v+gsICPN
3dwf0NIa5oGt6X/BufDBBTN/nOv4I/M+6tY7glM8CfBEgtWiT+Ar1hNqtlL3oxFWqut1dxwDQ93E
GcVvV38rh8XD7wO7DfxKNx5xWK8r/yPpsqsxZoCgNlJ8nntpDS+jhkoX986FgNatgoml6rd4rnNX
t2d77F7YTCDjwWqLkpTzrf2jgjrSNS+FHz0oitS35BeDTfrmNraAy76Rda5v3gKKhM3HDAOq5aXo
6b4w5HYqqemgdJxNV/KH1D8kpPuFy7ep99kHdvlNMrCOxbHmMR2HlTe1KZWG+ITR9j4yAQlLiJ7H
Q3yfksOGtBJ9MUpvyKC0ez/rXr4pmqUiP/6hScJqHDT3oF5bItsXY+bDY69yUcMGXeJIX+J8Y5kP
IWm12VYqvGfdqkssLp1pFd4igN4YsYd0KvOvUZcv3+lNyBVUG6iGdayrKGWAe5SE+Y0v+4Z+qV8v
K0zvafHWljWogGXk73IshMmXzvG8YnndfVMZJaedmHMrDQ3guNFb1V+3mQ/VWb6lAe+GHlpqVuzd
pMYYEwh0hTNbVLn8MKjy1frshNoDpTW3Uzwfh/4MtSbEn4kFh0Il+Ful/qznzXaWvnFnWlxOPq4R
l/eeVMN0KRnKg8nNZuuwVBkJEaOdNzAfQW0nuMkZMPmFXIJ8Ih3A0SGIXU3fxVYMMXDetRy5WWGt
6Hm0ANlFS0WdM2cZ8nKG/hjlzQPoiHtn8WOg3+6ztkAoF/7J7xZzTx8OHYfY5Hclu8GhkT59eOl+
qnQoTz4eC7L4Y10HhUf3QumwAQWCUjZXWBA3bfJoZC4NkEP2VXTVSzeVFdf0upy9Y7UgQLUd0/f0
ndh1AuP3AjdWU5Ar4oxNfhOx58fPAKJ0nkqoBzAzhOmoAszuDh795psgN+Q8PlyYFKtqNN/oJr8S
LuaXqHQfGCCeZzbi3yJ2TyhOlM4l8heY7HisenicEEihuH1PvBI8gJNXUztgGVg7s+0g8pMOzQyI
OxFqtUUx++TBynAlkZt8UTDZ1FlTuh1uvmFv4ziFKwHQvJ1YOCIHiPQArifXCTi6T2bGF/mNQh1T
gweLt4Omb+Jdz7lT/YeE6cminB9pT00l/eb4TQiBI64qAbLzApgtkWODagEr74D4h/FDTwz7E+h+
yTqJA6JgQTX1T6MJyO97qKVghKHRvuRMaLqMBjBillNm3bLjJISnrlJ6TQ5YQ7+40Lst6/5d5S0P
Ovb4BfM9eaSO3owm2kSDhs+bTAiuJPdaD8efHmjFwRzvS2jZ0Yc+i9usRMClfjLmYRBTpjexTKsF
k8jMy/cbHIY6oMfiNloWzk4EIQv4goRWJx4ZGTs7Lwro5oF0ggCgotNq+6YeBZxrGb0yLlW/Ta2T
FIZ9qNU6HNwH9byY4eJ1YAS/n2lqFaTKkH/MPihPygy4meo9+5O4qIXarKOv78nO/1bus21bfzO0
z98/fuM+//Hf/HNo7/7D1G2ix54wCJ+7NkPlPwydJKMZU1qOL0yT3nCbgeX/ndnr1IabeC0N7jjP
EeZ/+zkFBlHDcnRP12kV9/j5/2RoT5nhb0M2xtm2xzzbsoXHVNtWjs8/Te3zxRGd6cD/VAZKoGoN
dxV8cA58QH4a2g6G2NPWZttkFzEZ3J0zwQjKStZhIhHRNF9nvupqK7GUnxn7Ec5XcEx41kIuj6to
k8fDhVQc7HrvMthWeIUpOi2daAUaPQvED7w0/XNRchQxSROXw1TfFRpYYIYBS20+UNJxIzJP3/kZ
IYwZbJM/+MkjxUP4ldReAxToNg+B61JAy6gtSfb+wC5/7vXTkizhaZkqb9UQKd6FS3Il/OsJ8e5U
L1a7thYwD9KUMPaiul8nDFqC1oHw30coGu5YFk92OCtrSxFfcBhQNmjjJIfCQWFynV5NKFN1w+Ny
ErQDpV6fBG0PWrclSlhhJ0/i+uAtiXFqZq2+WeLBIHARF0HaGfPB1vwvwwircxICgh28eJM4qKpV
SHujdLWCc0pFGoCdlrcIUO4Rc4ompfZn6dGUa1JmW5xNEr3ZLw6NCe1mymPOO213puMDhZ2jcOVb
4Tqmbm01+/lBNEsemMvM+CZM+6tRXk29jPZCLF/SLKOd4bJaVVl0NMZObCezpDqhMd3TYlf3XTmw
XLYgN0qvYussEbTSbo3N7mdl6QOGjvErLQQucU3qyAZhuRWec2zmZTg4KaKFbLDLYY7MMj2nDbpm
MWc8uKU64GkOsdPprf6ZgcDcLS8EcbS91hJwgXFyyk2O5nW9nGoYOQ9O+gx2uniqeqO8q4x51yGz
OlSE3Gqtqd2bhX+7dFp+ceMy2qKjtzD0pEam9KsZRuMyjexqILksG7cbnDMJDufsFQnblCZil1Xu
TK8YAq8r3FvLxQzvGBqKdkYaVbJ/783hmXV5Xy+AsFq3XCjeg5TY3UdQyKDu9Ic0aq/HzkuP2WgE
o2sfM8uiMKIJ0Z88VvVuLA+6RrOYRRAvc025w7D/Gg7vubBVCXUv9nNFK2ckHlyIaNtMK7mm5vFU
z4NBMaZ9Tc3ndkJi28Y1bZaTKG6o03xLMkslqNO7Vkf/LEpYuGlsbdivdDTMFvD/3WBotfsUZAf3
LMbpCPVPzuZAVLH/onQVOHap/8hjkqj9oENbbdlpxayhmWBgs3Rk8OSAVp176an0BMXhrhHgzBy2
XuL5O4rZ+R7yPsAUoQe8iGkrKtsgwM2sqs2tKfgml7Pbw0HWCnEs4vGWOQg1hxRyV8WYHKI6IFy3
zT1s27Y+UCc5QBFpTIFbHATRGDvZvvCdO6+CJCZC+7UvNIAL5sD5ssyfTbyBeN6Qcts4D6qZMX8M
1Kkwqp9ymuXO6jnmdjkmIpzlKIO0N/ca+LyMaiMjbvYFqzkAWM7NU9LP2wqW9Sbq7fVINoVJNFNR
bEFY6SI2ow1fk7avRmehkAw8jVei+Nu0Hq3HlGNyJ4r4AGPwvZUES+vYtSEwWnsthpiSjDedj6ow
MllbcUJ8zSq3PY/GECRwOu/LCimhu46GIbzTiTtX5gIGcm4fi5TpFLW5QB5gBUlgYrSJ4q6ivmTr
AumC4FcGjkKtfH/HrlMiHtO8tHKKaA4a9nzbVNTLahmiU1UOcw6sHYYXSUe69bwE72uWB3FNLM+b
mTv4gBFtnaTKYgFI7vnbTgoRqIAqTsXRxyIKn2R3HDRFH9FYwnQyjByg+t64op+cf5rKj8pC/sbE
u10SaZPNbwYKbZpl79bxPu4155oGXzAPFg2MkX+q8vpKq8vwMC4+xeia4hWIttkx/tvRPOy/tQAT
O1EePJuzaJXHbwm9TAxTNfteJvWTy0WVTyFzE6uzN35T73s73cFT3NKKu41NpJgyOwxdeADk91oY
1tGqASNNoMtnCg3m/MX1b1WySoY8G4drIpRXri5Zv5ozXoddP87Hlsmz3JhFuluIjffxeBrCZju6
6S6yB8pedCa4zUQufN5NnbxN+/AJx3yCQm69RYAv6wIAIy2SChMVV4ckXx46Kchnf7pOnkP57AO7
4A7xhQaSKqp0YMtgL0PoHEXoqkrP5rVPNxYUigRW06iwFHQZsgw31t0ItWNQ6AqcEEyd0YVBPN0a
Cm9h2yLE2SVOcpABRnz8SwqGMUHFKKBjMGLkSjIBZtDEvq46ieyiYBq9Li/JAO9YYTZ0BdwQS3vr
WzSU2KKuqIV6ikLgHAWp1Y0lZrmxYYdPdXuVKpSHgOmhcbJdhRz5NDAJmcJ+JPA/FlWfFcbnvo4B
Lpcls/R12OZHbijAIQohIk3zljFSuTVcGsxqLKjrqBrvLEyDV1Q8mUyemo8KZ3PGaTngGID1gwVv
jhwnSCqq3S1bHYeT/VQ2+YaVmTiIQp40sE+y5JVwbxb0A/otr/rNxwOrh/MChvvVVfgUhWwMFVCl
kOYzaL1lMynYii/VeWA0H7X2lCkci8SMBmK5vB4UqsVcjOd5iO57gpTkJcn9Mxk458n8VCjQi/hG
vsB+yWDARLBgNBcv9jg4HNUrnETheMoUOEYqhIwDSwY6yLDLFV7GRsfY0QUGUsBaNpkQWI9TJhIg
GXKFp8kj8y6el5n9Eega8KI94DXxUmdWtE0dH41FoW56Bb2BxZIyo02BenPdTKS3XBXjMjjL5SrY
FY4kvEh6uQORLxt/tmWcaYo7uPXMt0g2zFYhsVHFxSZyY40KkEVMg4Kw6Dah3X+ajfMg0/SnIHOm
08KzHVUMzXLWqYql0R01Mz3x4BeSWQvJrmXOoMqnoeXPw0FvVPyXnJujAm8AeYkRf4fgMCdz7t62
A91DUcYsWc/dn+F1J/QXer/y3awCdYtK1pGwM1XSTkXuGtDF0C4dKhLJ43Xk8vTx1VQxvYy8XqaC
ezA63LVHa9xMps+JrX5r4e50op9WDFYsHcdLtTzP32FAnpB3c3PbyB+O9JNTIxjTGypAOCzm66x1
VL16UNRxjxlF+BOREroHsPOhz89x5yWMRQAq0KDbqiYiAJcDnoNIrbM87SkratkSGH1fM9cnE5qP
yJ30MvMTOC0/ndZiqxeTszaW9qmf7Ip6W1pUNXRgvu3KpReqqkW8Z5hI+OAUYeSWnXRAm4P2xnd6
HktWrUaDLT2Hn6PeP5EXaTaWtsitlus3uW4NUA6zXZfyYPCmFA+UCfEuLVSqOj5rQtxjkGC0IEfK
ZgXZ9845NM6EsOTQUtQOGYGWgud/jcGJQlQWLyfJ8Q3wxEfy6zD5U55ep6a8TJ3JAaNnKckdVkFH
7UgX22I7BtY/c+TdIv0XEjDTs+fdWvQkcidP+lUSVfMdte8rf6LTmXJXsdMXLbqlQWs9LLl9NZoD
RG0KznIr30tGaSv0uQoaM7jMGfNyQNMO/uHBjmh2yNcuO+xHkUGq6DIRwModD7St2h1OV+mgB4ME
CcrcIFTUuzvRZtXFdL32RJ3EfTgXl6ix6/1UI2HJwr9eeqTM78+4THr+SDQwK19aVrsbVRkH19A9
QryCeOiD0XZzvsmudb5Mx72bSyO8ipGcc9N4AFgS7asc4qZN7XWEeSUJsUuI4ZDYvrPJij48VQFr
nHlMYLCyP2p6aIxDdspbcfZzYK9xNxHDiEh8S7JMDTNbxNwhCgpYvMdZWHyXA71VlsE+vUu3zcAS
3OrjsAX+oswn+S3dV8O2VAGERDf3BRvqw+DYV8vMa/Mq/2SGWrXXyv6Rfh89SDr3HVAmbpB6RIGX
bbQHa8ly2F80CSm41ZlcdGB57Vkw+XeHce1FFqCQ3PQ2LhCfjWmR9zEd6exozibBoE2PmkizdanP
DzQnWWcrb2494tYL6UNwGxzmtGb5Yds5rR8RYxHpX3Uew0UfZcxwOAeFEWEgbq1Z8OFjEbryRvse
3DJvC2E6aJqqJEednRvI/bPsh0M+q51NN6zdaNKvwx6JOo1ujHBYxU7hB9FUiRUnxYuXpP4Zv/Mu
pzh8OziwDKwm/BqY+9EENL7ODcQed6isdewPgLjc9ErMebS3ZVZv4iXd5dHyY5H5JXdC2rvkBMrH
r35iyYkDEN6HKhkHcJLtEYMpM0+w7Ezaqh3A7R+EgIwzZWAwSPkUJg6pZxySN+yVjcAghWVb+VsL
jp17YjMO+ABnPbyhGvMeiWFrO1m0T1wG8356S4Knnf1lZ+PEWXcFz0dL95+03GkObSlmYn7izG3C
oSXkoTSyHK7FbF1paOwHqLi4TMeK+Bh5ujZPEqIjHG2+H2JmpXomrBS7gXMVz3WyAxf7k73L3qBT
mr5UkPKECDpGnzpn5eK9ZFQWSJMzdGfqnzZ16evRJukd4R6iekJcV0ZjnON4xllmbkFIzp/YWJ6S
PqkvWsoaKDkjJA6RFOBGXPcZ5aZcB3JExk50qwrKhKAd5bCcYfL6WhvZ7oaevaoL2/jfm0MxDESl
b9HuD4DiBrDff3yWsEHny3vx+V//GTQJeS3t6bP8XJL3/4AylP+aSvnnb/inwiX+QTCZDImLMOXo
joUz/58Kl/kPtjWw/3zHtxQU8E+xFOcfjq360ByP5LKFBPX/cimW/Q+bkkPd1Q385T7K1P9E4jLE
rwqXbpoqR62jczmebnqmUsD+pHDBEBsseGcauQDq6FGROoveJ1jFia48mssWCx+vnaLtaGXTfVln
6M79+DdeevFbPOH7ZVgCJ7tOrBqrn8qW/OllaMLiKBPyMjKit1uqRhT7g4JTWwNXNwxTvyq0Rvkj
7Ntp6Najcn/pybE25507Rrfsx3ajowVMcjfUXW0mu4GKnu2tmpPMlO5j9nqhNu1E1u3L7FnG9lqf
wud0Igzb4MUMPdJpOo0R2haxeG2VA3nn1Z8ukn+Tj4HK+Itj/4/3yNdp6sqwbzq/vUfbnPol9JmS
1HW8havAtCBa+2W16qH0qJaOyKHsFrjN09wfaEgl8UM8ED+N9whaDV8Ke05Qg7hB/+Bx/n/5n+oP
/ykb8v3CbF0IR2AvIyfy2zWQccyKjBDiBiZeYNDRwY+Zc6m2UFffpuuJ1PNffxTiX686rm3CW7pD
+IopjPr5n75uSzoMjGcUE7sCPWaqpvNPAj3YDj/1jEgT45eBSgsfFcnLPr0l2up8q71p4958gsix
XcRJczZ+eYMuucY7fx8LiqhU7js6Ojq89sTGr+ODAjv1PgashAmi662FVqxZEm7++u0Y//oB/vp2
VFbjT2+nzbJYFw5vpzN+AlJdzdSGFWZ9dMMDh35cK8MFcMh2IRsFmHdttzcLsx4fpIWDlGC4Wxo+
tiY7vb95XSqB8usXy+siIsczhkQWcuGvr2ux5EzWXw2oDPTRuDy7NE6D+l3nNityKwM/EpueaheV
YPLmYuNG8m/u7O+v8rfXwPqsk63jUaabv6fCwBHiSpgiwHwkIDGpLDkmLfDBitz9EtrOXqfGTlgd
pkgH3H19VfhnMVn3XkXXHfI1c6vrvHEfCBBt8MtcOa7/JA1i6x5aZGT83Udm/MZC5WYgKKXrwlJJ
NhtkxK+fmd6n9Rwn3KW9bwcpBeMhxhWH81o6q/MiK6t353SRml6ux4VpeH49E96v2v4waNH9TPEP
ijxn9J+Lb91mubefW0zkmItKm56JOt45WnKkEiLU7BPbQDBz7XVD/sTT6nW8zOu0oXB1wua1DIHo
KPTF5TW4xerA8XlXldqWJ3RQFOikPBCbKjpL2AA1HpXY4+fJEAwZdw989UoOAbOYFSzrS6RX6zYm
wcZtxJGF3sAhGL0MWbc6kbsAC9de9xFAgMG7L5BUyIBBownpZWk8ZpBNK++a+r4fb9L6nJ5mTCP9
sABkUNd6xPYkuykQ57qoawL/lPpg+7v6TXPjj2IsrpKp41O8jheTnWb9ktbNNXPlDe/hRz+F18kQ
fdmAZsU43dMassJLesi0aOsN1s428MhTcFWDgFp5sGkILbjuWnemG+FNeyPnCpjr8u/iVSo89dtF
+6eLgOXx14ugpvhFLLaEJoP64UevFpZjO89RRcS9YhlZ/G2sMAwwOeDGzjFO4h1xKzgv8rPGkk1v
QPU+GPX+b27of/u6DDYRHtllkqy/va5SOF0/NFycInRuR0itumIyYtilFOSiNXBAzZX9LBrkZm1X
JOOGazijPaiuqF5cKM3+69dj/ZubBUukbluOgEdM8+KvnxPmUpfkEcZg5F0ezZhTJk5JuRY92nxD
aYtpHkgcRHSBASExs4PPKR8H8Gz/1PyeBiCmBL69wqBLvEYCEMFizNl4MFSbUxxY8RYbf8PI/T6l
c6JMaLu2iHYuuvMa+QYpFTqjkx+YdXdmghsXDz8EuE1cyS0xNKh/579+v8a/blPcX97vbw/Utne7
JolYKTOZbE3SAm1+L02NxQoTc2UEC8khEWZnziDbIeKsMr2VCWApEC1JlU5/8/H/m82bejk8XtWz
Xa2jv378OFUNVDFUoXjBU4rZkSYqbm8GEZN7sFFfJWtq04tLMehbU9BGxHVrYS/6649FTUF/u1t+
eRm/reb2nIajr16G28hAt+Q2pYwMAMWDVXZ/s3P491/Af7/j31baxKeME34tOliGs2NAFhb0aWAf
/Ot39L3t/Ze35FgmKxazZtavXz9Zne2SQWsFbylvjk3Ub4gsqE2KjUe6of6nGVtkbS1YIMFLEzO1
Md7oDJWyg+n3t8A7ry3n56wwJX0wAQb465dnWL+HT9UyBasdLjjXu9CZnf/6AqmUjGpJm/f/oe5M
ditnzi37LjWnwTZIDmpy+v6oV0oTQplSsg02QQa7p7+LrguUYaBg3GENDNjG/2ceHZHRfHvvtcnh
JKeqYxBTBuaIPGU3uzKeMyhuyS8YE3no3jmOlozN5+Vime0qlasd+u0DpTMMvzrisRRw07FmV4N/
IPY3rHuvRpig5GkbcnhKXYJS/IanZwCECdPqcYIgXZf7mQJdJjAdf7bcj15eXGScxjxgxcB7aGP8
NooHpoFfSV17+zmiX1SoeUNOU7Bt+PmeQHCCOdv+yOwvnNXzevQSdY56an6c4Ck4khuCGdQZv0Ay
7FzuUIe0k+aRvM/akDrd23nYbUzP3onQ2JgMdDngGaQl+wExs2+3yulOEQ5lykG5dReqXo9l8W0R
USOA8sqRLNqQCK+2AT5g2Ex/kgFxfyYbiIGVyAyl7Nu8xh8sAgxSA3K4WVPDIN21PXev7uD+gnf6
maJpGLTmFU7JeJnxv9H1f9ropwzHxyjVf2I02U0DYHszlpTLWxbZ8vYuzIj4GrG2daTD8tjNDH7G
yAh3nef9JBQVC36HDZkSpRqK6fLyJtNgVRS/OnxBFFkwPMSeB/lyzD32XQTv2Zj+UhVSn8PItzde
kIGCzrO1VuZ4FsYT4Sl82BaKfdmUNF8MAQEOg6BdSxhm1aX04LixfgpsX1+JWgRbM/cpvldyUdFl
ynMmo3MLSQCYbjgwBUxf+8KFcSeZ3ejp04unLdqnWAL9/soJJE/KUrTch8zK5xSXpx5mubd5zgqK
jJgSUwDY069kkqMmYLuynNw+huppJIGxcZzksU9dRQzvT+UGf0pDIbA5A+C2pEq3OUCDee7Bjhpi
55sKj7zfREdn3JbSEGd4JHyCJ4U0Q/mL8ZUtoXTEuDXDlq9KSHdjEAEFw8SeoeGNDu30HbbC2+Yd
9GjsbIvFrAoOINSRiJmWRHTo7GPmfRs0YP9EVGX2wrPqsGuo2c+PiHyvRVF2h1E80btdL75hfvzG
PJd2hMMzpsZWDhdjtqx9QbAjyqPVVLQcEyUyn+31R8uYt/UcuWdLG7B4GfVdy2NsjAVsxjLZ8dgw
avV6/YCMcMRebqHDOC+yd4m2JFB5ZyMlp8N5dQW5KNxllXguRngJYVbuO0NjHbDGs2136Z5gXQ7W
qTTXmFjnDfTBWnDtFHl9zW1syh09ggUltcem9L7KgnOX1RjPS+/VEKZgfFrAYFQ71Y1HHphQYscP
vK4XnDf5b1LVmEyoIbubVahPjjxiJgHUiAU1I0HadoJJpwf387uyYnlNGTNyIYOMMzd8Y4Nwp50V
2pvZ9L69IGl3Mh6A2EcGzHqSxlvo8dDfBSqZQVtNTrbCSwneJ2b9h8ANbspBtSdbKAICb5FpJesk
jzxyJ8UtF+FnYA7e3knTBy2tbBOVXKoTYz1PxBXmW8WoZhVSyLKxOKOIWX6H9Bnu3OCppPIOvFJC
6yQR+1Gz2/hXp9XNWdcY6+hhmhDrj3QKSaBkkJZ6EqskJwjodvGzEePuzbPsDd8d5/LYLRAGYBQp
Antbrfx3MaT+HciTmBvqlrSXX/iNl3tR0/079sXWF2mwdpuRw2cWHsOA/GGGVLldMi1AZ/YusRks
wg4lMaDRRO48Y/0ZkKbKG9IYxuAMRBrNxwwzNf0yTqIXvPbvQcgrpVQgvBIxrOxYx2czJ54ylJTA
BMriSBfE9J5CWpx4XefwiUHjfDSH05SaioreRdLoijtrlrl3+QXZSHwrcx6+7RGaXF+2+Ya0+c/Y
lXxBZDaqUpxNTVjSy607jc35SmuEGV3XwYYq5T+Z73N4xbSJih9733NH0baKP22wGbvRQ5FtRXWX
kGCxCcRHCf86DUlUoZn8GjuswrlvujuZotEzum5s95O2LU0xpXfsdf5VYBikVaEwwfbzCez4AdWB
zIWybMLU0UegRibOHZPqIWseKPGbAeePdF628ip8fZMYYgbe2gjMfJrV9xTQxXLcr7eTfqya7D1o
RIgqpX6P9iPudlrFoW1z/zbWXYe4X7RsTENs8f6pjeoBqtN86R7rAGHW8WihwoQfQI+GqMqDy2Wt
pj3GftRGEW9wGfSHKjwWRU5bwjgl3AnZZ5KZqVYdO9c29xkjr5pcdBybl3igxjFP7HmVxfKi7ehY
DW65b303WYEnAxMYdM/KJAtnuBiU52J60o0lt7g8KHZKaINUNMbwxtVf2gt+wn3x6IXRCVQr8YCO
Dgx+/009TnshsOenPZLhQuRhV0zWkQVq3vUpSh2fw4GAV9x5IPSI9axU/dsYPEgIgwsrdnwSNi4m
SbaQW2dN+XlUP0VWoTelXfeH3Dv1jU1gHMY0qiwKYNOvFbDyVZhPp8KbCb3r9N73CO/xMPKK2fEl
U2j+VHawQZiPdsHmYhH33th2mR2onsahVn/PKb4PIs31CZQFUVSf7wsuNOfjlmBAYf92ZvOv07r5
Abg09bwVp+sl34ThAEKA23IdiSxqcqtoy8mfgM2UvJvvAa3Mx6QjG+3536lhXtsURIQMBxj4IiVv
CRg1s6zpoYm+ipmDIiCaY0NI6TqS5u/C/hO01tXrbLlrU7Luztj5m16488XwWDZiN76bMtsFOGVh
FyLnDrn7yuvFpYvKL/jQ1S6NSc6Niu7eIoUWW8dzsB0D9egTzQX/B+DLpLB6pu5LcV7ZOB4z1Kli
dy2ZsHZpuqXTxROXFHIWoAzP5TiC8Xno/cWfdoaRZuESKB/a4XnoyIrMmLrnJYmR0EaXDfjx5vaj
84M/tH3dpib5KDWmWtLPTmZTAjoxHYle68+krs557UUrqYaL3+sUr1ZJAmXaev6g+DNQL2269BC5
h+eW8UseE9jwUsxWc5AP6yjn9dL1FwV81poGsafAGB7FmHO2cQNYhjdj5tFga+r5wxx/C9VvRytH
u5E1pA4PMGVLArP2yzeRJ98lc98ORrAM810Xuz+RDL6gJxLz4yXQNikFtJppPWgeMLcfSQi9517m
b+YFaYnoRJnNow8Wbp0Wau8F9R6NXl1MmW9Hn/a9sKeE0iYCoXJYDuQcduGAi94Tp6zJXmqH0rUc
5wq8kMmYOUTU66ir3wD5cvqSqbWRCxO+scGDOpMmFTQCQqE8McOwAFnXJzqX7t0lheI6hrMOA8Is
Y/PoSLkq3eQ+uMZ5duiZb5PtkPsXN/VOPOQXqm3vcRpdU9PDe2/GKIOkYzcSc9nKbo0/RL05u+Dp
HrpLYhAr7qrs4uTmX5mwwsdDsM17TN3lkl3J5+Aapv1h9LgoJE5TsZSXDyqk26EoXiitIFKIv0/N
k3GOrQz2j1fYB2yHBHJiAO/5aL/oWKDEjr84JB6H8SdVJpMB+hTsTrIRRybTYU1jZEpE3De7jVGJ
y2Rmai3d5joraCICnulcmDcvIjzdMXknITfDiI6P9lgdnKK7D2b8pUk/ry2XY2Lm0xuYCvruPWy7
4b33rbvL73UFj2kfz/QgD4+jUd5mhssrtNQfqxViQwhxOzrNjfaBk2Gb/Cd8RYIm50O2cF5spEjC
USCyjcJati+k95im/m+YTCQkgvQPHwz2TPA6pe07nIjn2bBvMGHXfueeXek9DxIzUmW2fzsXOxDp
oV+aWEFTPDpmTathStYuL/jdZ/uGsxqzen3WLcnZfLqUvgt4VUYvmKq4r7GJBYLBlWtSc5P3guRs
DDszVH0AIr49N0qle2i2j1jd5AqjKGqh8SQbiwIM3EVzeSy8WlCYNPqUwmUnqbLPoYyfarf5kn4P
ywnf4hizcxBaW9kJ1oxOXJc55SjAe40t5wUmpEoTzJeaptviQ7GImYT3V500Lq1hvDjTueMOk1n0
fC/tIh/5oI8W6r9VzJtkTLahdk7BeA8yA4ghLwydn4YBoyGf9lkqH8YJS0Q37GgquwD02lL1cRiX
5oRaUITBk0dRMhNiM5w2mTAuxovVDhttBW8u+cK5YSySeQeZLetL8ssbc7Lh86buGLsO876qmSup
O0vhzY1wOUbTBn/01ko6aNLJM5mdnU7SU5bBd6KFaCHVtB1c8GFltcalIp0Vh3R49JQ6Fv6rjuFI
yGQ/Kopf3EfXYROnjydo5TFcSd9bS1Zil9b3TJxsJAxA4NuGjGU2Y5+LE8I7Jllq8uiNcyiDlDyi
WAc5/1rgHkzdQQ2cNnUx7dO8h6iaAVAnbKHP0vjQTNRGYloP1tJd2rOPmMZTY3jQUjaW5x18RKdp
oPezoX59NP1XR0x7L76atTo1kmpsF+NzQyBY0AvOJ+CLDcBRVM0b7cArkVCrlIHnbZ2d3nKjOFhh
v3Vg9EwyJjlUfSak6YIioSbEuDACWC//veKjLV/mMu6f1LTvDbwV+GRY28ycwbAmQ7LQcSCgCy95
bLk6CBN+CsAmFcdPxEVWdTUyT66pdjkxJdyX/IzNaDylcIlV9TsDWjR1xiUykxOmA3jk+N+iEuue
ogpxcq4j/g2Vu6c+Nh/Y3HCKYBaivgO+1N3yybSiSc3JdCMltCpx6KFG7YDJXLXHF6e9QxiUFwpl
TsuvLu+nvbTaI9YtHD08ikl7X/73khfNXfqQ2+RkApwhDV5RR+RSDDH4z6OZPto6OdlM5TWOZ5WS
klPmTozftlYwgouDwVk87hXLe5HTbCO2nqWvsRm85cLmvo8DBw/Y7Lf7vLO4S3wq9Q1ehiDquc12
HqXcU0H9GMRnv0Pyimjftj5d8NGW+TQa/WZ0fyr9ZHKAXCbuc4SRfug2Tn9fQJ2rq1nhV6P2TS/o
D/FYMhbJo222dBPR/dyx/RimDb6v2U9IAIwBYKC5Kw/GftLlDGn4gqj78FO5iX3i96q8LP9cAuO3
Hwmjh2tK4ddWxB+Ze3uLfI9OvY2ozW2O0zNTi3VMcWhaXJjMOQSeimR4oASKE1V7zOz6aa7Deyx8
MCfD1u5pyFlgLFaP+be8MnraewnDWI27XMQfVYYtDnj9MZCY3fkHzZG/RFyrJNjgHMan7uwts1vh
/WIrpCpzLh/DGeqK+F6MoK0+abJ4NW72j1QVb9ac4U4M1rVuL72On035TCGUgb0Qhq4CkpuViwmo
fG45Y5a2PDju2yi+Q1fyFmtMN+KYAxVjHIIzNnY+RuC6fe0Bx5XGNmqtLTD/jc8KZSObOK13I25u
NsBX9lzkNm53oTnnYAfJZ092axrqWz7gHJpVdQctAOK31+RfGz4gdOV6U1vGoTV+gb87pixVUJcq
HnY8TaOxzxcomMeotuIvK/oXU1JiX85nPcCwq/u16EJ+7RLWmtZnw9xOU3NMeJWNCFt33TWvAwAw
ZWZng/GyYg5mZRiatAHsgXFPrk4O4A5y18VpxHSK8+ZoDPNNxyk9M8O28W0S6dRsuOHeXQLaGeXt
luDwInn68CHurLj4TsvxlWKHC1bcfY4tiFOgeorHmDsKX1dBDXhF1DTJ8MHbOHtSb9sx3aLxdD9h
hKzn8jTVzjYwvBPwxlXJ1JIjzaFsx2vTip3nevukKy5pT2Ktm8TNH0nLtklpMzpnB2wQKwM446s0
A10SRNO6AENotBytI/oPVxjAhpbwWYBSFcHLix0OjzDFniy4f2fQ61QVx7mF6U6E98m7lll9SXDk
7Ju+4myq/WOKFzHp821BPo1jUI+cqJLmWcLKXRW+OaKtVfCspzTi6v1XMimaiCuEhdy26GBd/2jV
E4vLWD3EtvwLudcJ7mru1qxLcZJpJHyk3bD1Xxqhr5bijWhxRVU+K5O+kjz+4gHZLom63kTmbEL2
PdZmgt9Bb93TJQzk1r8a8NbrVUIKyjgv4ICgqJtVYNYPUUiuKOb1ZjuAOZ6XgEULfS1DmtxgWFaj
fBi6caOhjtEJTMbAizH5Fe1bZz+3KqL4EC/6vqKCbvlYfsUf61Q5XIjIecxC5wqmaWe4RsFDwsGC
lnN4LTiWGv+pcfMLSI/PxuLjlfpWtJeqch6bmDIHm9+aaOBIBMGLTvUmT+FHj9aP9Jhb+d7vXkxI
u7n1hJ/ullXs5E0n7gG676Wo5S4CwPF/hLv/Uarv/xMMr4WbBwHn/113evma0+pfGxr++9/4b7uT
+w/T9m2aFiDtcuv/F7uT9Q9G9LSW4jiyTBcY7/9N9Nn/wAyO1m76+JE8YSP7tJXukv/9v1xzYfe6
2HjNhVyKj+F/ZHdaFLF/0XXAoFoIZeB+PT4CnqdFX/oXp0YOMbUuBG9MwjvASdkA6aLEQ+ES3K/C
LMQkz1Jl0OAeBQEllYl+K9OBcTA90v9Bvft38fSfnyXwPd/hSyKu+O+fZUz02FCcDN3Op65PGVMN
lQQhosepxxgGJItfbBuXC7EO6gvBYII9HLwD5xQqGvvAB7H/df/M+1bT0snMgti5bbF+Z0jS6DcZ
gGKDtFLMHExbr3zQ5WiuUs7o62lUhHiy6/L/RssBKVP8fJ18thYlxLQGjkxhyTGojXdUfD1gg/+E
YFD8h6/g3+Ts5RtwwDKHxCx9gpz/DqV1Rj/06jplbDjAjqvtmb4zzTh3JMnIAL4DFZfU/+HvtLx/
V3GXvxYrngfSILCIi/67LcZ3u5pey9leoXVszIH4P+B4znk1Vu24Wufe8JYSaIlIRmwGMK/rSM2/
deud86UfC4mNtjdq5eX0mbexfybfJPEVM+ap5qnddz5nzTwO92ZBcUG0LXqRr60UbEFtzE80xj4N
HuFlItS3uev3qY907ht9ffDj8ODGwxfJUGrs+w4WQgDTQ6bFziO4JqIQr7dDB8QfaxlI6bC+tCYt
e+P8JWI+XFDt/QXRw4t5oN79o1zgPSMcs2kXWuMPlnLmzwvkJ2B+TGYd8M+4IICk1L8FTKAKNpBd
GUz1oQVFKep2tQCE2iQ62IN17yEL8WROG4P5BewMF2KDzZ2vgW2lpwCY7ACcyFTPdfMiZ/+F1iyq
02AY1Ta5+WR6MtNo2HWEW8PIuGZu9ZlDP2JatNykn4MFi2QugKRG3Vrbmjex4T9zxdFLyMxcLdWL
RErE0YmDL99c7L8LeknUEtPtjIhWkUvK3mnIhiQGa8OG2uRBb5rFzCc/SkvgYfTEpu71cy7NfD3D
fQrhP+UThL+eOk64UFOhfw+qADqj9hrjd1zRegsKdl4tI5iibD6NkBkLTtvfPR71cqFPFWCohMkV
T05jdVEdBFRfgiltIKWayHt6sg9J6f+ph+EPX4C1B95USiSiQPnr1gOYn3DeIIPFyRDDMUWZb1O6
0JLsLyoXTfwQ/EGG1z+abfXH9PpPV9LDzgK3Dib7Sdu0RuaG8W5i79oHhfE2UKhgw3bMMxtTUkg4
AsqtO/S/KAZt0QwPJA8j4ms1FqaGRzVVwUNYW4Qz5pEWPw68pgq/SavGqygHvtPzURUEUothoMXN
1CfxivHKfQqKlDVTMJt1Y3wZuip/x3J8nTS++jZLeFZmue2K7JCXSbcFdCkxtTOik+Qk/OnScC2K
c17vlLdrJVwcaiF1wXQwe7CokCL2+ApOoTMxvuWkbFERuuYlw+mOegx56aXljsbw42yr8k0hIZta
kEkc+v2UwzzSO2fo6nXaBQ8FIV8MzghUQ1JMUF3SQ52b0DYyWCmaT0BB8dqw2pco9JjbYJnvOUo2
UMeXRoJoW7XuDxQ1j+BfWuFvIkV8VENANLdNN1AX5cr3AzSzKC/5eSE5WhF0OKoiV7oWiuk+CbUa
4OAiN3JbG3a2huDWeKSd2sEgNBCp17giBFXmAY1243SMeSJWVOdtzSh6Scf6jZgDsT1Nfi/FEumH
WMWEzzmwEjQLDePy0s/h28ARji5K5rRN9RjLN1n0txQ0r18VWPfruHtEPJiPGSOwOlb4LrlSpwwQ
qM4J+YQoZQlwPmSCF6N8xLxF8ZfiMSADT02kEO9F57NbVEQjwK/FQ7x165warNp7nJJovvr1iJ0f
7dZyb8UcNm8jCp/jx9u0TC82HO5UcgfzIBfakBv50hrwdOe0j5IHqN+46YR5FxYM2aZkrs7d9feS
kOqj+N2Cw8GqlNnksf4WUjR7n3FBbTXvVUnEoph5BxQsDo6UPD/gd9pkWT+Ig7UWRdYQucCVY0LS
ZLhiB29EQ9YhNyMsmRSQ5bYLh7oBktcl9mMhAwAgMovXdUgNeecygKgW8m2cWu+xFZ6qcMk+dfG4
mmFocwWYbqkbInQXsH+9Om/XYKtxB2VMLNhngz0DzBbi3oOrxFtbcY5tZP3bXR/dwvl2UwCSjSHv
kb33A3vcB66JZN+Ca9EVkwOUR2WRbppjRrHxZVDRtSCox8DICjqQXIV4aqr6zarC17Rvb0pyms8l
sOCAzmbthiRZB/FeZsPGdlgpWNUrOGOMcbOw3KFlDauhG37ZsXBXIhi5c/eUzIZxiqONy741+C0X
nPTKNa9oHxKjA6M6CLm8YvSgISDlamoOJvVUQ0c6ll/RXfmMzh0KaYShFz8at6R2DJAAHQHY1Qbc
SkLtIVUcWMwwLnaNIqUJcDPMUNwGbgJmdwu4UFGfoRzSdWTKTPVG4OJY5Rhmo2I4CCLHYNtA1Hki
+U2V8d/WYvbKqHAvqVPdjdBKN4XJAa+Opgc77LnNGf4OAr44Nk38QLL/1IQ03ZD8A9xNgUDvyHmb
TdktLUK4l4Z4gMp3I6jzOpHaWDM1qkBpMp6YfLXtJx6OnnQxMxTf9s4VSRvfo9y3qfmDGPdlzVLH
HK2HDtumGzbNBq+DbyBNJi7TtCiqmnMBDAIKe+3Oz+OcguWMNkFWB3v8uuS2+feMyfhuRRkhaBBF
E1MmNo3wtzgY+EmmJN+NYgxQT6d7kBhPrTHQ1wpR1cpjZz8smCCH2Y2kLupPFxEez33r0Ogwh6Hz
5hjcxsyMGFiFrGyzWjGzc+QIJWxxAkyKSM4YhhE3OyY2XabHbTL2HuKG+VeQumfZImB1bgR3ZWIo
DGgooPLTe+r00w5kpSRnZY7Nu6H959gyTqkQvFKMuafBf4GV4ewCxv6tokxG9HQDYEWButcW59hJ
8b5iTEAGXUPJwLZ66Ltp29moJLn4xNqQ7WaVcQ0Pmo+OBiAYsbbcu2nz1zHQBnMP3yPr7za2qSEP
Kp6KFlUUaRSfhILcivTaHuY4+vnnuwGe6TUJrG9rINmw2F638kmXNvjWHHu0a+/SjIZsB3hwNBq3
oSmJOpHPoehJrNrMaXY6P0xedQ1wAK9aB9uIYj6GZkhCLabuaKZPet1Zr/Yyp1PJJWDsoDQD6spI
KJ6gHws2xcqGRQwPD3yIbb4tK/q6dkpItYqu5Y79Ic31bRjI54ThcO2ryN3K7CEyfDSohSUm9dGu
yfY0yjpPczlsJ67Fg+lvIjeqN7aiAkyiP6yimFAyjQEn7B50BIccO53R+zO4TriOMzDkTG8RZmlY
WLWKRFyhupj7OZpEjEnDMPnWjZjuZ2OI6fyW5sUeAlTHZJbr0YyRWllAowKUU0Oqfjs2b0pbBzey
9lNtYWZOduwARXUuisK6BjlSRKJVc1eT2kVzme00i91GkC3DW9tBUuGsCiZsnTClKTtMpeSZ3Z1m
lpSHARQWjAFWcxXQnHCOdrjIKEGz+/IsOhuasOGf0XxTJo8OUzdNwoOvIMfmXt3bnN0SoQGvpr2h
7/eeQcOaIGyfTQUGJbbsc+pG+8hOfgym6SvDWTDyy+ljKnN6Jsmz7iY3f2aWgAjn54cZn80lNGmf
o/mWgVkVV9iSumtEtRM5BBfpBLovGDYGms549twu2Qkfvd6yxMtgTRiw0tckt35CxPWNkLpamxRw
8fn75SfvEOmTZGcuKVsR2N2ugY+nzQ6XFhyPVWPAURo0PZa8EvtC9J9mgAjuThliFENh2S946ont
ocietMFvZoDGswMICi15Iq2s+/BhMJJvbcMOjtv4XdQeviTdPgUE4DZtHPI+ThwLgXNhbk3qnZO6
zbEW7W3Mxd73ECVGwu8mF4seuPRK0gRBuRgOofxAP+uHO0YfzRAUx6IJi1PZNog4JofLuWz3UkZ/
iUSSNG4DiF3u8BDy5BfDmwvMs7RxjjUY2Vj0UmPVUlK6qkj0rBBHKoo5a3P9px1Ag+TdRBsdbPLl
qarG/kPi/IBGOzPENuwfPf4KZma8Io1+zyZ9ipjHmgwmFvihnaXR6UtXo59hFyAztDX8tqUHEWER
NtAhnKyHnoo4MHGgDjVPZENwQ31p+o/X0i9fnXbgdm20RBqxqkHatgK9R2e2mfgzQvX95zklC2iw
/k4q/Z4S/5CTVYfYcZEhjcuWCWgixsaYcs3SRAfZRI86fh8lUAY33+W6ZIfxnxvOk5GZkpDv/G9X
BN8XJ3MUEjPdNdEKcszaAIO6zhrij46s6aIIyX0mGJMnDREthvJr9AqL0zijNUw99xlErpzRcSbr
H9dh+pBpDFEF3/lU78exRYqrnqs0XPsGCxCClhkE727pLSBF/ezG0SEq5U+eYZszs79TbV8NZX6o
uPurvVvljS91Q9lil3Fq1dV00gUiVJVHhyZ9JGj2mucEkSmKpc4VP1ezlI+QnYddd59I6+MSF19G
Wz0n7tq1u1ers2EetrwxbOKjbn+7sD/SgDNNTQ8bTOLfvg8frWZxO3UTZ5dqgaQwrnfaUuwbFF5T
E9yn8WerSIMn881kcLoThGY3AT16eQGHXQGxrlz92Hj9xUGanT0ou6Kw3+3MvHO3+G4iZsrJcKVu
mWQS3YjrKAJRTSPa2WwF3SICcpLsOVbBx+1P2nuqers7hCZHoSTDAZQGlQGkJH4kkTZjdCi6TRAi
U33UGewKAGq3zBw3iRPb0MpJaNZTiHpMgHDTIflxFbJWxuAHVwdrsZ3RsRDV2UCrB2HeZJw2XESI
l9cKXpJdfcSSpuREQviWtvFQ1eWdrl/uREEJ7LsHuULkbSaUYtbVg6egW2T+0xTVWBN5UF1mUiPb
BpvSmUAwiWCyu9FgPOBkemqbSZPPlQYslHFclWK622XOHs3wd/bkScDX68PbnNsPykHYUg1ncdBT
m8aVBl1ntzSzpm3RwQ+s/qCS661oyx+Wz3wbLQezOGm2rF7RCTTXU4XxNFgyc37q/zWYGMMaDFi4
OBeehkajFyTOjwS2wk7QHrt2fptNeiClOd8DCc7GTEBDKIxVjF0ujaH6kz1nW4SfHuPoram0SRT+
Nmt/V1Zw8b24MWlt/uq0faOgeEQy89eFk3UXWp3KtT8uZyJPfqQLrmdSgASBclDgotvTnFFE2bHO
tua9ltU6icOQTBVNUsz1GdbnO58WnmSw32cBjbYO8Wf25XfrtmDrBsciUPRD6ZLecshNEo+i4oZN
pqmdHzdnGc+r8SsVze/IBDOfQ8IXSPTQnrF1+aknt2Py05Jy1kSO6Ke+NfGy1vniZc6rQ1/T/RSB
p6I1/m+65I3QqohmhD7uOwOHYe8z65nyKl0N2W6A9qRnvqmw2o4G+hzDovYwMZWxlZGteXWZjtnv
sXKhcy1MVI0TliKzdJ2H0H6c+VmF47UKaE9d6D0Qeb/aKjxk+Ebo1LiPwPhz6W4r2jsFcwKmk+rN
qYG2WHBK1dB9aBf/5q/cT3DUpt89Hk9LnLOGd4PDM8Rei2Jli10grSOaAdgk64GDqC3ZbX3jOy5/
UQ2A7bv1fnspHvFAjt4mDfwv00H/KsfYoclPwGUB8dtVKVp9EdgblRlwJ/0cI1jZ9cccYg5/HZ44
TZTrOMXscLaDH3aYuX9pDtMrvKBwQCsO+Fl0NDqT7adlUcg1CX5Li2utmWROGHqO4Ehw1/jOiRm5
2kRABa/96HxN8DrOqTgt6I4xKsrLaDQ7yGvuY+0Pb7Y/MSiMNBX1NjKwA3bjrJDcT43jE2qEmVSn
XDbSSLubjgjeSvnjwUCbvvS9uSNWOu78YEhOdTZzNez5Tb92i7SbJr3atE6yN7hw7aazn3TRKUo4
c4Uzfao6eISyTi1pAwTblc13Ruu4YYC4z2JyuapkWp3af7XPW4ipjI4kG2mc8xYA2g6/xFhzn8gw
os0xsxpRzLuRopZtFzIDHfjpW/OpCMi9ppVpb0klF7wj3UuZMoJG++kiFmjaaYqjG5snJKcEwWeJ
iVJQg/s7Aj4p6+0QCl6PPjv4cLtiTCa9je9YKvKBvWYnqx2CdG640ochsesbFZ4/IojIBeWC3pEB
AHaSnbrZhPKBuXRfwgxpCwgbiKbMSgpn7ygeL3N2naPG3FuSmVMeIK7Uj9udUMw5RXngOe7WhXEY
lO3SZB9exo4sHhAYkKQwLvWwLJC1oMkMRAW3jxv9I+4Da2e97lPaU5iSpYnr3jX3PR/Q0AkPz27w
WC+ifsTvbdXWBc3eEdW0L6k8lhOrlhy5XP9zij+OfsCZa7HQ4oI3+OabLKi2DZjVxXizYtH0T1Ws
DhqzMmCrAD4NJ2X09+XnbZdVTDyEHud6cCd0BTXNUUG0C2TzWvfcQjPEA4mbiI9P/RVC7wOIxH1H
I/AqdcrkHrY5xQ/2nWNQdqwCJ95ECcM9LuYR268rd52TxAf87gApQvOIyemdpzfYdKQBYIQBS29c
/6CL/Fl3uQ+BszqkgZGfqpR6orDzdo3ZjCtYpnQSVQ4GmIULntb+XuCAgQAXnaogr7ct7k4vW/hx
DbkRx5wPhY/1O6jebM/Md7bRgxhJKri+tcnvtmn2yX9xd2a7kSNpln6VwVwPC8adBGbmwvdFcrlc
LrmkG0KhhftOMy5PPx8jK7srC12N7tsBKqsiKkPhLhdJ+5dzvoNw4qELfgburUPkFvddoM7lDPNC
/RUchOVds8x/LXTU6qKn9Ef7t+ZwECguENf8vgB/f8rI5H9anhdrB9oVkzPa78xCfGWIbV7yY2yT
0t1VzMEtyVwoHA2orzWXVJR8JijbIFcEIOxuDYrf94BpeZgtkXAFh7jT+l1W3WmQVBfD4E2PtTdH
oMBYp2Hio9Ko5IjIs++ogupmujgM2LfoL+aah9uTXzGEHayToXAvGAlPCwCw1LYkiqH0gJIEc1/q
GMyBpX63g/vTVtanF6DYcnR6mtrjyRy08FMBDJEFqCE6qMdtozcXi7sP50Nz6eZeM088xDNdfITi
WO7CUZwsTp2VmjaIBbGPhGJdpBGSFqZjCCx8fS1pLhedrI0Tg2DO7nm7S2wH4lz1NakJJozTP3he
CN3O1SkQewKAkfE0a6uXGyOzrn1GuCKSwZoGI3gfK6g6CSAv6iImn9rb0BBoXrTuABkufRtNsMHD
wIPHN5NxrU/8/1PyIikwlYluvskho5ld+YBNGWcpsXjzX8Uzc5YXirv/VZWuRPdtssJnjsMQNTfX
ZiijP/AY/9KBr/8He0nHMH3bNrDIWML8JzvX1CMld+AULVRuy5VOATdVql+1hSqWms2zoHVzWGG1
fvULfVtH+a8a0cVCL9i//8My9/zHLvR/FBK9fVx07f/5n/9BsKDJOlIY7GOF41n/TIQwBSALd+Kt
tIq7p02C6sl1YSU06buSunmgXHu3MEEBKTPupWnLOy2z4fLXD32QRkwd2v70+y39t7bn2+9ypm+0
/3v+qs+yogQNo+7//vW37R+/D7/LGdrxl9+sfwM8HgmuGC/frcz40n/He/xX/+XfMSDXsQID8vGV
xwWqaRyfn91f9uGst//zDXqZ//povv4JGvLHV/19i86u3MDo4rMcQA8oZl7GH9AQ72+Y+fmPaXCw
mp7ncKX8ycUFGmLafBkrZd+Fgot1/c8tuvU3x/WwTeqmYUIagU3x5/f/90uCj+5fX618N/+4RRc6
rwPIBKSJ69mz8/evW/TSBg3e4UpdTKXpM3QjHw1JeooOfyFCxivKkXLHEUFXFarFCXJu+N3WNIL/
+aVq/LGq/cd9vvDmVF0D+6vw523ubE39h31+OEEsqDiR4KJZKIHHST8Ug3PuR0GF5glS4I0QIR0p
fW3JQpYSFxwmkXfise7qvZDMK4gvYsLbWbuq0dgIam9URyglQ0TFrfK/VKP94tSmDXB5XLmFmz0k
Y7/D+tUs0/zIo6FZVQQLMeAt7roo7w4qas6tYX1Znnzte5Zt2pzvxZYBepm1JlhSRxILb1w5+ueQ
TJcK0p3fzLBWHZE50G4hcJl2mWmdpvEnrrJ9OtrPJKE02GtsgAj5Z18CviSoUVCATyI/gK1/D0LJ
9DXoEdsH11bwATRmvzVLBDBBJk9GUb1wdFxTyzroEQYLnz+hFxV8qPwoY0YtyciPzqS0l3ZNktoI
Q5/ARvzNzKHwNyLVbh4ab1wURXFqQsRaTjFg6XKPrZX8KqoAYCRh6jUwYpYkGakYeix2hr3JHDZd
PG6AU5WNh4gBwJ2V/0SkXcX0IbHOTmK2l2GCTZdDFl8H0B6xZgfYxbIrDEXmoI58CjE574SqVmQq
4AnL+11cIumPCxZwQWrdgq47WN2PMWkduXGQbzGUeuuKLDtCgUpGV3H1njfqKQmDYzLlHxUId6IM
tXxRA19BC/US1qpaMzJ0EAsJmqQO8mF+ryauGqtLb5Wt3drh0pnMFAWa1wjqxUJoE+1jbbQb0uTs
U1zlW1EdlWyvsO625YDzwAiWNUnhhW0Ed60BBiMV+bU0AFPqqc6+CqekHT+bUQ6wcKhZC6FyqzId
MmZh3HUk+HUM9Rdw63zOqaLtPljB2cspNfdept5EzECyGiT7QUVGZqMjqUP82ILNjy3bOk5Mvo2+
AUfHUAozOI6N3hrO0Lzwo/L9HQ0rMReodSq2jRGwEiYHO/YO94we9yX4NjTpzrOjeR+mnTMNGDpw
m9ZaienS4ANYjAYMhK6n0yuguIEo7JhaY3lDclfiGolWAsTyBiDdQUNLziyniWDi+5eZQCGinNUV
ojXWyIesM7+mUT2PYfCVWWCu1HQ20sLcxAWaFrBeXx2YHrad+QP0TLaIqZoQm8MU3YbqnJIbtalQ
lDAuDR9iGe4dG3lq4U8PvOV0pkDCRXRZK7eaTRDLNO5/D+BJMiAMpnrxc/+kcRcP7jgeU8F7SkYW
KDDk9/zPJMxpGww6LD31kRYFC0Da4KGgyOYuzbsa206PJyLp2mFdfrgDFOoBaWuWM84sY73cdWlw
tHSKTaRosTwnzHQXk+x5bau/t6LEWPqNcTTJn0v79mbHOLuG2FhHaUgKwCSfMMTSBYo4xWUB8kPI
z8aJ3fkhwBPiVavTblmZQbZkW4ESg7ciwo5JfIpeqKVEg8xh7X0tochJK7QFs8sGtZNpj9NWd32W
yHEX3UUudDpQk+ckeZ78+x5a/wMKeT+cDipGVR0s2WS0T44X4SuYhE+yXP9UQBPd6YTt+W6kyDJg
yFdO7iYMXeiTk03zb6MUhvc4OEgrDSwWJvNaf2ScaiXJfaWzdgnbapvWwSPKz2yhmC5mo/eheJVe
mMk+sOsPRLkQC3X7Rmn8PJRMNiISa7w4LxEuRNS6agDKALsvnO5lZvcnd0VOU8P4bGlUXbtoUr1Z
a7OcO+z1p8REVJl21Vc+205VS6pdY60akvu+aMyQzdvFdxBNFzngoFZEBGxQg6jq3ctDdYx/NXGc
HUk0L4paHfD0OVuVj3cugUGbiBDdZdjkD83MWUji4ajZ6exWhCuqsOdY+bRvM/8xGvpb6Fc3ZwDp
5I9Q5DF8fg3Qnrs55DQ52IO3gDiPra9lg8NcpF+Q1QPb1e+YWtInh47uoBG2WYqEj62F6c1tOF6S
Xi1JR/zQXPZhLZYA3WKo1RIVWIPLHO3hp3ZRwmL7KUkNfq5xfcQdUD8fAl3CEo9F3rp3nLtK8GU4
LQaiohAZeF14gx11Vrr20iQv9jhca7T3jqh3HXAUTRJBZLfPhQ55leGYOxofI54wV3eoX4OXgDbN
SAySQ3AbCJMdPI+GB0NjmVgTvDBE7jVwEdnElvaBqOmJLGb9gAGYJXtPAGo0INgOzviosbaIUrtn
GHtfNS0R38hHc2QCJdKXdLZCIRROSYaa7aJg+2ltXrICJBPPN4WEI74VWXokW3nNFuRVOL23fYmM
1CDikL3jBECcPWCJal5HnTPViMudyTo52muYcoHVubr2807PR+sbFVO9bysmxDFJeC6KkkVWjbgX
ubCLyn2MfHapwaPp02oY+edEnA+JXupF2fyAe5tSf4C3G7rZq6wmdYhYeWOl5QlTD4yPR+ehT7GH
9LHGEiO4sxoAoW4WIDPAn0vTYgh6uszHAc1AK/QxvOd3oCLQCr8H7GMTF5AuG332samL60qXa6P/
GsIDm6roTIibsDN2rHn5VZJqDMbQfipYeeCFqHbWZAHhpDSiUyEJr8f4HGMsF89Rpp4rEZWsg4m1
jpmUsmUJm03Vwhk0fLTVw2duF84y7NpnqJAIspuYZ3cbQvO3ynWWj48EZuMtnpVHxRi/1tBNmKeF
2K+z+kHOKOAIoCKlDAGhfTLrII0QxgsXq58GeBJlw0fNWLsqRxQjYzX7q9lmt8kvYRWnTpa7TOY/
eg7SmkZYWxLnEi5cFTE7L9t8aRIk01lMJeuMyJpUO5hhMuwiEz4tUs1n4aiIZei91HgJlCnYY6p+
ugYYNMiX1RA4jDsNW0EgSalshAHY3oQ9w5kJx7nliHf79WTo72MM2LqvCSdGAgTUPUCh0qbDRQ/0
B1ma3xHlMrFiLxJKDbL8d3Pqt3Ze9vdbfbScqyfiPXE+3tGIcDnK8UrvD03UXft04l6K5jN3vmab
UCrFB5zSeYTPljL2RvpuZAZeVp7mVLLEeKvi7Dza9RtjMfyE/OwQFuwA6VBHts4dzE8eLVHOm0F7
5rjlHSo/OjtlbAwc3vCo+107OndN5H75sVGwqbB2VoslQLHEHFh9hBqo50qAaM7ZYHs9qlUhtRdD
6/e1EY+MZNkmpnq1QYN9GXtKbVkZciMdqR2sqHvJORRNgb3fMtTSGGdbX1u+JA7nn+itA2XgnhHU
rq/jbJFnYUMSfMz5PJBqN4ilyZsGCLEwRM8+J6D5F59V6TzKrkT+igiCwW/1wBkKNLlKxKLIuCNI
U9DnyB7tNct1YNQOuGvLp7hELs8we87L5MdjjruGDfQO1RWR78hPMr1eRTmMz4TZmMNwpvCTve4k
CeNAfwCsv2cRjdtbS/l0xhLPTyc31JAMGYC+tjZVBwvvHSPua13oD6mfF8we23t6p08Ch7d1Vdac
mtZZEpvD3A0PL/ld705dHtyOOXBUm/HG6OSu6fpHs0t/wJmMvbGpeV/DJKIVkOGlM5YxtzyW3NHx
sZPqGPX7zcB82JYnZGPEyMFk9rNVXzKirsfwTEnxqEXIWZFTwVUX8Y6lxb2nMKNS4+3gLlE8IbIa
wln8cFdod2A5rn2UnsKSrbAMu1udDPvIasBjkyeHgz+I8jvd6Q4aM0ZT9PuUkzCK7Z2qo5/ETj9B
EO/SPRNC9BJA1Wr0XLmubmRmH0odq5AxvnK05PzSbrKf0lAXuGu3qc7fUe98Uo3NW/GcPac++WeL
zYNoWKQ0IB/u/Mq7YnskAwvXIadJcM3qbWklj7ALuIDs7KfQEVVzatmuh5ktuM4BbrFwDrUyj6w/
zkXGFTChQ+O4TT7dsb6PUxzwxFyaVXHuhmHTA2fAzykRvy+8JjvhC/EWPjtEU6q31NC2Tda82B6I
NC9/H4ySaYm8xIR1telhGJON4Q8XZa8BUH4UkzwEc3QjNsimGDAZn+WwsjNBYT5eisJ6zwGv45r1
1Ys3ZGtrEi9ppGN2NueMOPfalPlZM6Nb698hcV3Nr9YV8U+fJJ+tqV2bSB4mKzlVtTywDTxHtboV
9El2+kBogcqfAM39aLNpMzI5Mj2JOoxhjmVSVQrV476dpbUmayB1cb3u4A4lfg9iheH2zaaRwq+2
Yylvv4OR7PjkcoTMQY5h1GwdKtykdrdamZDch3Z8fhOOfrC09ixYuwJkrM/2oC4FLpGyrM6ZP7dr
9YnK5Q6KEmpcdZMq/mT39dxH9V0ycrilEH083rPqb2OPtSWV2Qn2arsgcSDm1s1XhaJICMw55mvM
TrLlk8CNZAdYzlM8wlFecR74Vz2inJM0b6xsDy3vV4TZTzQc+yI7J26GKtSfd2HBvAOLf9ysv8wv
NZDhuUDUGWveuW/R1Qf3rhM8/f6C3+8nqPHBZJq6dI1Gwf1hVNlp/puHuL9JnJ9dTKpcExiYZ0tc
q0hRkukc8eaSwL+GDu8HX9IqSocbT2MG1eJIlgn5qbzr3CKGT2Fe4qJJIrnQIwa9ln/1RXG29F1X
B4eQO6sElLLgqXzVjeDW5fHvi1WF5V0i4x8ErfcCsW8+772FO3ygUcMHDbOLM2PRmzmf9LCfgGsM
6cSKubLfjdgMIfaDDLKJqA8Jp5HsWBFxM9FWo/NBBt6eJsantUu1leX1qJBSMlk7I9xWmndIW2Ra
HLqXkgHHSppfjR3YR62lumzUaxUHkFcdXNViTSP62BndW6Qj9zCgav7mHsQC+SmJ73SaLVBPwBGZ
1aSsMawLQe+U57h9xoCDA4o1HVJypvkz5/HFjWTtdimSAAh/SmhwCNSq77MrW72sZKdgDM57jW48
zMaPcehP7cSMurexhIzjogzsdWtzMvQVyz6C0Zkkee269TycE8uRfbVvIAfpD8id1cq0EI1WMLkl
r3Cx09xb92zIGe/na2U7r05Pa5ZG08fUCmvdIFRovXEXUCas42jWlhv2Zx0XO7uPxn0wg+Wwb8qF
O9IkRijOuT3CDWQeBDB+tzVSUjdkwHH2MmtROffIq0eLneGBJu3DQ/ExlARtiCfRc8C1GOarOXl1
KCPUrq72nnqTWHs6tUUfMWg3KwdWn+L8LZxvsGJAOyq5d+Jm29qbHEHYijVmsQ5C2o/CjgzE0o23
w9VClo3KLnPedqN532xgq0NmENasaBgIEvWQSv6k+vRhWTU5i22zN5jpruaJUQ0Psw3ZgffKPJBG
/QuJDZ5CY51jz1uMs6+h5ENbji7HFWR0Muna6B1zPXe8AYjbI1x3jDQihl1lwS7q5Nn3s/sknXYF
jVnVtkQTxaoHSVXXa9NtdmKKfOY6xG2oKtuMJgmmuNFWHuvbZTap9L610IDBMvglegoWmicrqlG6
T9a5RTykurpelfl8prrRlxuq7fxPkTQHt6A0cdAQHxGAL+M0/UT442FbQ7/XOkhyiN++y2HepDUT
w4wDPwNyg+8SXbTHndinlwCOBdJczqp1h01mlWotNlL97Lv8kJ2ypb6baD8Sk6Vs1aBm7zU9O3J5
o8bLwmMUAkpw6+7QgCVZulM1rD1TQ0c8zi2cWyGDo1MSylNkBJMhPA0GwzEe3XVtfs8+4YhKhQid
+7ZiL898sKnd9o4cskcyOOmoMinua71HJ8OBDmb5zN4+fkAIfIh9dB1ZXyKyC3atGm5hZKXALyO1
zv3mEOk6v6iGD7/FtlcnTDlj/xt0Eqf7gJacvqzLWEXH5cgSJ84LaOn6ufX5cxQgCKVjkkRtBaml
vY9St1/aMnj0hvIGbkOwaSDLBmvBpLhNvIA9d+FNNC71ytPh/Xo8aipPsmn0oPmTlLIcNFmRdYBg
KQA3WuvSQ+yBiljNilGmd84qdzx1YOSDnOoFFP4OUyuMgiJF8eFUi05VFxmA8iElPPQVpbuON9vq
zWVPU8pasHk3I594Uj99YAbv4Z0v6oOln7KGB6fh1XtD5b/Cur0V+HY3QlYwLROcR8iP1+2I6mzs
YiSTcsnVRtAa04alzi96dA8fdDAdDb/frLmoaGS6cm+RY7UcSO4ycO3u1Fifotx/tmE57WfdY+8G
v1ywtFWPqg1LLiADARWuDTl8qmy2imbcawgXYc9CCDx2PKDpq76UybDDbem7DLk1+sLYNo6xMnS4
0yUeEYNp9CLlIdMW5X3bhsc6xzwrNKtgs42+hlCw1oogmHRpuCrtqdqEojDvurYg9qypvsuueCw7
iEYutLPELd40ZjzbKp7eSs1z+MyQDCRAbYL5x2a0mDRC1P9xc9Fsgxh1AG1F0bLYt8T4mIPT9aEC
8xgwrbWRM6dxrZ3Ei3LfqSHaJHnLkyOfhbEk4obHFALEjtZjXJauN60aPUJIPts/6o/U0DFVdBA/
hmJkxomfIJ7Qu3cVGd4hLN5E9E+B4fmUsuMLdNiRCLVHXYveR9d8ZNgyHcMcWXbQchQ5E59RbOb6
arIM4sUdHtpegCvP+kwNu3+sNOeZEsY8apN6Es1rbIUnqCQuQ0cTyX6jbmahBRsva2Kc0PRnKDxx
r+g8lAR6LpFYNiw0a1PL8TSg6jzZPOwdZMgHqSfYikoBQANy5CJJbk0TWShh9GibDXgZ6t4kmcqa
p54iYpQ7nrIh6tddDs/O5TDoB4uBahXjyzf4UcpMP4b4xLVcYAAYBaVAjl0cuTuCEUVHmrcou9rh
vSnKJ593ziQxR18Kw7exbRwlrwy4xzWxHcu2ZaApu+4q9Fg/RaQCGvkY72wzeo7xtS1Qxs5JI3Qy
CQFxrMnXqDjIP9COY1WziLecS9m147ruf5GC5a2jnMdeXhScJqg8iBh5mFWnNkJFcjyaiwlvFVlP
iycj4BZrcIEEXv8cNxUh2trQrQc9KzZxBXcCNTOac7Nbjal/H9UGFQBRRWOXm8es++Bkcu+gZulF
0GymYNi3UAlgk/v1GrrfaYqEvqpsuOPSYHhAZLQgQ/wQA3jP5j1zn9RvsAJerIZjJ2Mu0eaJ3Hht
88DAUFvUwbjnmVpt21i+BirSd6WW/sLMHR5MY/aBoBMsVW/xECfMdrJl/CRd5+DlePtYfFEguMe4
fpM0nwdpqU87S75lZnLH+FKA1UE1msUGxyeb49Jmw2Blaz8T38TFXkrEkdDFDHAanvtQdMkvegK5
yeuwW24zC0IkcZdEApSUrKxf8H7AJqSfUAdbps9lwuaizFA/6Sk4h6ShcoonyS3QgRCJ51TzuDu6
9YhwDE1flxn2riv8cxL1iPvn6EhXYT8IbXudDMhxXTcCDpjkWyaWLpQkE+WCwx/oOVsa7LyLmoas
GugkMCPVSLaK9xmzISmSCfMm/tVRn3UL3FDoxACgiLgH49KW+bv0uLoQpW9CSv25dXO09h4qBKNp
f0uIGMOBiZ4usX5kZhBChvE3cxmhGw4vivIHvWy8Biz67esJ0rBGfAXmsHMqZj2uVZOORR4RuysX
jErFENBuD1IhS5b+6G8DhfcjjUAjD6DFCZyhqg+GEadNMu8eK7kFBlfujc54zfGuML6uxVo3P6Gq
aTszfqIAQt2XDC+J8L4qFgUoogHGW0Aa4y7LKTwunsMs1NUNyD1EUkGuG+BJ+fBLmmtSn8yWa1DO
PJqIEBw2TYZ+GMyCqq//NUztqRtJakr7JFp1GmOSAkRJ7XLOK1QdjDlGNp0KNoXePQb1HBZmeCsb
GwHV1akqbHEUbvFh0H+7Fb2HY8AQUvYPKYPs3zgGHaxuEFUXRQQKtAiyYCFGG1YoAzw9it+H/K5u
9WGpRW+sTC4Te5+lXctbHKXvxCzBPZeXqxWRyURDG3efaY2Jb9a5kovT0W9qXfrZT9RZRnmZgTJZ
QtUwjPGPpQeXsQvmRE+oNQifjPIuHMydLtrD3Dcj0dlX0FfmvwTZ0Bnpwsmpc3Rz2WeQ+F92zPDB
ze57dXXIkVog8LoGY8c+V6t2KnD7A1l0iGPL6c1pkHHZubUvdFS+hcbzy0uw6vbAdxKTB6vBRrXR
vkfTeFGRZmwCC1KOgyfBq3J7oRvDRAVeA4qb7ruuCODacQ9x278TvLkLM67dHA1hCfcEnGlda3R/
LEEF5KdghIbpwa8Q+vghRSUO0is+FN57CCDwcasg/R70irCYyL5W0/g56ONKdP7VyrQn95AlMc4H
/5qWSNiZqp61KGcNXZ07hKlmzNjBY7SioUDsL12mXQ09P9cGtA2is4aQqTH6f7y8a/iJID/Cn1oW
71Gf3ZW2vBRBewm15Zikd97IyqmNy/fEM3eY9xjqMn3Ug7c/brVYa25xGX6SSn4LaNgGxrOjl7y3
Dv/M/nQiDucFqJD2tUyZq/q6e3UoF823osIZbPMX2l75jJ7zMnrR3s+wBXv8nQkFiUsPPw+NmA5d
IhS6gbhZDpSaJtmjQV/1lrq0kkfRfNN6ekL9RlAke6r51yUn9KKx4IvLeGlXES7gfKUyFDcVm87I
eDJ6dXOC5N3WxjV4wa2r0Tq481U0/6EBc4XtOBd9krdeFnepzseguM5QU29wcTI6/In67oZP4TJp
GCKlVDdNqAV0xpUcpkPLky7O87Pu0ffzE9EVkI+JURrfB9RB+mHSqxmzIUdjcZJFn0Ilp4DhSVDY
V9PobjNThNLwnHF62CPDkt9X/uRu0Ro91WSd5DGR3hpTARKVJmdZl7yiwElgmgA2McnjzLN3FoMy
llo/iJYWhtX8IKA4dYH2JOKHllETluRbGADamGB98N2VWnfXYp0lBf1aRSzXUvk9VJQLNGpHcp7W
RWb7B0OnpkAUVi2ruUkx++rHwrYyB6VObjZuJPjC+9xADUZVZmloMfS6fmv8Mt1WtrupbaNeq0G7
guG9cBmzPQvHnynsvtBNrnn8k2vmPdoDto64Yn3vgp+T4icwxIutQnD1+B+mHn+ITfLELOqQ68KC
YaPKGxlS9EA2uxHuhkPV5e9TAvqK6vqna6vHEizJws65OaLRovfjIU4bybyR8d3OdvDClxCGJN9L
loTdGQTPQ19bd0FeLHlAoieK/HJp87Zcz10Jxedht+w6KmxxTHm665wKndvmRUs7/lI+9iQl01xT
b+Byk5di1F4mEia4phz28kxoKh2VupA/lTO9lp7FGsOsSElB79lX+bko5b4kZJGJL6Qrc7qf0vTF
MRmoyFGeCOVmS8JwTGNzuq5zFNTW5O1MjZwOVZjl4zAZEPNQWwx5iToCSxGDgWUVe29VztWk2kVR
+29JfEMQZa9qHGYL6CIHzwJ7OaAnKO19VWvbIY1OXjptQrDVTJ404GLDgGcDaCWrhI+ma++aLHnB
/Ux9a0M1Cx3vfo4tITb+RUgktVk7PrM1JmgzpEOVPzl5rgORp1k0fSYm8bC5Q3BO+2wP+tEZrH6b
G8WbdOyVpU8/GSP4Dpjnuo9ZTcVwyNqOUY7AF7mcZz8ttjeR0RLXzNik+1Mof6URj7ny/W43GoRn
tCQaRwAUZ0G4N6ltKhCQ+yEJvgAkENfi6Uzc57jYlvayNLk1jQR/cWZfGhuneEbHy6BPM94MjQGO
5DggtIZ0svva1ZYmkL8K41cxw+Toi1jqVXckPAaoZexDzm+yH01IQS50cu3iCE5Sj0WnBCxb8X0F
yiLnANu60dwbo/ntdUvyqw8hSNhOSn6o3MVeERUgleMZ/5Rea7v4CLOLacpXLcK+ECpkP/EI6xLW
YUIorc70TtblHa7wcRFE0S8GhvdGyUkIVRbTuI7pg5rJHJGgs9qAmzHPzVr+q6w1LlH3PLmtDeRg
hvL25qG0sdYE+jllMBMI/Vb0Htd4B8pEtGmHsJJEaqMCt5VcLZW9NGZyG5s02rhZeqriZysIl4Mp
rgmxF34v12PF0emEWCApMrBmTzgedfQAiQ8EsVKp/+CN8XioavE5sGqE48TL5huEWmuvLzbdUB4x
OemgUgi37EPWCFCBgSqihEX6zraK3pt6rit/OdoDzh5c+hbxpyVCaVRJH07/0uUR/venSEfS3/nh
XrnMK33O+LVwHgOIFVUgn1o/fNdz4vSyuCetMxqegwEDVEwW2Kwy3kxTeZlizwIZQC9GftgKMgZj
EsiEI7s8FbGA8WZaq2pZigYOyRgXO/IlzwsemGMeSaiSO2SXuJ+yAh+ebW1sTn2yr+gMNPk0wehb
lSkJqD0h44tRHwHPF9MmMppkLqAwAuElcQGwrGsIHj0AemVwKdREHENnBTMeON0DmPphY1dJvoAq
+zkwAdr0EqH/qBqFZy061wQNHBHxkPTYMpLxbjGAX3yPBO5Krd0ZDt3ixNoCy8kFy068RN+0TPa5
RQhNa1snUqBf3LD47AcuFyW1t64T72Dc2BPu7PGdzKx0kRvZR0wbbmcKjm1gHvoZhMOEOlvRZN45
poUUCkqGo73VsD9s4LyLMRMPWq79JKW5k4P57dRTtm/N8dn1ozUHpSPUk5+m8YasF+BkQ/wNJtrZ
j6UHLhfJVftrNph6vXxNZ+ZH2jARpIUZgCbyxtNH1rz3rPPPaYy4L7Pyt84aRjyt8mkuj3JGvKZ+
7Pzi0TAlDkkOH0W1Fav6GAYQLsKiIvrZXERqek0is19L2jSM1fmD3rTNEaDZpWKpI3u9Z0OLcVLj
2J1M466NEpTNsWAgFjENFN33lL60huYtkJM8lkLNmLv4OMWoDXPXZQDKPTZ4xA90KZvuOG9wGdHc
QI9+Bxp+ZxgkKLoxz4XeYhzFtB+eZYOamqcXg5AVFMTjpHFU4h3bhw0XIRbVRddxERZ5+M6g4x6f
CbH247ifYpAKmh/DE0rm4fLYM6qs8mVewntPZ7aoN6zYK1yxqEIXGKdwZQ5kPEHqAYCGxKCmePAy
L94ObaZxRyt7UzRes3QLR8EgZwjdgNLXdOx92JGF0+i7qh8/bH5KoyC1CJXGm2YCl/3/WoAMTskh
iedfI7zuP5rP6PsfNct//5J/jyxEKOzMyYSOZQoHVe2/RRaS28a/sBwmXcIx0CX/qT4m59DxTccl
LAUFsjB5B3+qj42/OZ7tYSUz0I6Tfef9d9TH6Ij/Kj82dJtEFoBgliV0Q4cP+FfRb+6yHygA5y0k
MulN5GRvqY8D2Yc+k+KY7aqMx30AAMAq/HsS1197RbZaSOddO8lHlpZQ4HQ49Zb/q/cYb+XtvQzC
dLZJrsOu2PS2pW0TVLxFj4W7YNm5KHQOHbviqk1srvPcLDZp2tcLe8q/C3O6dJq17IYGErbH6WkV
1mehAY5XyDITzM54Z6iIR1qD3NXxxl97LMEV4Rs44hj7Qs/7rbdJCftkXrQDnnJqouBg4r4G3fA+
1FqwnEyeQAXbjWVWQaietLfS4q6PGuJbskjs4SG9xZX1FIYA4bOz5lb1isQG2sTya8yi7iF1shWq
A3/VNh0eQv+LwY9GcAZqZ2scPyCX7BoAynY93ANC2eMX4cVbZjyNpx4C3ACk7I6XwWeJVDWgtScb
yMAIB0X4mr5qTAlq1wg7ghenbd75nwy9oGbUHvLjmqldi0CNipw/XYHmnrp8U+Tc5CIIQzzXhIeR
VSSMoVn7NkJeLA/CE4TadkWyysKSRThupKC86KSVeH7nr8FW5etqRI/g43hp3RaUch1yDnnxZQjo
y60E5ZXo+51ZWgGxscRhqZrdZ6KCq90YyBm777hENFG2imw5iYWvJHRtqXfTCpLlDNyRnH1lzlBR
QA/2i1wtr3rmkXeS63Lrpbp7ggdwp5VwcseyfascCvCm4oWa/8fdeSxJjmRX9IvQBuFQ29AidUbK
DSwltHY4xNfzePUMOUMz0oxbbnrRVlWRGRFwf+Lec4XhH1UyWsS6htHeGVPrKfCZmw7GwW6Wq64M
nusAfUU61iip9HYiYI9yypkPiMz2WYIAgMd8AaOyFcVFxb1CmluikiVrPV76p4Jz9Jb4N6Tvo/MQ
IpM7hrKr7tNpevDQ6sX0YK5A9OAp1vsimV9wlPN/dJjNi/E1qfl1QT6JynZ6JZUSDTt/jIEs5Lex
DjakVtwMomK/4HNTC5E8EtB8TVbf2eJ6XTsAzug9DJJtyJ1Z9dMRYS+cjVBUV03b3kP0OB8zndHD
TwZsXkbFzrHYyQf4vrDau/dMOzPtmkIjYZgGPI5hWkOtW09LEV8rb/QYxhYAiVJ74yPkemwt7W/M
YrZVMRlMYQKoKuhvowmr/9D0mMISrL5OS+LQmHzVtfyJJGkLCrnvRfk0va0cNzKoobnVlvOaDcYE
9LRLr3XgGLndLCdQgmRGDtIfAidXlfTXNcNi0mSIqVD4889JWImnOrC3ou7km3wxsNHtXH3zxZ7K
H4UYfheb3nmOOYHSgiokNsHasELGfF+Gl74CGWwtztNEiBItlria6rY5RgE2QkaL5r5paemMpm8/
JZSH3BiuOxmitikxvqGAOqM0ithxy21oi0MwBAZc1HJYm5QUa/CKII7i0llZSvrHOHb7x8SdxO7P
J9uZH0kOtyYQ6PqTOGdDBADENeqbFvtw4mNZr3Gl4oVKCdnojvGbCXNllOOA3t56CSLxEDWgKRrE
+9mg92g2nQUs9KvCl/baZr9eYstjkmphDGBMvS3qHjtFJw9jpu7rciBKtGI+ZLEHZwjHDMMsdYSG
eRM5NbSuPjzEibrvJr/cZDWzp0S8F7n4YRqD5rGk2pgPgaGePDfmb0U02KNDXTaE7Xpu3HTbpwsY
oOR2cKwXKBd9YsJ+sdiCptJ595f2iYjwVynRhlI6CpntzdI7mvC/mMD7xN90r2NP/zl78Cb6urjQ
5xy86WhDgLHRSa1EF5AZk8f3pkdg+aanNsGC7jCVXvd7dVmc9MmbRjaLKbxy3FEoZ0ksTcyH3I3u
XN9FmUuyLrnYnAu5LmByt8E+lRO7QB/ZJ99EM6OqDnPz0JZsfJYiR0DFiJMIr5WBWs8PydlCNmr4
Xc0ku7S2scUGljWDQXQ7m1PWPVMsDlW3s3txW7ucBUZxskxPrBoRQ+PSyc5Y8FkPTuQQpVh+WNW2
v20tnsZG7Co/54N0tAAO/bnmwmPsBRUEgBWDCVxIJwn4UbpzEamfqtH7rgVYoz2CU8OujS2eGTAS
59j5oHV9n8Wjj7YOgbzpA+/QmI0hvLUU/v2sh53h1MhjFw8lKukC3shOYJLnaaYYn5zhpyTDjF6Z
zwqhJiOAN6ttnqckRTuqPCpAmrVFJQ+NeEuKSX+N3IsXzhgxV6ROAbMqhl+ER7xU3N4ag32FUvvg
z5POuk/vTFu+mvBUahQjVeYf3GQ8LU6wDsdK3kDnIOUI7XnRucy6B4yWRXVosmA52m3r7r3Jf1C5
0VychekVJ2e73ORYYFZTkuknCZ1Xle9ijUzxmuq5bkOM8LDc6kXhjlH+u5oYlkWE0GA25P8hTWH7
RMpXWJEdEBnBbUnAiBApGhea0l025cclxhhs1EHCcLi8mc3xJZ/IBgDaIyBD4sWVWytYvq0mubeG
7jqvkdxU0/Q0RtmlHJ2fPBUPoXEHr/8ZFEyb9NU2tsmPKPGihAmxWIwUZN+5G478cy7D+vBmTzkx
DCnhOzgnryrUY2yKeODiBuuFmIG3xwk/t1scK1eQ6ckRBwpP3SyCsJAkhjxcMkdl8FainSf0IkPu
BPH7MBBkFbwMWXDVlnl66McF9X/8Es39cIgkiKycr45Dv+kN6N6nULEPaqf9ZM6vfjnC4EM6selH
/mZpfrhl/jBa8xPETGsTjual4TfzCmD6Y/ecIEmfYhXuUoCXO1NEfA1dcRwWdsJ1ZF4FLkyFKN7M
aMPXY4/0q0wecfMGh1yFTznkiSHiiypQ1a4KSc6JL6E+WRccaWx5gHKwXm57NLLiOg+Q1DENGFIy
Vz03YqWI8CZCQ9qa6fcYo/y3G+fB9jGNITInHSOTr1jlOYn0MQxH7zQCW1y1vvjJBbZc4BVytYQL
54BLRJ8TguNuMyxUDZgKx4PwkDreno1qeeq4Ce0AyRJuATbCHl2o1wY+Z9xTWtefVqoee2JjVjDS
9h4KncbSqpCoIw2y77dNS5wdO3umd6VzHZk13VrRPnvu0t07xM7wTJCbZI9gzwHPm9GAAD45YSxC
a0WiJb02FuKjw1YUTNHByL48vdEnehbbBVyaMH50l3DLuvi2CwuBB8QnsKDocHiylnAHckeM3jhU
hG7PS0o9rVv3QcjP2Yb+3IRnsAY/pR8W+9lmKpky+x3M4qHqSGvoAvn7hxjnzKA2ndo7Soaak2ph
rTCIY59610sYb6sBASfK8GOWeL9eCe41Cl6yqk/2dpmhrij8WyZkWyS11aZHVrDiMCQBJ36vQvEj
BfUF1d4h4R8AePBeB0F6NBspADR6WARbcFw5NgYz1TejwwDFbAdoRRHrZJboUwxPxUwW1LHQdFyY
Z2tU8IewagPSd6rnYk4Ais7pcYBaDLiR4t/DX++S9L3zg7NTxAh+3YrPyF9uWjR6jQpWkq7ohs/q
KjfpcmKVnfEKnCyEHUDU5b5x8mvfaeWKz2dx3nxea5eUTKG6khC3gZ+zAQZOAtcduza81GCEYocY
Xxc0wDFqqV9s/63v6i+ItA4qou4znX/ZGdQ7lqhoahCIVaO/9XA7su1Efh1xPK1EmEJFO6Jm7blR
tvHcM9KqppNn66Wd0VSboovhr6WzljKXbJUHBstOgpKKW2A1RXxnrAxdFy6fi89Qf8sP9coVcOfN
obmDh8VOO9LIN5DrOzKT+/67AK9oodXa1HPtABuMzq0WHQOIwt60IQeSilaB9x4GfId19RbJ2jkC
m0csd1c6BYRUv9/9mSPOns1Kr1+2bcMlF+u6ILwqTE18RzkObJ4q0ena6wmTP0vum6QgYX5Rh1hR
hXdk9/nNj0ZH7pqmzXbpUrsb3FZ3iGH5ggX6/AvuBjfRzV6/5007A8CFV9eLh8xJgG/it7fxfMxY
H/to3FolC+Y5uirTFEyQDaYvTdWRXcsjMilvM85qZA4+PbHBvnZr+emr7ppd2yMXOyuGILl2HJ62
OQw8sCLYTPAybJalQZY01xvP7lKEbeY3wSM6CQdZ0RjKV+ThUOKY9FimQfKxvwSbpYDkoRorOylD
DqcKsSbdLumSZIauSbJk3MYMdqpYKMQRayDp3cBDQtYasAIegv0CMXAYfHQ1VYZxvNiVsj+GdvdT
RJgMjXjCOEX0FhuUb+VS0tlRcZhnZCN9OIZ7WEktRBIsXHkLuq/FBGEVX4aR3JqV8NZNDJ+5VzGE
OhTjUxiffJPISj9KCPJycoXGsms3S8pm3O/LrdkYzwyAQXy0KJlMd/51q4MRqo9W0rJbyUGldFsC
Q8ieo5KSYoG9g7/qi5g5li0e0LxU4/NCOHrFH6BeNRiwPrN2Qy7HxrOKd2+RbH3h8Fl/gHzzkaO2
WYca1Vdk6PpRkUZ/IH7Q/LxI3dCyx7ysuwsgBschDgijis7Qi4DHULgmJsU+ovm/Hf7/X+30wgoE
Jvf/ZZrFBqv/t2nWP/7KP6ZZ7l+W8HgQPAZZNqKx4D+nWYyshOkyzRKMlCCV/Ncwy/7L9EnXNYWN
kshnyvXPUZb1l4MC82+yPQ2r+3+ZZPmejhH+V/u65blOYFq+yc+mMfq80L/a19lmz/TphuBpYxSz
VME+dMPNJNNy73RIe2c1fMIYehpgvhzmkHk3fpw4YkcQzWR+Os+txaNnTs0deHjcVqJ+juDabkz8
2ZuIOFWPce6SQPxAMkdMtfTJya2Td9dlLeZRyAUTZWbAJhV8Y4YFxLvH+XaVEFe75bwnbYMIFnYt
eCWdYU8QxjoKk3dZ9saRqcSKH/8sXLQQcVof+CNPqWVe+WwAkcl364xU2rXEUzmYLASL1sOvXrFq
COddM+fpuar7/VQ29hGxRbNG/8hR2dlPaHHJPirTX8wfW980+mNZZy01DdpfTuCjOzkL1nJoZO4w
7ccpvY1m7qAAHAmGwu6ExCjgN03EbdxeghbxaZJSkk6VlpjeJgyffLJOBjdG8CEfUgFUtjDFDSgd
UHW7OBsf4zmJV0aFA7tIrTdTEGxiMp+y43Pt5DeOSs7TMt+jTKSSCWi5exDOzYMt67UXZp/AmM4h
BZ+wsLGagnk0HOXZREJHARYXvKPu3B8yU90E1asw++Ok7gfXPg1tf2eF7dVUdR9qHG74ApQ3tRPt
asN7MMP6rknmXYXImg0OQiIn36NYO5eZeS1uqizfuVF9gu3/7sUE0ThMafh9OMqPWYyFUzsNUwJl
y6xCDIKd0jdjpHoeS23/KzNugV5dda71GZfWDzOUjRnnHw11aN93ZM6sq4pDOsN0FVfzNmmHm44s
ZhHgfxhRXiTZ+MY8+IH1lhrY+meQuCxi88Rp9sxXrBObsWLHBcdhz1UJaTUzaGODgNGLhXpqyY+p
U5Oy2R3dwKMFR9qCPAanrgT9aFA3NDMlkthA1GSMi/R8mILdKNkAhMrSRRMxZcXc3nqV+yNH3Aqh
tm70Ei/4o3cX6dsMv8a4J2I+XZVA4HLEoGZCM+il7o9ZoIgLmuS9UuPtMtU4K/n4kwqWgaBERMrJ
2nHZy9bbJoP/0y5hfLsYAm3wiKidWN9TR5Mcz+maIKryunD+XLcfpoV1fsxrEDw4Q5cAQpaPt2eZ
u3BrRwwPAs9/Lky/PwaZulERGlhp9OdBXYSDk8AMKFJSbVwboFKZLiROS2wEfvouvbRhu+sSxo1V
uw5mGH+K6VqkYjT9wNZSOoAusx4H8zXwujdjnq587s6AbEHUnxwIYan1Z6LYTKC5EPiSrwg1sD5l
NBEqNG4sd3rP6nDr2c3GjeSGlKILfsiicNZpNZ8MGmA93sxRuwQy20HP3dTT9GI76q4KnctS5fW+
qnn7HACL0mb8IO8UsZpXaXo3BU1700xIXbmB2z3bb6KvvOGh5UpfGSa0w3yYHXLPmEUM8D72i/3E
H64XgF5xYpU43BogSvotsopjhChyW1Gz0F5FBq1/GKJsz29QL1Nb1vRXUaAwdji04F+pUT7nyqbx
bMfvhrd1RUJBul700p0iEpLvsitMnimHmYte1D41k3EK4lo8c6n85H51SVUHJ8xjtETMDS12vXwm
CeHqmUJaF7kotUQFd7isr6yIdftEgYIg99o3HMhXJSEHTghRBqroAn/J6BjxZRPCBTkfljy9RDIi
BjMfX/PswcW5s2oM9gGGsCwi+DDQqyhtnkt4SpsmGMb7CmP/birwL/RZeN1iFhvM5LtjRKUEIUA0
pUgzK495SzGAqJWG+6OV/1S6RGIWrOYwG2LQrK76ub6gXa53XXGf2OWZqPdLOkcflv2LgStYG40o
ritK6Cad9knlAiuspvvBYvWscJz6vbDRIULoaNkzD4owgLE23/0cfUJj2qTJIX4hAZStdaCI18in
p4D+DMu35TQ71Pk/eFZYLkziwXuNfJf59sBAwy+sAQGVRDzYYxRBYYF7aLRflAMRrhnVdTkgkRkb
94GI1QsUl+tUXxFxTaOTEJiWgY2XmIyDo9WgmJPXHpPKtWd7ktbwx0tc3PDxtJCFp3HDYUps6gv6
+VMcYtY1Aj5V9owL0VFqOwpjx3sKHcUezSNS9ytmu9OGFfODi4ckVkDh9UI6a2O+muy3i1Z8AohD
JSwZ9RXN3dTXYp0Hw7kLCnefqY6vihV/5xrUHQ40z753kyHqWnd28xC3AQ8i51/JCI6jfWuU4jyl
EGNuCUhKcOaRwsCMqKADYDyWHOwEx71LsQvqMGnIKpCB2+0wOeEM946LZDRXVmm3LQoQNulsH6c2
1lc64Y02W3mT5wSxOnarun8u/SvEhgGt2NBs8U7tHYeDFMG0WtkGs12BsZLIcuRKfGD9wXDpVkUh
nso42ud5k1zaeP6yVdKcYhfoXyB5rmP+PTsfjd3sR1zyNpbZirR1t+ndzTQr9vylv5HKAsNqYKYp
rPyBJ440w7E7abcO8s6LnP3iloblE1/SZ60qucl7ekecRD9903Y7o5ieJBkUCCcTgKSQm30dUAH+
+4FxdL2DlLFddIgFOvUOzG6owy1YfpEGSd5FIrkactwNQcOGKCETAzIE3DeTmIy6GGH4QKLUARo1
g5s/8yQKqu+MjA1mWmfc81c+AIJFh3BkpHGQ48uiS5kPZBNgu2ATF9Ty3XSKLxYF92BRi22uwz1i
+4MFBzrSqHpuCfhd47IpZh83CP8XuQopZ2HWcNKt0HsyJvbkFwLuryhyDui8yCfjH/LoHVpJ7MjA
uOdqrvjSJ+QzsIgMSa2kDqwHoLBlMrX4VbDVtTqChMGOCzFlnZrV+8g+JbFQBHhM3CWXR7wwv/Yj
qN+9wSA4pVIo/eWSNsuutgxJAHjO+4EMrlp3bfvojoT0Vf1iYg+haQOGANB8K3J7IpKPXMSsd7f2
AjTWc55tgtpU6DwPEYagLLLoymAd5XN6ZaL3XBugIefirsARxsqq+UWOsEA/Ng+McTd1zzc7WKbL
ZFcsnzqLZpqGagCbgcYk8La2252KRmyHuQFNOkJ5Cc1nH/tk7HOONnX5E0ch/CTzx+KbziEl792Y
3N0we84qiUA29Z/M0fqIEZNVCp4nScEGLmCq7ZKyNbGJwuU08rz0HE8AcsLkxOYzXTdj3m1NtWHK
a53sOt0WsjmVhrAJHSa4r9GiKi/J93SuVF/uNZsZDR0GFq4yU6K6ZR84Xiq7J6xuCu/sGE0trkAq
d5xkK0+m2WEIq3lNUCLCPHRoy3jKtevOMwxv11AbdKKxtroULgZ1qNTAMtpZ7uoRoxUvfIWU2tlg
nyomyvI5N748/klhgyvK7E/fmw5dLDZNxmel3lk8GeuOhexmXqb3qLLvA/40ufMolOm1byBPvvbZ
ZN8EIRVZxBHsO0BEG87feTZfUF21DBIYGebvSwNX5f+3EgPVA+3m/9y73qU/ZV3Jf+te7b//0t/d
a/iXbfmovxzbdRks2w6paX9rMaC9IaZAouG4jiVCoUF+/9RieH/R8doQe30BhMoL+Bn+2cCKv2g2
cUSbZghzyxHi/9LBWrzMf2th8Yc5gU89bzleCLBOs+L+hcDWkh+U9RWK1pjEWH1BkroxMflDGYgX
dgNvQG0KKhbrq3I+PSRf7NsyhSP3OZ7G5tDmilUfX9pKQQnFezBqUV8gznmnWxUlevw+KAsddjkO
UKDQQtIHSWpvDzmTOAspmqpBDkchqybbseMbzP0XOzIIt0dIx3U83RlxjfJ4sveDaGC+GofOAM48
BiTFIBzxd1YryK02yrslB2tQNmQZe0yVtELMlbWxcVLna6xSbnnXuJhN4R4mm1q6qJzwjqER91vr
PQxL0uMmdbdlPM+btowfUtIRbHXj5FMLVo3/DJN4AYE5aj/PvcHSd4vzCLBoH5V7pJ8+9WSSA5Wz
jCMSuh7zDEkn+ARn+SBc+9Iq3h/TpMaSZvmGnOwbMxKhnMEjMR1MCRtMKVUZvqvKQ6zQlAl1g/nl
d96XPxKmmzNrh6P22sY41GnJf8amuUvBxK+DZG3Cbt625KnrrIhLXxBl1I/3sQlk58g6zgI5M3Wb
KgpP2h8KfrtHVfoxKJZVPWSZEKp35IlgI5T9G+cOKzNnM3XxWTtbSWvZ5MOALMaMXzBesbntvQdV
pbeBAdHNLepTnUuanD68xy9yO3TRT9gjohyv24VeUtAtDr4rcbwxiDN7G0FmehtjMoYuke0K5mts
Ux1if8SIvFxj21rh0gWWGIVFTOyD7V1N8Muc9r5PgwRjDh/VpDpgJ9V5yhF/91CmaZAKPDX0QK1r
P2HqL4emw/mdZLvYD7/ylJ/b5VAO8im+DmlquyJ/l7W37BVJuWK2Acr02a1QlsMazdvwRbmUQ3Cp
5Z2p758/IWGRl5Vg350V8JE8OpF/sFyV5E1yFzI+SJbqt7ZsfhMTnSUAxZ10b6IuCYGDuBhMk27n
CkTkXo/gJiI3tVxkvpXJwc87bvxkZD1b5u1Vl+VMXgDBr6SIr+2WpckU3FGeEs/a9OyHfjP8Wj0b
OTpHGM7K/IhBX4A4undk+IROvVkXtbORFR5mKpZxN6Qlykvh7JkbZEcKpSdVsj3roKbCuoMhjTL9
aCi2IgvO7rrD6hSOmHA70T93/vjEc/ySR0t07ufmBv9cszUa9434AWq1hL1LJ5n+4+4DjaTgx9Lj
wdPzLlGGxSmIEYJk4wQRnz47Yorkd+owuDTmi2N9KUUfv3QeeqRvw4BC2BrsQeqOfzUUjeRnFA+m
lV/oGeHqjZDn7Mc6J6hITltVVq+DRU9kRainkSoE01PiTZr/TQpT/TYXNcYTN/6dXXnH8vcr6mZO
Dot8SK32HEdc2T7S8A0siOehRhPkweGCKAw/UTrnxgOpkkVZBYDcZthW869JV7y7YDQ2iYD+BtTn
22q7owxxuDRmdr8gmaA0t1flMjzH5MQg5waEUAXGm50wb4Z6jr6i7nkknPHc2p9MFdFm0mqvQjc9
qk7eTpWrOe3yCyslwvUmk+fBYHfjEwRHuJqNRH26NbVcN43q+yGe7vzCZT3C9N/q7rFeCrT3Gy1h
F6wqwXrK16GjyBTrDgYCq5+zAhF+kD7Rxk75LfBZBkP5Po7hQdbshoao9BF+izdLi03BpGMT8Jjr
+BMJQxRMn06OrFk0d417S5XjkSHNIRHmlz6jUex6NPUTVlSWzDg3iHJAlsTMpPbY62Uq2Eqm/Pve
yTBVGJk28bPTQkV6VXbBDurKo1evNfhJLIQONtHWj2x//Z2zZd/RqcdrtPAHgEKta9xWMRprEaLB
mIPixjSRzQ4USm3ZiKOFSQ/Qh9Beumjr4nsVTflVlfPHYoXfoUORlEwPGVHwJAmyI4HuhMrptMTF
cKUSBD7wgaB+NQ6jSSgYNJ6S86Gua9YwDojw+rvyaVQDTdOqDX9tIy5koyhWlpmhQmaZ0GsaC360
fju3xIDBopg3JXlT6/y5jBvE1xNXYl2Nr745vYYFa/w+M55dWWAfR+8/dux8abrcFaNCFq9gvUDh
r2bWMuvUyr6NqT5cIpe1PUBlovUiHsXcQNXHyn1ra2luqEW6zCsvszdv6rByaQCj7xoHQuywokBN
ZK2hJyLj17JfhkdHRwuBMfhd1yiD6c5JrNFi4XqwHzAL0zizXPLy5txrYXE8kY6B0ri2OVQZivhs
ovLLYKIIIW7rKkWfHEto/an+Fk1CHSwnpQnQcmZbC5tNFM49DcK5QfOcoH3ulyzEvkQjha5Pi6Mt
LZOWWi+NbjpLq5tEFOWpjD306WiryaB4sLXYOjfz2yjOaAC1EDtFkW3yIyUotBMt1V60aNtAvV2j
4h6yURfj98I6DwQO2kADUjTfgz4OALS8mZJ5co0u3EQf7qETDyY81MjGc7cFjeXyQPmolSOJ5hSN
ecL4CcH5qKXnJhp0wJs5NFNk6ekoH8eMKjshqmJild8Vx7L1fnL07HFl/MIcuyUQGaE7DV3sG28h
CnjqvSN0gqtZS+PFjF4gHd2Tp2XzGc9thY5eKiKTiuRDETiqVfao7UdU9zHMaU7a6svzkucwGMTN
EIq1s3eZZigt22cB+FChHylJhWFL2B3myvV2LXmGRGV5L5PsoNZUuzk04rOZG7cEeavNyPKRoAku
M3hWXyxSy5XJEGlXRt1tlE3Dca5YAo/adhDRsZHbvQq0IcGT8hNfARYFbVaAtLdbtH0BgmQDZgVL
g6nNDTMuh2KwVqFUw4YBK5hRWe9TbYlA4NaSNwOmRX8JtW3CesAeQOWRUz4AP4V8wsOP9aqgp8N0
wXlDqDG/Au2eIhFia+LPSPBpZNqwUTJqWdl4OEpt5rC1raOXxBrh8zDwe7A2IaQBd7ZX4i1rSQnQ
1pDkcdBGEX989uSnqI0Z4S11gE1pzDaDcX73OZk6MUSbTnSuAJoxdGnETGBqBIWwlglp8KBczuiS
dgX+lUHu2gYXzYivpabTCtpuPrXa8pJr8wsl3sgmyQXLjq6VmXd+14J8I7Vl2Oa4Z6xxvsS025Z1
CfDWLNpkw0H64uK6geh90YPBGDfOom05Q8K3p/5j1UnES8GrSjw8DMEe8tQ9oecDu6VtPjV+nwrf
T5yQsNJrK1BHn4gKNl5H2iYUZ4G59nEOOTiIchVdl1b2WSrclGXcXtlpzQ1ZE4pD8hVJu8bAVyFO
sSUJ/ElifGi79qPHtWRq+xLDHhx0ua5f8TaNPjmlljr1M3e191Pa3fUI5bmPsEQx+mq0RYocXz5u
jqzALC5ZzYwCtYx2WPW2c3K1y0o7rDI6+JUPWqnGiEVq+xbk0SYI62uJUavCsGVh3MqKdxjs+GMw
dLXuEU4Whxq+Qe33qlwoL3sq4Cep3WCuqzZNa++RfiOKwzDmaOdY37pXRhetPR/rXSgPkfaYLaRy
RIv47YBlLpjQOsxoxDF85DlE3Z7Umm2CYU1p55o75yxfePp0kZ1iMins6i116YU8bG9z/+R1mjKE
Hc61rS+rTEFh870Zfs0Su5FgXOKa5tMy6IiKpXx2+YTGJbqu7dw95C2nU48Jr8eMF4jlw/wzD8am
R6IuIBft3Aux8M1Y+bAg73PhHfHNQi2Z1nrhRzYX91wRutxYLyWmQBtzIKZa9jYRcqBhHU9MQ2ds
hKhQJU8suhLtMASWiXKEKKlGuw/9ZnQwrGC/ddi9l3K8cbVXEZr9MzqHBGQoZwUBVTW2xgl7o4vN
MdR+xyZAeN16C/u04bfFEtlob2QyzPQL2CVrbJO29k/G41uu/ZQlxsrOxPVcYbXEfAwOT15a7cH0
tBvT0r7MTDs0PZaG2rHZau+mQXkyYeasMXUSEMpSg15GFBQ1PvOhUjtAF+0FJdskY8wqTp72iTba
MZrI7j7r5S/00XJjhfW70u7SQvtMWYPueoynNQbUQDtRsTOBKtbuVA+bqqf9qkPCyIwK0aiA9GpD
q9DW1hCP69SWhwXdI7hfqETzb6nNsOy8H0bcseyc222LZqoKGT+5KLNcbaUN8NRWeGvttl2uYXjP
O/JN11p/QQP12/6hBmlrrqNNurW263a8HwH+XUK+8hOkOOLQKh+ZEM5g073X+L0cg46y+tOEEJa1
2pP0Mo5Ctjy5fxyluDfrFoZqSzdnavTueG/V1iYPfADq7j1Kst+2yHgCRnTR7B957ag5IsSHC/NG
SgeHT8naAc7bK3I/5GTylNnlp+34N23TvWp3P0Tfm44mwYuvjdA9lna5btW32TRvCfKweMifAbKq
dZf0TER7TGUtgMW52i5zBUNs4SX60WKzEW6Dod9G1fzVm3xT4smDqoNHFpv/b2HjKeEbhmxjIxqC
JP3417R9Mkp8QIOj8VovSNMb6IcLv0KcMHuPzYuqGOVzv08q4NkpfjXA3SP3bmGeClqI9tR+ibwO
bL77PjH4rC25d53ql/TpT2Ayr/MYXOx+Pioo06bExj25vKQfU1nWOd4WIEANctF145LH6aHGm4lH
qSeoYsSyTbm493P5yvDgFTiLk/kMYIZ0F0bz/SJ63MsQmTUrBLUtELw87kEaQSuecyfYism/ybF5
esrGWcMg2nOUBit9Lt50TTouz6gPwSE/IPTl+eu7VzBD9ykQI6QxnMA2oM3Bf/3zOgyOX52SF7RG
9GdRy8Halp9jV91yB2yKAhc6iMR6aDMS1tLfCZSxlK903ry7S7wDhPsJT4OAKc+9x7Ow9ZTcxVZ4
ZSO6zoP0M04ggLCkuYkZhVt+dULzNa0SM/3N3PIzH8hJCbwD9sCMJ5XNB9Ye8Cj98DxUJGYHGYKL
YpfRhm+riRJ5qpZz2EvQ6kvyUpUGXNqCQOQIpOSqq5N031IMJnN7t7T4J60pP0cm+SMMpRgcFcbZ
B7f8ggriYDIEhdel0KUKvD5d6SC7t7lEuZ2MIf4YwZwe7IrRdgN4CYi6oY6tgxfd4eAizO8+d1W0
65mp+OFcvKdJemsP3AgzrblysLzxVgL5gvwBVfQuw52/7Vsqn9nprw2JHt6ovwSfz9YNuDYDZvbw
eL7HiOSjpmRqN987y0viy+y2petNDqx27H3khiVjPBQOuVsRNe+qXQeL2emUOpaOSUSuMB8Lv5x3
5M6+pDk2Kcr9aYd/A7GlgSpUP2DD+NIZ/ZtRgOl3FvatM2erOxblYwwlPlfWhIPy1PTpblxcueNa
A4PoOd/9wmM0uMU9gU2HpXNS+sFw2SjNdHQXeiEV4pUsGupvqyuHbVehLhvMlNVgCsOzYKHE3gCc
NYOjqODYFIDq74JUoM4u8XZOJYMpYP3SR2XFe6XIAYUoqCK25MsI0DnorYHCPPrgylGE2EBLEXAS
ONy8h7HOjF0p/HKnmvoGPfDywMj/riPYGNJHRnLW+EhrzBuB1loNzWPjkdM9D2+p1AySMX3G2SEB
0V0zzb8uu+mRBXNNQRg9mq7Nw29/pBOJdzkCDgdxmg6HnyNYqMOrQs1RGzaSeGotNmuE6/TBzFGQ
9vlVreBgEDGXbcwCpyXUSNR27fzTRtbGtDPnakBn607duxXOeubIHyzhfa+UFX1XXdqfoS3HqO0G
QYBTxSFgViAnCDX/+z+8xUDkwdLHc7TshxJeR0DtaufJt1MhzxVp0q8GO4R7RyeXWsDTECfkTTes
0LUnwCO7w9L0jyOy4HWn9xqmql7azoaExKyVBMGP1OS6Duy7qGxHuNjA4GZmOKpuL0UZfY7IX9DR
kCli4SAac0VLzN6JYCiWdplA2y3VzLCCYERzKri+ByaClr0vWxwxQ4vBBhjbbirpC/s+ufXiapMJ
FqOqaB9hubOqLKMq3PHlGRcnPzZS3diD9RL7Lb1A2X5mqICq4dMJgYvGrnGVR//B3Zktx41sWfaL
kIYZjrK2fmDMI4NBUhTjBUaKFEbHDDiAr68F5b1tkvJ2ptVrPaRZagoGAIcP5+y9tnobXZeiAp0s
TT2HOEXWaaTehknfmMXSdrgaq6Ph6FY02vgSk0KHZRc0EsvmXRJmJpELLSyPKRX7zaZjf4gI2kMU
0OVvhWo2nc4kaow+Gs4pRQsvnVugqNLorYK3bcONSoAtEHyLVCUzz6FID7Di1YI7hZspTl5Dm71e
YiefVkr8fIEHOKZ5TIiqQxtYm67k2PZLbSgPQy0PdB+eUhx0WEroTJEEFY9ads5McXFALB+CMj9Y
8nOytIMOYow9EAYUyda4Ll8gZEF7H+VGlf1mVBUGqTCEFWCr5zRn06TP8RCBnV6xjQI8JdEpIBN8
UQg17JuJgl45PtP5/RxzliJka03UGrt6wkTA7q+z6lMVafreaXAB1Rrw4moErlcUvC46uGtsXLxu
7qxOw2sWguH1jkKIfJdFxdKJ7COBDbQWDUBZXpyvpVeTGU45E7SIvkSir02GtkR68iF0CNIJjyOq
9Y5lOVkFSKMRy4x48m4UPuqlrFMkY3whgWFq8mjNI3hR2FXXYQzddnTf3XTO8fDGZ3ZG+bbx6qcm
oj3dhgL7mhD7yrZuU5W9DDPk1LLgE+FXXRAYWJ8Fr71d4hQ1kP5ZNmUlyv8V7YecACNHI/LWa9ci
br64+JyXLmYC1vNF0iYHYotfiB1dFm7tUU7SHsM6v/MKQk5co6UIQ6w6aRH4E1zWvJ3HW9cxjaZA
un/gR5tGig3xLyendR6iQlx8AmQHSSXDA4t2h9kbBbGgq+faaYY+Oadw2fflewVFEYh7q9eK1XWs
F1rLNhmrCC83/K9eDFup8W9TMgVkZDOV+px9A4R1ZSDiVeCEYglW2Fl0xYAFY6LPjR9yhG8HNEt6
dDG1oYH8QjMnHWjKoomBvNhGfKJAe96M1gOmyYYzOi1sMMSSeMvCCdJrXWRb5bTdivMW8KRSsPmy
JKxEfxc1WrtOjSrddNmNExj96cB8DR1L7n1qA1iT0BrWo7GdFGWBBlvVzhooMrGZ2bZ9cfJdj5tp
e9ZSQMaGJ1gxkJRguKQ7QZImG8M+ppIPBaiBl1o2c1IpvpUWWt2ikFDYOcBEAwV60YVM7QWf5Hnc
g9Bh2p4M56p1+Ydfs1qJ4Zy7dGYFBW+K/9iSkolyUwtkP8iGrU+DgmA8NB+N/YItW3Fk6UjkG0is
rynn4mdGG9RSkZWtyxHHramIOznAlInQHxQ3vRo3Cd6TVRdHCMnEyEQmu/yUYsGrrBE5iQNZpNb1
cAmrkNOHdB46P36hYHhH4xEEgla8kTpNx+zBD+3gwc2sQ65l08lNxbEZtEWhEwLjOuDYgrz6nqGj
WxAPgLrOm+QBTQE1AEC8LpzksNOxZ/eUiX2/344NhgIQaNPBCYOrbiJTMgIuaKx4Z5TH1CKC5G5y
DJbiEkps7bMc6x64eJ6ZT3tl8tNup0bWiAhMac3Lxx4fJYon3wcX8zBGPmiiid5cBRk2Ugv8x6xM
nmUD8nIEo+WA2hqNpKZwn8J9mFVjXcCBmXV/MTj1k2Z5B8MNXaq5NF0gwnvbYpwWjBuxH7umAZyH
bDApHsoqcpdajqQxbM2ba6KhS66i07Q1mwVn3dP6qXv3s8PpthwGTgSRtC9iFM8WRdBdyaJaW5ya
Ss+vD1Mp76yW7aQROsMujtNNP46fhg07anIZtRzBNa0ZjmgFDpLwwlXVjyu7hl/c4wFGSonQhJiF
/dgbZx/RzDrt8yercjELCAJClfQQoaMLo163k0nkrGJtpFsFvQ5qW7UPW+vaRRXkntJJ1xLy+8IB
Ho21mKK1XLm5RR3AlrwKQxogXhm2dq/e9U7mqPOQpvDk76G6snMDy7iUg7FcFUY4HSfkllMqrTUb
ysVQt7znbmJtp+cspzbp2MNjoCcCitA7qBh537v1uU6/DZm6QIPsj6ULpVPa0x4TUrY0BdzM2B4g
yY8dnCgP+14YfU1qNIJj/qoKlP1tSg+szUsQkqb7ne6mQ485uredIdi4LaUfvzaeNTR1aSJPBifR
raF0bUm860Oolac4QU9sy1lPoRtfegWaZ0yHBZGxn13cyDW9QWztAxfVvEZOgA/F8tWqr295WrNN
kWQ3uQxhiF1q4RsFWwxbzNxmE98s4T22/6rjnF+Z1fjUCLSjeTu4d2nOjjpgpeA0ezQ5DG8VFZay
ELTSQ6fYSouYChx5x9HncJ4haMJcjtjZWZD2bNgkdfShAdoA/xFxojHYv/Bsy+zTzn1vQWLpTcMy
TSXKgIei+YD8wifsZzmFj8xewp4tZ9VZxbbZhJrmuM46VPk9OUDeneE1IFfiTWMGYl8yqrImrA6j
3a7baD7mo9YDD2UuiGPw9lZxpUh157Wb1NOSq54YNz/t6YNMFeEeqQ69HYsqYmJitKsEZPneE661
tobvGaFMS0SGeliv7IrhPFQUjFPdCh9Skl7C6R5aFhGVdXTUcyrEBiqUJeKEYC2baynyEcBqTIcr
cPeJqoK1XnGa65B9Eqa1rofaJfYkXI0N3kFL6oALLeoMtZes3E72R0T8w2JwtVWR6NrJGzkcEU7U
oWiTmlyZGrGaZKJgoQYrCrBRTf07QkYJCKotVv44goLA3o01mHJ0aY/xPs7aA+ONx9NP2drbw45r
DtVoUg3tVf+/XDWD5QKmx9+oZrow+zU90fzzn/zL8SH+wB6HysXD3IwixeHD/sUvsf9ASUNyIWZo
ikOej1rl35oZ8w/ThJKE2NF1EM74eE7+pZmx/D/4mzr/ea5pYgyx/ieamTmS8BfPBwQzAVyFr4aI
kajNXwUzfovPq60wdZs1mYNhuTG66rMW1X0Vsa/66bZc/vzUn8M80fn8+rO4FJdqr+7zkwCv/BYr
GgWTR0BJJzjyhKsuT14nVVDeZRAi2dnYEjCs7lZPf/9Djdm18ssV/vip9Fscgx+P5uXXKwxJmPBb
RKxo8ggNi6xq0VKsCJyIyJDkm9V1e4cFDrjbzi+HY51vwee/qMr6WvulT5/A6f4hKNL4Dz4b7gNa
LGy3eOQ9pFI/i5RKUnxk7DY0r2vIT9O41k1/W7uQIoeE1c2VzT1RAjQAe/MjB839DzfkL8Aabr1t
o91iRLoMsnlI/KSRKgLT7mlPiLs07bylpKLKRm8/TXJPw5SErmY6MVt8d1VCi83asrl1Tr3ufP/7
r/GXwSAcm66jZ2D+8GHx/IbN8X0z7WSX0QP2HEIFi+yjG9KBMtuBkLxoZCiMRfZPl+6488f+MhoA
UZv8ZHt+8VCczTfnp4tPTWVGWdmj06rFNfFduVB1haKFzDMUwLFcB3VzyOWi7Q6aDTpFESPHiorq
tWjEUtjdU+X41KZM54trNwhMs3YGjcFJCIlWynIEYSRDqC3hLBUF0Kxp/bWNJdSO/HRfGelKmGVE
3SgngDmICZFHaNKgtB60ACR4BN2wA3WxKHwk/JGk4N6R4qVZFDcBuncwTg+jIEx0tMiVRtoIFoD4
PzaEW61VXwwn4lignXKTrirpo1jqFdruSDkVKrYamVH0BsmbWEnfsaGJWY/MWmflepjhR81b9/3a
EpWkWrDoeltbJU00rC2n2leUSpcZVvaV1okzBQ3jqAyCIe2cHh89+mYdFdUByRVdxcL9jsWXY9NE
NLQ3IEBNO/8oneqRigsoAlUQ+F29mFV6KoHIHoYMk66haJkYcOtRk8xqFNPCIWoxAxF7cHMm6jcp
uWN3RY0ndtK1qzFkYkEB8IVwj+lUGB15BtWbJ9gec0CozkFeHMbYuTUhQBtesfriVgZbTWgv8PgO
iL4pB40F+A8DZxbpf5s4+ug1MRzMwAjvFI2x2AjCtZtmJOlQEqrbbjhXCsw6Qc17WyQPvalOATBu
joWatW9I6q6rqVr5QffNqXHtYt4+VNhKDi67fEbR0lHebfC7dF+a2pssyu8ANxH72GWwnGOY+gBH
mY0UELYbMZ2AbX1yqkrborHH+YwHROG+fEuUa8+xidPa6JKNSGKxEyJ79OzEXgfdbKpxo6Wr6Wvo
/QvHaOuVEUEBb8oeIKRrzPIHyBytXPq4QzaIjDkeGtmLZimawb7PxhJj9MIsuHiOxs2dZ7bTA9aE
ZBFVGuSZ0UJeTflioWJb7GSZ4uUyPdjcljtv8ahlMk6POrseuiRUl5HzIig9+wDm4Kxd67kTpzD6
em3grZVvQZKnD702erfaUT75zJDBHG37wmt2ZxWec/Hq9uwSu3pwKpXeN97KSgx/aekmRYeAiMLO
dA562FzaePB3fa5/w9p+0F2aEiWhp9t+EoA63egRmC04jpBsKzcqLrbjgNN0QRbXDXlmWfSaNVO7
NwRMhGgOWAlHNkzYh0/GlJOLExILZbdpDGMUwH9ZVxc7IeuT7GEi+miuYnqBh6UJ/My1ObJRbYul
MCPYhu0ZQFKw70MTVGXQHocBJZyHzmwrk7NW1uaFMiF81yLb+KZ8isyWhaHSjpHBV5UdfOkxBLGb
Y2qkXe7fde3sT0+cfFd7cbulTOni+1XXOCrkAxlhsERDIPUC3FWrA9yBwYB0vjK7UzFssL9VFyew
uXXRO63JduNVRUs5PSAuhqCgLVOghSqcRMHEptItTWc1elg37cY5WN4rRFbkoCNOOZMW3jsA+ZgT
KjNjq/R2WQ5Y96iaFV7RrpoEfRNorA74YeSu05jy6aAIZ4iEuciM6tp5OvjpCOmEMlBZpAUXomJq
bG5edjjM08s4IFF3PJqyddieDMAiGyo4nAQpyIcaLcPCn5U0YtuXw41OXkUkBxnh5OQQ2U2GrmEd
xuLZqHnnLGo62APLr5bh3SyHIIqW8IxekMzS1iavRri1DXqOMkXR+aN7Yw4WTGIqXauwzxETEeQo
UFGuqEJ8JWPizSgm4hELOqwpiA9cEZq2ypH45BmJJ4a1i2meLHogxIusd9OD242nfOQuOgY5dXWJ
QAV7MKjnvtlLP/gy8fyI+52TixoWjgm9xJayITQUh74CV+A4NKMSFx882SPE/vjI87yadlgUlvgv
0q+FVwNpC1/JVCuoNRPOShO3JcPYnFlWdkFaAJCOiKN7rexNZWnbTrPsk+yJLjMi9z7VvUM9Sp+h
j9qyioLz6E28QMlwTocoPCjO9iBvoWVrSYltgIlzkN2hoP9jTUzzoeIB5KxcO4tURarta2js8X1R
8J5I0NJdx0m0a9AFGx7bHBDNzgGAVBc1Yp8kI8rQ1t9YpfcwZ4YNQfhuG/FwT5qL5/e8cjEWt6HN
Bfegl6dQM5/47W6PWC6+qwdWuDEv1bE0iCgcdHr1mNm9EK5u1+LHrHBa6AMLrIo2g3nniBqhg8ep
mNMztn3J6j8W8qub7Fi8kT5HQDpsVcC27JuNEujcSAc44Qr5c6dQzlB00+1Pg+7y02eWyI/PEPYr
CcDxsgzDknXBAkcyGGyvXEYJoVAsWUiZLaBoF+zFiaOjKy2DpyI1iTshjdufNxMeGQcmdn9OiiUK
Wt37tFPmFnvO4Rtzxgf1pevEnh4Oc0xjSKcWIge6Cp54y9x4Wmum6GiFEvxZ59Mm5NS+LDDUxqYS
hP9NJOcg6fMZ3L6cu+MJ5H1CzLYuuYMhKAuyeDYInw/SLNWhHJlOOpK04t607ppa4Q3UEUqU9QhX
3L0K4eIUNce9UU3udmqoy5lNG6+t8aQ52dKdOkJAtFIn7EX6m7rrtBVP1310qJGu9FRsM5rdEIjZ
bBADmd3lVlXdwUCh1q0ThYOkXXMVLkzT3YdD+yjJZAR+jSo6B5vf4jtHSPrWySzY+RU0iNYJjoOD
s7lK6ne08DQmnErQWpxZqHzBvonObDP7Q+f2S3Ds5TJJ8PUpq8s3Q619bWz5IbNhgDKB3jWQLqRl
ZMrKMd8Ta2RD5GREPulJC3MFHQ3d3x05FeSCtHLCXTbKcVO5zjGhFoBEmrjDLj4lzfStI6UHklqG
ixXX7Tjbb43ZiNvjyNVHikBj+DbMcQNJWDC2iTPViB4eS5+0IWNOq8LhW85W3xDPb4P3V+ABDgqF
KBRXcIg7WNLD18J8X4/dvXCCV71BZ+DMhuKmJV/SiZiFymM7e46j2X3s6/iQWVwfdNboMsTe2c1e
ZQfTcjC7lz1szGL2M/ezs9lEtB3a/tafPc/lQAHGH8ELoetE8e3M7uiBmmI2u1jHttrhbT2Bu0h3
RIpTxBMwWT081gM+4xa+WFjS6dPYFCNv+VrsLAN3dpUg0889NOqzjPrqT+0rQ+a5aJVinJMn1zfn
YvZ7A61FQgCmadGkslsW2MIn7OE2NvEIuziBie/4AY65fl8231AlfAdS2dHEx2VOwzDHsJjvCkzR
OZbJyCc/cwmOAaUCRNgVLcibi3G9mA3s2NiZzNPmgMpgE2NyL2a3e4XtPcWcYXtEyCmfHr0JMNpo
zgqjPDLmY5M19LTo9G9sYHEr6if0Pup2WxTIbjuktuyA1YAapK3WNNSDOzEDARp/elPmUzeDApoZ
GWCgc/JmiIA/4wTsra7VBATpYAtBJWllS2WGkGstkwfdGta+Y9wauopuH2ztBNE3+F5qtS7FVh/R
dt0WV0wmwwKdHJtDf7z3SEWDChSRx6b1m0EzsEvmcltVAdROh3fE+pwXHqwa6UILcLSY9jbju9uu
/o5ocR2ndO7cDgNt20fW0t8PNs++9PCpuhqXXUfOlUX5SlTOF7uAQBSZzbunxobZC//5q7AcCnkS
l8ngw92rA2BRbCovEfqHpZvVc/IPqTGlQ3EgrrMrjnr2nlkN9IRk554SqkkXq4g/iXi3ebDoxaSg
uZFLJq3cqS70x1K2wFSsjak+ZRU3cei2lsK870qj5o8O+qBtxNif6LavQgfPTFS8Yh+ivIyBhj3q
opc4kpOxPvUzkDGSA+WAoEBaAiHmzhXqLeeQhq3Dnmj9IrwH8I70YOqghZXqmfAtzioUmGsAh2S9
osDXRXBvotAoQvuaFhDN6BuAO51fkBQKTA8YdhGlE13JL2VZfglFFyxBIOZ3yJKQ+rWrdrDUwoCg
wSJmXoYwOJSkDhJmF6yNFC1IuC4x6S+lPSOHQsrBeG6WOdEPWm5TZekmmFJtMi28KLy1E50Z0xiO
NKHXHdRZ4VExN7xLSibClmTw9VhV7aEimVaN4bQUVoekUlIobJxtqOs7oYgdSEag0w0CbEz0m1hx
9hnxcMSasRF+hXx0IHIuKooDY/ojm4g8gW6OxBLRWG610Z3l1eA5BBjNRBB5bpG9mwASipK2Qu4c
sCx21Zam+ZNnE8AiVfaWUgAvItuhUdadWQGf2Ml/RdwkTyakIhULtROBg6ADuGvf6ebG8oZ113Rq
F/Lhwn1NVRCt+6aNloP/oWRYH8J2rA8//s80gUpjFJ/Yls/HVgzNzb3K8pGTiod7YMrXndW9+4jP
IoOMgGDNhuKtckFw5NfQcT4Lv0diQJwQ3o76iwQzshIVcE5HrPqMQoJPZ1AvMF+TCk8aV0aquH7W
EvhkrbMiE3DVpuIMaIErSzdSCOIjn30/es5mE2w9N6uIRMrRQO+cH0Hu4307kwORZoih2dnjzfMU
DMCg25keB7Uo788qi26hX5h3RjzSdUCqsOwI6bhrEa02wj3KEoXqKAaxaUliL8kQNILZC3pJxPDe
ix2gzSdNl7zGqOF0kTwqmT6rxVCpGc3F7knLPbB7LKhJxdGypuow1jR/ijk1cNTqYzXk/qppUcZ3
j2oUp2AUYlmb6YQ/5QBTmYYjB2wcyB9KrT2T3Xs9c590hW8gRwk2uSNiZAjume1S4OeSeNdOQ5Xs
C7PithvxC9JUf6mPaHvjiFnRHqJjHhQrTaDsyUEDgrMt6BT7tOMiNHVDXAfErk9bn0b3NY6NNy/w
0MYyX/DXy6+0tsJ7NiscBUHPL6qw2hncd+ht2mmgSkHrs3tPnP4LEWURL1r5atIn0o1ZjmbA79DQ
apa9eeygGIMI0d807OKgFbX2UkyokozaxHoT0wttinFcWOhWQdxmW1j19Gly9MaeiO7FNB+mq3IL
Kp2/6Z0Su1uy34Q97opLZGOPs4ZwwPFB8HzUXQIRjYyfFqKXlV4pZh3TyjWezVjIbRTquzIPWsiC
9hzZAppsUO3GQFeCT2G6WLX7NFgWVnhzFBvXm+iKDgi1rdK0NtNjMTREJ6J+ZzUvDqlS5kqRzTy0
NPmh3y8IryC1QZUFWbrhrlOi/eyCZOE4AiV1QzpHNnBlSgvvIwPAgmO9RC2MRFyKkqYrpBh1b/FM
tYy6VZvfe8ouT80wvVWe+0Q23mlEbAK67kM4czSC2ldY5ZBp64ux6t4lehkYA1g/WvnmEvboh9CS
24BqhFpikwduoFDulMjIc6Y4q5tTJ7pzRj8NtJpBskO/DeJ7B623Z/T3bmRs8At9cSdcj4gmgt5D
EhPU9S7BGcP7RSANTZ/J3oOTfNUlGjRN22SyOHQBthBezVDzP5y+W7UwJTGUPDHtc7jOv0kbX1jt
oFKJmPXmAyz4yf3Mm7SniQQxtny6FKeynU1GIZQh0HAnWyVPKGOnxUw07OkCM6vFSyNXLxBH3/T4
a0pdnXR6JbYJLBm7/Ihk2D8bsTBP8696Gx0gaX8YeKqdsAE3WdGHVg8o/LLx6kbjJcwcDDOJvy0o
OLDuJCgkfEICQPYBxb8lTWzsiNHaUW8KT5WWD8eqlxed9/OuGZInz3KuUTXKtWlOKzNLcf7UcQAu
xQYRTQXOhKGgAuQrlbdXvpiu5Idx9iVsto1mO1IfTivL9h6NIriJuv4YwV8QwcVWoQ+BESLFam1h
LPN0ekMs8TXsSNfQOXIBZNQYgWC0G2oGAlSkGcASYPUBBHtCFUknPJDvUDPYGvAe2iNuANwVuOmD
j0Bvn2S2AfdA0VNzNuQ9vOojNchZRD+QqLWhzPfuNflHgoOJ+ZRwr4s3/3lef6aNfJCMksg0vgww
ppfOEH+IiaxEBXkGz4h7nGKmkoGQ9byrVnVtHzQee+u3p5r0Q42iNz1nGpVFD9C0S6/hOB8k2K1x
nDWANYucagSaGCgpwT4NE1DZabc8RZo9Ut/og900mxvjcwMb95KEvTyOC4UeEJ9kb9xrJVTVcUp2
QwZRxihbxPTkKuwtG0yTk2bFwtArbdtHzf3k73W9Mg8VxtQ6HYezjNMYJeisira1ci0dVe+k7qZ7
BtROn2scUcm0gNBxMcXfwOTAEq0J3WnYWCPp2aNACvaAPJ023oM/faewlKO09HADBXNUuWtdyW78
bprGo2M+uRkVPI5xb+Es3yUohSWyMn0AM/FzXdp7zWG/lgze2uXQu6i1CoEaBjhWQ0I2p2jTd3W7
IuRXLAIzPHJoIwp0cA9N5r7hfgWgYyKKsBTsqeA2WRx5ST7Z4aIuN2nBNqgNHX+nKZSyRBppCUxj
zOvJ/tBOoIjsCClyZVBCJCrwO1scUNxottFZ+VcbQgOWM37AUJCw2ChIQB0bhNEsvK2q3IcxUOuc
UFsiviRhncYUvEYJtQtlVl8TzFQ7luu93pfjoTdzOM3IAee4CHlwiujDGEhsBoiGkyDk8N5mOupl
bASJY6EHxoMaIdLGgNEDsKwArhVaeKzbmU08tVgac75omM9Rz2qE2m0SiSvfc3QmbMQEDGITWzfb
jV3EbLfo0eBudHsomaenNSxtdmeSZ+GPKM37Vq58ZAyR8WajzOc3eYSCxdo3+RWMUFwIWgOtHTl3
GLNuOiW1/QzgVqM3Gya9nsQ+O28wD6EhZFsFoHFHjjFBhMWe+s9BGPO2Y6S4XOcJGiTfPNgdGrEM
09NGxM50Rz7Q2uDOLZk7AXq66Eu5O8tk5LvXwUutEtj7I2XRQEvvE6s/oE6otn6S2UTYEcubRdam
nbHnMkUNZ9g7TxYPaJPNFXTzl3wCksxBnJVhiODcthwm7P4hTat1YUDoXegd1V7LH/BAySkg4+YO
RNSidHnppwk6vzeJnhshFN5H++xq1lFYDIsIBb6ftE8wLD+NfheH/N6oqDU2UmsW2q4urfeqoFYD
xxafgd9s2hyFRGlzKmPapQvnxeO05HqCU04Sd1rUEF6t6k2vux5WUfBkOmA5TIsYUQSB2uqHlv1H
7ORYEiZK548TdovOy6Xskk3UQOIGMT8zEODrgVNialFNtHrnJKvsS4XlpjEvVWH4qHkoNun5Ls+p
fJo+Bakffb//rbxHX3jwKWiR/v/7/49v9cdnmL/9nGDy//7Zv7kZwqTF6SMEsKB+6Sad/j81AOIP
GqBIWOcUE522uEN7+t8aAOiOBJ+QX2IBszBsnW/xbw2A+GPuY4K4QNzypzzg//6fb8N/hZ/Fv/rw
zW+//rkv/5cWuU7v3xAWFiLb1h1L/NYULVxg6yNmC1KU0++1kMQIWTb2hf5aeBl+Zn3rKvuzol/U
RJhONKWAU3DqyG9JiuOikJef7t+/vuAvX+gvKMof3whRguNbQpiG8ZtUoHZ6rfACVpVsVC+ejcQv
rcJ1inCQOiSdUbb7bQ9JsMvWKs5uMiYpIlAUpzoSHFzrQU+Se83D5R+T5e3RLUQEnt6yvDiyL4Gn
LEhnLLoXV4XrXvOftCaB9ri2q3jpRmWJ97fZjy2XCsvqNgOSEN0hdQ6t4TrKdo+xG7h0vUtb/PjE
CIBw/W5jVcTh8I07tVHTdagjuUA7cB3QdJYukZRTuJl6ttsp/SjzRx0tyy8dkaKNkXzzY4KUxUY3
yks+0fYM6IlG5Bg6ZX6Z3Teu1V4RcJ667q0iizH3Fn1L5Wg6W15+A1D2TcEK8cr8VoTZrStw8nAs
DH2MkAqPM9y3+k3V2kYrU3SLJEgR4UlhLcWxbjuYdGFZ9cmtLwF2FenSN2HpEeuiQKRFz5J5eUxv
pHlF5E4aSDMdvmA9AI4Mv7L2UH4LH8LBA5lW79P+AVvSg10lN8mTw6p0jv3kHJraKTG5Qn/jCets
lNyXWjKf+/6FmOBrGfHhDQMP4z1CtXjrOcXJtqCBjbATKbieR2f+5sKDi4SHlKLHoobnooXiQt4A
yQE4SGGZAZaiS4UpqZlRfGaz6m2Fp3v0OQknHKjWxWxp0ttyUyf9S1Wpa+DOHPXUeWj8R69ylops
zIo/c2z/qdbh9mnNfZ43XyaV3v5hkM8yj5+lCDriXFpc7qwBAez6uzCliSkb9laDM3yuDnNIwpGO
DLpzN4HMLvaQfeeeg25IjFVSwXEotU8rg81g3Mw2yf6cln+ZE35+5dzfVSEzRZZXh2ITeiDTE7/p
MVxRwtJI9Y4DsHpxOjJWLY12GkgrneaHCjbkzTyQDPpipMWt9HkjZ+tUXmKYIpfP9L/aRbsvon0x
Js/YkihlJme2/kc7UpSWa3LfeM8it70GjrqCQNvUP5iCYw/coKGIybsro5mVHBcXA8P4HfGBIM0P
acnr2YUbP4O5nHjAWq3j2KXourWPslQvc8qnkXOejtNiieJ7a+hPlYWILWOUAqMG2WY8gH++G8zs
BoQ6iwlMbG4WzZD5n6IqeO8N+e3vn635Fw7RfDfRfJHc65m+9zuHqJ4mMLCT6map0zrisJZ46mUw
ixun4VvSaqvu03Oaxx/velUzv9gNtxGaKIZeZxcOZMRW2BdDeSQudTtIpmNslc5ofPn7Lzor2X4b
hMKwHBSPhgOByfpd/0W6TlhH3kjRamqBm+C1c4lJ9friRq/zTENlC6d+SeoDkFV5wUAaDOVTKwkX
lBIrLwlM0r2Ew9biUeNjPFtMWHaYEbzqfEp9G5sUcwj79LFGcz7jTc1xS8a9vJV6cQMlf2ltMmPH
9FsNRS6uxyv7l2tEP9UkZ3YY5JMfEq1GMbYmztfOGCVGjjGPycttTAw07b6jox138fc2gR1Zti/Z
PGD6DzPwSHINorPG1EDs3I+cYPacF9MKv/0YF5p98IpwNbDmISelQcc0WRVXBQnhLvDzG0lb28hN
zzZuY73DBJme5xEzeRBTkQeL5jjSKP0nidJ/fCA+ryFrOyNI/CZXY91QqTbyQDoqQlitIdj2BrEP
aI5kSbnZjiGfEDRuTsnN7uy10sQ5AaaEA/DLFEH3rSMCN5v+oNO+rLhpdZp8//tBM4sP/zJoEFB5
gn0LZ+/fRVSd17hmTloNyiIEfIR5g/+7hG33MuctexTiGazNvpjUlZbULUcQm1i4ZXwHU4rW7LNO
Aw0HtT5mTbXSIyKkVWxXmyCSR5Kz9gS4sPSE9nayzW9kmp/s8RWWM1zB5LsrQQ9rybn0glU6Jd/a
0d7iqjsnXfAwuLcC/lOCN3BeMlh0iLPMb47TPBRE9UpLEdHK69g1wGWzS+cHq0Byf1E9pgmlfg7J
R6RzGy0tn4IA0bjd37cjFvi2BFdAIEbaQhzF6j6F9Vp5430UUvAKa+AUO1XfOIt+Bvq6TLMvhZuc
HcNdzg+qqep9Kb2nnOp3kg0AqNLjHFEcOzV+NybF2rO32H/TO/8x90sAj5ipYV9cTL+7Eky5pB70
PWwIOI/c7QjLcE5tTkzrsaqKf1gE/sNzNdmbenjk8YzY5qzZ+0kc52c54SCS3Pc8sgSZyWBfeENR
jd4LF/6Hn1r/JIX8XZzJDAlLzhIOolBUsN5vO8+U6qEzKUaScEuQWMbSsIjfebdS6kqsxobsr2Yy
71S6U5MAMUvp44caTRekM4ZR3/39wP6LMvPH1xG2h8bdRX0h5iX7pxuQ+ISaDAOyZ8lwLZz0ITC6
l8nvccyFbNBCs/hqU4hRVvNCIrX4h9tvzh//645gRgm4bMRN3cEj89v9r0K8dFrIqkE6VH1n0vI0
wAf7qQvayMC8jjUfhFcdxA8jJXwgJVDP46Z7meFQsFutu9RonvWBfnKa4F4aM2YyTU3kTmhrEqgA
yQ5mtVDVdOk78U8T138YPJYvHASdDnRAx/lty64LqFCmSdcFSuCpLr0Py6FWGhr9pjcjJBdmMVfE
iCKnUhD/N3fnsdzI0bXpe5l9fVHebOEdQRIEQTY2FSS6UZXlvbv6eRL6JkZq/SHFbGenaHWTZbIy
zzmvY8jAFLR4skg9TnWH5IOLxqcG6Z6UiorT/59frP37OtN0R3V0VzU4ll1qrt9ozsDPY2I79NoK
xnyjFWqz4JKF1oDxigWWO8KHImyQAfhJq21ikxvaBnfwP2t9JFINFedgKt++nx6UOLyk15Z7oBpV
VSChcUfooTZnxrjtkM3Ap4BPY8IY6VroiUFInBZ84nHoZ+ztMRhpMY9NFGUqC0lRIK84VnQjDyWn
HiEtPULjhKJyOUW0Yhx3TskgGA0PSbbBXS6HvOSFpjAAiTWlHelwklcUZ2HpHBdqqnzrISXu0IHo
R5X3mrXh5yA7mdACLwjCAmVdfBV1diXGhMrM6b4aZNr/8rx11f29AtIM+mbo6zSWGpzvxxnyp09J
62v8jSwKuiQtYcdlh6l3WI06ULJvb+l8Yu8tFMnNUr/UbHxKc+mT7Z8FyGA+Nahv6J9wrSWnbNZr
hFNV3UkFIJt1Fv2WibqwKp2f5mtZGO9Oa3x2RNHi6dxAyQBsSHyGYcapoMOKveTF5cUZ7CVMTMNq
aYTlE53kHKmxrRXkhn2qEhmq2BWBtCU1o5+7TYwEO3S/U2CSOXCcljOG6uDVuBbeXGLabqC34X1W
KrfQoU2gwCLcEJRtUHCza+0BQAOnqNHB7SWiFp0rHi7HKROdeTeAPfZ1ZbDVS9ZCPsGT6AuMmYCT
PezvcDZEtBqNb2QOeMx1sRFnx8D0qDQZihd5CAsBMhP5MEzjYGsLu8JGoxcrbmMCzi5WbkpGy9B+
ZmQfLSYbe3Irj88G4v1540LBc0hMXyjJM64rYtXZKJ1s29sWqYW2c9RwnRLe24PZHHVc8PTh2I4O
7IGluDIwygIFZnfCWPJBU3anZG0wxlxmYRGtHMvDugtq8hKk9pQnbrwb4gy7ERNTSJuwyYg32qlj
vMMgf5+YQOdCV95tx/iq7PJDHjrynK/b6tQobASyeHZ9hbVdTCY12nNr0UyYCj2sJutJu5k+XDGc
9Di5YqFzCEZj0+cG82gtu6asvX7oGRX27UnWAiSavEoKqt7wzqIyO4S61YEHQiit8Cwouh12zzQh
cbNL6c1wNonuyhSi4UI2RvDx3Ds0HcYspPsCz9l8gjTEyFBlVnt8yydzHhbvrR1BudHFrdFDLMJY
Va64pYq1xI18Z4TSU8tiLl+ymj1Wpip5zqEQtzIs95YAZjayg1QH2VH45ev1rrfY9E1rg831DfPp
FxKVrvTvJ7DAm0nj7HbpSTbiiduf4FScJuyyslKyxVqVKWDxbOUZcCr31SrJdazEdeiie2jgsZZa
49oXybE28N3Hj3uB++Nr2rYnnbSZZLol8TsXfK7jCnEmqw4/UHBUDAFL1X1Tp1JZTMpK7VX8MmPC
LEEaRTzA9mq7sz3pVxcZNMNiBu1sb9KzYwYkemtVvONc6xr28E+h5LEVsiatXCWHXgPhTWpyobJD
5OTLsXmtqaFKwz2ndfchByrqeIMYT2jr4CYQX9uTg1+L03nn9MPzvZVfp2e97z5Iil7HhlnOS8or
2NnbOEY95XQfKDo2qmpuxqT/imxw1PDYdOJWx2wwSXZoivzQEQIRKoakZ73IP2Pa/yHLf3vEYiav
AFLEOoSgpAUHx22v2shmT6DeXI6TYNieUjnCcRuCA5DAqXhRQ2nj6QdGe7LV5GiRlIdt/JblxIwL
/9T4M7WI7mg85treOZ7KM6Gug3sOIKDJy+39kW8mkPXiwGkPeogPxgd88vdqIhavZMNXNAYxVfNh
tP1S6RCl88T6sT1lgXeWE7I4zA6JgLXurTHIRT5O6ZwzpJ7gcjBYxpm+/8ihyTXaL4Hzifyt2ONL
awUUhPGRhRQpKsN3hQX1VgbdPgVJZF5kTvYadiG8aGyEZPnajwmt2IhaAOkmfaKgg4ry/qTzkLRR
PSV2+tLW0a1zkClgxmswZncaepog+9RCXJSU+CbbCYaMJyq0DA208dKEdMeVg9VCYIM3VCU/Nx0B
BQTPT2ckx4bwlnijtde7HF+aeGNW0GiihnI/78tnRS911G9uwGANk31rILeJTAit9p2FU4fveNRU
Ww1nFkPQY1V1Q9hUpiwHWJLnInlXtHHk64tudSie4NUHy7D0sy1WSs8aKw83OkzSoJ/uKRozcJ1a
x0m+yjRSD+GVhzCqK8npz81u36SuviD9xZsXqCTw5arEspu6H1kURHPTR1HSixbuqYbTLRr3tea4
2dovSkS32GooQHur2A2ahVLpWwzwmcy60bcuus+HX1Cag9+UNWxWP8GHc8yXoUnSjqs1zTI1Kkwo
32usy7aPC/Art8GwPFgN2FZAJFTqtVvsOZjiHWp/Nim1aOemzg3ALIuSJF7U8cXGsWkq2noRRoaJ
KWwMEZljqyU/BEpj/9yW1mtjS8NUhTtW6uQN3A1nm6Yiac5l1DbgM5pFyrgilNdbOEpB62R8Py7I
GupfMY4cC63DP5aqezFWPzM8ULaTA8+iQM+IvpPnTTQcs53JW1Uenj5o1qttZwe3UTniaSdBGbKl
9aZ5DVMOKzvMkk0mk8ym6hjraOlrv3rNmc9iX1aIpQ4zFNZKv/PYEVbAT9Y8IoMZxpqINxVibws3
oWDSx7UrEcw6fclNFzN7hyNOWHq9apCWm2kK9z3i2oIshI8fWAG2d3aFvoSYOa+un0sGBlgYe8/O
QD5gTFMYQ3NbFHwPIDs7xcmiDf9eqoBZVVN0bH1PQ7RKWAEHPTfultwvFWKnaLcinK5eiNinzfxb
bquEzOVOj5e19LZBA2J0WkNLTX0weOM1B3MKR6TUbLH9ofVgvOKIQUzdFAim+OXG7UexLOJOWje1
O05EF7i9+0YGzSTEiGRqMzl2+CuNNSsmxpimCfcWthJPFk4zVHjRHm0qOhq1xm0+lsy+8gWG712r
c2pWVkuuEBiRaGRFGX7ibdWejE2JHCIFf2+bAMp9w7NVHRPbYaW6W1cP/dZCqCWRMKCQmNzy7WJv
zEnuwY4kHGAtOojB7GNfqW291zZ0Z+F10TZ3CERikaxRpd+Y2u4wGWCe7jtwKlWg4MT+2aThj0YO
llv2/VAZZ2ObPNnVcErjl6hS0DgL5TtVVWrmCN5+fCc66lxsidwLQtxFGG8YAwGYQf7WdGzODY4o
nKdlzRKjPcNbALoNtjLYJ4ccNEz/saBA8X3CheLaKMmLlXEYOLm/zVQIWXVwa1tO31zRnnxyyOVE
YxghVxQigs7TneTkC545d82EpRmTvRHfW4Y68i866HVnaJNvvZMwBn0auw5kQlpekMk8MwpahTGZ
1yoAqQWH2OC4fAzRJkqKnOoncR5j9v6IwOMZN7uryIsVpkLcKm9O1lehYm2IMXxpHAJ6sxgKsbjX
DpnWbniXkwtP41QvMPyCxcVCYclNLQcb0T64Av6gpJ+4jHXU2dTB+Nz5Qtzxc+IscFdDqQxzEC6S
f7In7A1eTasJ563fP2An1DO3KafwC32axiYDXjGV91FkTwS/3oxRHO0q75eusx0c3pXN+SxH0CIH
30F+M2/C5iubkGyTcEnfUS3qQYf6Pu4yaullzc7uJZFDY4ftlNBYGCpCCFNlFSSMIbL6lvGxhbL6
FEziG5Zu1O4lbEAmzofP8wKbou6rWue7LPnu3XydQkjyOKXTJDmOY/IAZ/KUMlIWp031Y6q1sxyC
Vb7ez+Q81SMjolMROvG0lexZbWoH1IY+pWoWnI4ntQvuFvJx3bGfdY5kyYJVHQ19Nm9XNnFFFt46
a9hbNPchU/fYdDjug3dYxy+d1T27uYjnU6FBihlAxq0GEzg7fSt9bmeQNUmNe2yt/Bo6cpk7jS9F
o4VUJeIlvVBbKOma5aK5AOfDGe0g368cnsqLkahQm+owAduDrKIGEJ9ZHVKXOtmLXTHni3hITsj6
KNuRdkB8NTasx4YPqGQsHnTTh27sREMJjH6BQPs5/ovnoQ3utv4RDR4fPB8sZCQ4vM4Bp5PngNcR
T/FhqOi/Azu8Qx+cGSLdsuQOLT+cOou8Xv6CHq1bvzx2RXgTjNshIsilLG7j1F4blvUDCZPImufF
i8hpntjmoKPuzbL90JvgPbCp2lDjvcgPC6N1OUOZ2Wp1lOtVNqOPFy0/DPlCH0Wa8Zx69b4rs6P8
avFaWilDsg9NvDXdcGmODGv8KL3KKaccgPsI7qIaXKXR34q+XEiuTgtf1KvaU4itbkJHrAV0+BiL
pZb5UvPK07paWybjyragSL1ICFP+kaw54zS9yu9RjsYkcqjrPKJcj7Y+9F8ApatNK6NNVKBI7uTW
IUvJwm1ObY5nCr8LVfRafuwS++TwPsnhvlslR3l/ah0f3YYJf6xvO6iMUw7jqEjulLZbNXtRo3gW
dRCH1Mk/K3axblgFjdbuYiM5GPU+datdLcE0PVRPfLAjSyJcZrFHCG734UjcNsUCXW/3YcsNT80b
vfNFDvMfO6OIMvjc1llwZFsmhgbUideE+01I/4FrX38EjMe0KNhnZnqwlPDWIuXrR0ohNVs5UbO0
w5ds9I9+zhTNXGDvthlKw5qDvG/kpqoH+P0Z6aaiWbdYAJbvnAWcSvhnsm6eqvyAWfRO8641WRDS
AFCx+c1lyyutvP6jQc8QBvqB8TvIKC8hCfKraVQ7uYcNdUuiABWyfMi2ap8r4raNzD0XJZ+bE7Yf
wFwvcv4tJ+gk/N4CovYm3TsrPU9+cs4S4y3FRTfaq4R5Bes+Uz5k0Lj8FGGqs7LLcyV7JKr4kC7D
o88pkSwUiTgrcqvKguTFm9jljJiBM0PdMu+R2rZUFA2nozkefe1NjVAR5sEtsuKbD0KOPxN2yEZ0
NuFnFx4E8v4N9+cL8VLBQk8xutw0jPxohpFrDy528t500e3+ZEjqVNERxOa6yyjJ3UXgdqSHZitV
VhMeBCisvEvkkDscJEsYZLRykQby3ORvo4lDpd9RkoZWj5zSyRdqOH65UarMs5i6tKwRvw6ie2aY
f6RoW/YWPKSGT9Sxk3EpIlnQWKuRwI1ZpnESp1G7JfIP0jpDuMpKvjL124vgOGW0F0b7DvtiHqTB
Mmr4VGxDoCPmh1kVOKU8f4ZAFsMKCJFqV6iTJOBh42XT5E66fFytBhlyZijjRfjMXtP67FTxV9SM
lxh+IS4sF0fhLl1/UxFWhBEtGidY+Bc3UH4Yqb8MHcoiDp4sWqs280kczY6QG5s5JTRClpDwkHrc
A4KurL599kJK8ML9hMPnz0gQIM7Di3H00i/W0J1ig5xyoidODKswp6L1mAQ6zrqi9cnFl41h98zH
HdU3mMY5in1EVUTmArZ1thbeC8/YwAKniOzaFSOhXx6Xp+jtRxlz5/hI+6RRXWq8qBaNyT0rhbsT
ZGGwWf7AxxgVcJF89YbyNqrWWrOJOBiHFlctZV5E0WcMC3imBJjHQVleV4jpsL9fEffJSNbz/blq
oR1t8JHXAuhwj0utE3KcHHuSDD6WCAETkLCvVoZiNhKhlF7/inGvWNe1eK9B2WcGzij4XxooC4gj
QWS8sKoGOrBBNoJpV5tcB03wnP4VKBQycoJxvgmO7ZsY2ZVOgycWDeCEMepMmT5t3KypGrlRB3VZ
QDIdRteM/ccOzQqeNqrkh/hvR2KeNjn6/wUodrXxB3VXWOy+pkUTxvmvIUe1qPi8fiHwhXWKJN+2
yfClI5+dafhbQWgs9sLDNenx681BvBZW8plhT7DEAejiwInuUm5K9RERJcSRaBYElQwhTqSqWDWF
/hMpjPo8JhhlnlMkRKaN+jtLXh6PQcMBiXTLjGFCDdRcoBcNalJoMv2tnDBvc6BmeGPszHA0YymG
2EyWGJIT/t33axVK5ywM40uK0Uyk2sl6yjwWfpI7M3xcSaOvQhNfYf/w+NLTxPjpxeV87NJx0Vf1
ISkRNCPZYbu0hiMyD/o/dlRw5oHC2dFeohyKhtDIlBSEKwuNlPuJkBnibybotsRJtQrOCQ2EmJYP
pyLjQSl9gqShPZsQAyYLzJ/nhhQrCZkb63jqw3ihbfhKlEZfjFgiOSqHEy6TWDvW4RY+JAMTLP35
xtEWCvGcVqhm9ECZByb+iowwMCmTWxIDQtUh+UeDTeNZwQ1WEiUPe3kvhzHQcORMA0K/tyRIokb7
vCxGIhfZ4Dho0gSvUowQSNN9Cz0Ve/cCD9UO2THcvSuAGEHXUO3CTJnHgRiXmLttMCD7FZPgQZrC
anDEV8b+PNf7cV/XMIJKF3fnFDkDBj+1yzURgf3Z1Bj0DhH8Hp3cRnYBQ9uklroX4ssb8HxLWj6W
MkeoDkrgZJq60G3raGT70VaeCAkANXLsnYmIg56ET1jnE/njv7IpvZZITqJgfMb06uom9rEr+WlZ
zMMBGr9U1a/Mir4e+304VKi7dHNlJXwwjPUw1p5wmIevTHXQyNmpqz1nrdhA7r5oXnTHNU86MCdf
usKWY3X2scQ+D7LlKtUTHKZR9VVsO3aV3seWHyJFHKIucX7Vh/2iJAjFsPhjnOeAVtrPoMG0irQP
TKzj4QIR+Fdj2ifHO/rYUHOQqxfsLDDZBs1kcj4L2v5CoPn9sU1V4SrqgoMr/7UrupOw7J3beqtg
orYewqc2126h5qbLxwMriKAwkcSgbvoatIjkIbk7cmkYBuA5bopfwq15+TpHVoB1b5jwSIOW8hgG
9l2+TsxNQZ92Sikbj5glUaBbdmKPj4BUA622zgjRXjxfvZDCdOcD+yzcYW33PCeT8z3T2FXzkcN1
CcXoTsDfwWfJDep4IQQNemzHwEgpzY0i9L0qE9AeL8Um1BGDCvWCu14/62ASQzkimEQeNT1XX/cX
dWDIj9KrZPSd3MkHhwNnqrPOI1sHgh0behd/eVVEXc5EisurHdTunPk6vI4qrl/hjqHGqODv0low
Qu2VX625ET4wiur4KamHmjXzCv2p60g78H26n9BBCePh1xbrPI5A551CB777JNTNMhPmhQt0xdBL
WlAEL2PePUNa/WUpLmx27JYtdmQVfSejX+Ub3jtnE96COVEFfB/wu20HjYe84Ygvd50QhNem2lkf
sbDs+hNfmv9YHEAlGy8vcOXTWd0ezkhzUhojfEy8heuy8wAw/XAQ1I8BbzvvGHc7di+w1cfBT1GG
PXyNL3qkN4S070rBMeKWFVowZo0STdTq9qRpOiRCcziQY3FU3OirzJwjYz4413rybCK3w11a7MyY
y8urW1LZXEOp0mNzrHBYeNgFqKQh8/tDh2MU2wfqjhAOS9UhnHN5PYjLCYpUomuteqs6DzClCIvD
QCKHRcWmYAo4cOaNJsrx1gWb9NRh5fYs1kmUn4Rc2hN/57GUH9+eRWPW1Bwaup3eZe0HgEcv2aiE
GPU/WwMtAZrVbKlVnMzKGK0LuOqpbrOjT2wyCDbk8Q1hPJ8WqVznj2MspgeaY2F8D+zobrUpBRfa
TQ0Zb262rwy6mC/JncizSBAQ/pmNSgMynT9W4VjzvzwRfTkji7yJemxhRiYeKVppm5/AyAH3XXFP
yk4lwT4kGVTcW4ew0ABH9URQoMQok/32yghm1eAUPJd7g1/Ba0fUk2Y1xrnqxZCrtua4nRL8NKeU
BWBSX1VTeE/dAeE7f9BrS1MHjWqioVsXDftXhslpsmyKgRhcDDg6a1WaroK7B4cEc0AHs7i5oRRE
YQvtYqV4pvomscayKguCLFuqjN4MRUaRO96uwDuoazVthU8/9U7MaIYyNl9EyskOhk/XY3t5vCUC
bhxpOjiPkvhuyh+maDyWh4JB1YJ7ZDN2sOutUkxLv9AJF5vyZJmSXjlLMd1IMz1cOTgAm0KsHgWk
4etPVhlD/EsZ8T+uLiuLlaFcDIXRQOEPGRNL6t0Aj4u6IaBpIrnNGukDps6iGdKIa5ngz6xxERYp
U71+TL+8hnq+NsTZqrongxnXbAgQC2CHx8f1onjTz8eqlmXs47YGXdtYw3h6PPzGIH7ELTgBJuNe
aRgGlAHfmFoLth2nnYcq48RUqhwcB4EB893daFYLJzYYn+PUXlfeOWrA3bDGJTzEVOeWGUaYL+HG
CyXmJ9G8svShcfGq4D0MRI3OONP2SVduHBY1ftwDilv9Xod49LTt2q+y/JxjEWWqeF3HMO4XbaXg
pDhgrG3zaJXOJcsgN/cB2lx8g5ydTQ8MJR/LHT1rrxW6Uumz6q1jXf1htMEyR9hOfpEyPuVAf1GT
3fSB5mnEK2wxFc6HMyWHyS+5aA3sw0QSY9cxYiIcSTwJKboaN5pV6JTdjwxr8m054go7V5iWLL0c
2QRQcAiEh+Sgi//gxtZuQmpsyWZSGPaWJIzqkQRdqt45cECh7VYlPx6BhPC7j1agFFb9rcTLhvqK
Y05I6ClH0cTEJ/BXBlaZWMCrxfyK0Y0x7lR9wM7FYwrv+4xiC7h4fNV4hYRFvipl3pKlnhgcYiLV
cni37fDMt/RleukqDAzg4T4iv3TAw8Rftb6JixBIYyJU0mKaQwJbnZUcMupFYKdqeE+EqYwxTOOd
rnVfU8zgeHSKJyVio4gbATmjsV/jAcmUNj6Z7qCgwFdetJIEVbbU2OAmVLacagJus0bUXoyw/zD4
0lhStafBvVFpLXptq0fo5Fx5zIJmUi6r3bvasu0Jn0UJ7jgs+x5oLcFnpBzAJGDROjP7Z6R7L6bS
LdKEBVLlRJK4Eop3VTIdPJrTDrlpUdbd3CLulYB10oyr9qXXna3hGxStgXJuhXfoRUndMInvnhyM
hV8pt2Ca9mNDgduSHLcsiJjywZbxGeLHwHtZuXkFmFPukMFQ3GI6s8h9fHUCM3yNGNj09CapWeys
EBuyshhIHSb4JNU0DIJxKEHyWg2DxSyFrvGBfPiBQipOiIikE0zlYUrkU23+gWwZCizuwJMmfz7r
LemCt8dW5JpXg5guhIeIpkCXcZ/qcTiRb2eolXJRd+UuUzB7t0GxdMJj51kWXEe4cdI76uIJPE9s
5EwRg3+74Erweg8WcZqBYvH8FPMj8EbMW1KgWESR8vr4nM2eVsjGHpDhtLMREZ7NefKLhKJsjfgg
n+Hzw/KTm3zdlj9q6YT8WXQ6udhytyiwqzEtmj/dmXWT96trrY1tUPy7gbUPoGUzF/jAuBMgpdmm
pnkqUjnvFBHM4uQuCdAd0WCzHJqAEhFsGPKK/tf/FZu8/EEP+zNz+29GephHOkhHPNOSGg7zN+J2
a9ZxmFspQ+KcxgQgnyatJZM7RfQgWQGPtoKB4D//Vu3v/B5+rWlbtg4ECYVPh8v2J36Pi+9aPNl4
kj2Q5ZUzGacZEKA5vdkt6lZYvIZbJLM/+Mr/P6uHDEns/wf1kLiJ3+xDpXjo8a/+ayBq/ce28Mz0
0ADppvUQCvwhHtK0/xBya5seobsq7G0TQuF/xUOG+x+obqbtweY3dc11uIj/Ix6y/mPKH8VisXTT
1Ezt/8VA9CHF+TNpkaNcxVXTgNKmmfDrJKnxTwuhCCz8vysOVdHS7SUYUOXja2cAYGVR+hX6VbwS
DdFtY9ov9cGsVgQDbQmXRDg66hCqRhfgchIne/j5aCb+9DD/h69D+9vn4ZlcFVIiQ4f2Zxv2Xy+P
YoqClxgMiGNEvYX6r4ksX7Lr4nfSKV4K/M7mdQuCrZJ6Mp9SJgNV0L4ExIRvhEeGi/ADyKnDV21Q
VgknR2ekAPv8y1XKq/jrQ6SJMR2SkLlUzVJ/Y3722Jo13UjLzFyB2JXJtJ58fa8hJ36JdZdgOmOj
GJm1ccbiO8ESFEAEE+eRHIIS/HiqAxeqPfJ/hq71+p+vzfibXamHbyrUXCw5HdW1td++dJXx22T6
MBZNlQPbwC19FilknoOPfQw+0tchIF2qKuscA0LrVEAAOxZtHm7DTDVpNVJixQoiD4kRqIS76kLs
5Ycev0izpXQmYB5SRia2TMNQVEVpsFYyZRswTbaZ4NutV74NenxyI+JldKbs/0JBNv/+6G3H0135
fUG7ddXf1m9XOpbjewmtWtHjcVcZVxJQsDvJtGUM3kSkZ4VJoC/iVTLm+pE+aW15Q/7c+f3b0AgC
09vg0Pb4VQOg4/tRmmcNY5zZGJHQUAebyvOh+w3WU2ky2RAeNpYaVjprLMEn3OErwntyde05NIsl
VScY6/TVZPbWj2wDr7xWHMihxw8f65E0ZvZhMQjFYJ0mX6PUiBz7nL3itbXNmH+saALSJU4tq39Z
A+gTf1ufHoNES+WIwZoHdvJfv6Iy7LzBaTi79QIPubT6JFW24JB9elBl3J9dofxoFfU1GkM4RJGU
pjrHDNNEIn2ghfXF5+jiyGgSbzUbtGBlQJljmVPouAUpTPm4msbIxRNDew19op1cB6WvpfC3TW05
TfzTQRCg9DOm9FIlIPnP9/c/7BKe6jjyRFPZGxFW/vX+7NGzBrTeOPuT94ot/bcVGa8yEkqeboPD
JcaFz7vBdWSG+aOUAiiLWktQjqexpG7qGK05a5wePx0HNCjr/uW8fZynf90hHts/Y0HVcSHV/naF
5FNiPT4wbvVz96OoslON4Ski92t8cHNrTUws2amYE3UpF6/lxTwi1EKOwr89bP8wpn4tYiGJpNRW
MdbiarYcMqjFde6dszjBKW0leYaDmhwsxjgtBE1gHSTD9E2TTBVzAQvAC6N/efTm3zdoDhB0/2ww
FrvLg0j8p/OD4BGwl5JNRf4mepdzM5Cm4PcLzNyymdspZzMM3ifTeBVTuSmM6PiIQgMOfZUvp8XD
AXM+exv71oBSY94QCDcTDFh0lymV+0Kym8Fw2idiqLPUV1e6uQJ+JTlCjytKjqvKj86gZADqgQfp
SbQZ8mGr4EU/Z4BPNhl0dRpd7PQMfpVu9jwoZNml+NbG/OQlaOqdyL2FRrj/f1+VpvT+tlXVs3SE
En9dlYSvRF1joOxHo/wO52mhlu45LpSjgZevC+kEYzfxrVRcWxjAezavj7XZCPoKUkHvpVFh4x+F
d6wdYRv+mw7o72bKiJYtm4GdoZF0T/jKX68P33sHHT6vzi+jb2klbEzNZ0wpOqj+Pgnrz8EGPrLE
XUbihRGX+cR94i8Bs6LeGFr2CwvubyaKd7Vi+gSPMzO010fCHnJkkvxaQP4fpmK+wc9WdanVL5Lv
1MaqJzUvOA3DuFZO+sSccZJRdEplHBVSi/XM3NVm+I2REdVw1sHSsH0CfsJ776YkpQN3ZIqBDyzL
WuODjwVzsrGoXlrc/Ga1XHePlV475YHO4LVlvDeLTL6GDvQ6trVX5k/30Y6/i0F7bQkcIWkZHiZ+
EJH6klrWMebmdZPf/s8rwv77WexhG4d5N0NXG5OM3574gBpKn0p8ESaXmwaNfrXBqvtEhsvBiVLD
YGPpL31pvj6+Hi3kVh6kwDaK9961CtBv4mtjpCZguPKaGOq27qGSBMYqUG3cP1g0gggGJXqzbbm+
Wvi4AjVaJ1IyBHO49j/ZMQ6VCx8sKtA76a8NKsV0ytFK8PB8JzswWHmqTWWeYhpTqMmiGppntUoO
XkELa1jjvJjafWArX9h/n1Wr2dWi3Or4ps5hfb3SNnw+esLHK3hsPYWiz9zRv/3zw2SB/n72o3Yy
bQ2Zgo4LOXXib5qVqbYKU48YOjdAfsvGG2cOIPyyvOAAAzkToGSpB/+dOyZ0qILoCrxIuLdCgU+n
tLs6pxojXq+ddzYDMr08DG4YMxaUg7zceB56zC9HG9QF+yUGQCSn2uy9swzb1FUmDByHQaiVIYiW
3mQeRgk4u3SglLJnMueXCO6BCNVwSaEKh2ZE/IS1sAQBtYQo5R0aOux1tPCUJq61LztT4lgzt/aN
nVvpO7VQ6p2ByTWwNTwS5pQHB1LUrG8YhQOw3VoeyyzslEXkkecKvdQFNCU6z/Zehe9/wfQCWDO0
o2GF3iIt5HiMspmIppacHu+FeJwBmq92IaSYHCT64ulgl4wP8rDLFzFJx2rpDcS+Y0mbkZuCpcXR
lspcnHepC+RA0OkCc9fW3hPVorfBj2+cknST9LAfs67b20Tj/ZcGlrrzotAOep6DeavTxUKdrHVk
GLV9K9aUh6EW/nxgF4NKP5LF4tzUn4UYjy3+f+hxIlI4S/HTLwZlw4a/7jPDwYrYj9dZ9JFLJMPs
vZPK+oWsztcel8y2JFJP9ucGn9mCJeEsAiOO+TnJHdcbxNuCv2Nak7VV1OQSp2B8g2Nvcu9Z7VDP
5qBJuODVm5xCGYpAvgjwQFuEaBSnrJAOy6AXRLiBZU/dEpV6CqjpHAkqBWZzS0AFkJTH3FtNMFwP
oDEan7Yytss8dWDmFY26EAVkhjpi8J/Ui8nbPoSiuoviRnQLiF3AYxOV9hhdJ/CQsHAIMM27YRkG
P0VNzHGghCuFzBm+9kUUM5qnMbP2GVpS0SENGrv8gxeuH4B2tz3bErQl9+J5BBDlmHGaSvwZSdSo
6cpQBnslc07iZH6kgDfbPam/+V5RFZNlFK4djaFUZhJ247TjSk9VMl3wnRy6Y1QU4a7ph1lZ6Bel
Y5PKkwZXGpBh7EPZgBDdbntEDM9NZfNfVrtobUZhUGXNtWskL6Mc0eeV0GZEr5OoTdRTx7f5WI2D
ycQntxajFM/WgiSxgf7OhCvgGrUDCc6Fw+hOizAYAXSg3VQVbRUeX5jUgvE+vpbBzGCEhernZPIl
5hMnUpHGK6/jjJ2c6RlUgfkzpIPMIRsmTy1n0WN/7AbBuBwKgk6zWnvy3K2ILUIxtTRflIpzaVTm
nqpCyEDu6clSH6sOqL7bmrpqbIuevZi2CNISA1o8A81tlygfPiGrs9zu2bESKO9FvYiEugpHWPRN
VT23Xb0ZaKFKyZCgp8TmqmChVoRSmWiCM4/8SBF/a71nbXwn/lKsPoYMWN1In/iRK7G5HZgI0vPd
wUDs+YNCY2uGuYgarZ497reyb4Pq5ivP6L/9wv0RhXpKqi1JbrqRL5NgxGOQ9IRlkvt3UyvvceUR
kWciU/KR9MN8JDMhJdEb+JMPwobPnqTzKRZfIfnPx9LqAMKhwlcY4OHOSUQOAK419Ns4A5rPCi5c
iSjjYsbg2BZ5izLoN2xF09rBN23G0ecd/AGY8hVDn/AQ2WY8N7MQApMYuYOSYIkuaDuJpyPHskoB
Z5UR+6AgMBjUnF2YTzT1On1eB8lr0+MtqLr7x8U+Xq5vVsXcAeKwoCdk/5u781iOXMm27BehDMod
wDQCIamZQZUTGJkkoaXDob7+LbBeP7t1rbuqe9qTNKu6mWQEhPvxc/Zee1JE07eoL8x2aPZ94cPQ
X91OQW1+eo32GbsQCcWgTjsZtwK9Vdc65mEwM5qXLR3QdVR5GvR3n1DDRQ5vdTQjMs9eB9TId06y
TWkCP5MnSS5aQrFPX2DVZZa9Jki7YfxBfkTiDufUcLP7cV8qy7gvRPprLpwHZxhgW1pUTvFgAtgX
/nWDPYVwAfBMtnVl9mZw7iYwGiY26Ml8mokP6CWcctxAt74JbLJj19jSX0ZEm74UCntZnUH2rJdf
rdIaVZwREMCscP6UL04PPh3WFJafWfzOPPHothQqQNLGrW3X7c1YG79MwAAFpPqr1EVdUNfcDg/b
dzl55qEbyle2xCJ0K2C9ruYrz4JriwqSU5UdLERAm09lI5gnFoDN7BGvwUCmJ26pYk0Vg4sihT50
XbmziIvcEyL1TKRbWAjnRsaJexKLByytDk4delAsn16zU8WycDInvLT2mJ6bUX8yhihCHKfexOC1
u1rXziHJqt1YoYDvV5RSPnDcNmDkE3WXkyYG+RuK/TZ2GAY149RdSxfcSOUlJ+1FL8wZnJPy47u2
tGBDQtNn+GwRMgX/IyxjLju8xEOUVWG3XvuOPEIUT9N5nV0Cm7xBUZw+I0B4MVycyWVuYA/3moZD
wIoYl8kteZeQMr9jx4m+t+uemXryvpyleY7FI4NbIkA5QoYtPorMNVe3frbT0hfnBiYuRy/Wl1W6
a5e492LAKDwY3BumfW4IipjEibEwNtPUgX0mkvdF+90b+hTUHeb8NVQ+QxGNoLImN5NCaLnuZOqv
Y2QSInHcEhNJOMrSQJKNDL2PGbrR+GGpnBKJ+cvclEZHCIHGGagC9YUakDNEniDLi+pm2DoMUMil
fPHH+iK0T0JMgcbAFHJghZC/yQKlh7K4Nyys6U3ic5JbzJHQ2ZKUimBy5m1koe39ubUOz6hFEsOJ
IsQK4+zAGb5EscFdiLsJzX3u/gLETzvQGu5bYvnOtXGalTcSyIExs4/GB5HO9UPiQkufc6w/Ftuk
UsT3pmX5CNafmNcFkpqw9Ds/WpzKOTuWMzB9E5sEThyrP3KswPzV5GSRrKdO0k4bw8HAzfapJkU5
GRX3XadRiaTyFjZThHLmmL0E1ljs/cL4LjzrCKb0tk3ydM/k/RxNsXsiIOSR3Rk6xYhzXo40Lymo
YlIrllfi1Hjmy6I7p5H/XhJFMJh+d1eO6qgM39zFwfjk+VQi0qIV+lMo/cg/NE0FtyxeIweqp4HW
2up4klSRIa0TDnIXknUPtiG4lNVdNTJxYPqOHiSKD5k3Z7vKYfOTbRUctIPqK4UUPRgLkFmkxiaR
7IPTZdejyi8EtDZhnI9rkjab9ujUb7NN6nO8Sr4MarFtbrfrHsnHs3iatlH1XlGJbqOGCyY6/7bN
ZAL2Pb2SggRCI+KRWdVnCb0soMO+3lhNeycDOmhFZky7H5kZoU8QNeKMCr9S0Q6v3LRTkudekUe0
R1iMZGWYMFyhd5QUR65jMSpsbmRGfaTSiWXJGR5UbjW7qOP9iHvMNrb6jBs0LiqJzA0DVYiuy4gj
36W+NouBBs06BacZc7DG+cbXFTra6VkDLNpmGTI5Z3b/ROoM5xZZyCqbmiJWLU6gK8p2OFgZ1S9H
5hoaX3AzJtZ1zGR3O6M42efRu49eAvu6z7dZr33XTt2RcF7sEIrmhrHIUyP9BbdmiXZhyuod2M0R
TgWHg7xrUJQRTDEuQ7tPW32cpsXBq2Mhx/BzPh0x6F2cXn72qDG4lr3Yp8Z0wfif3HI3gGD30d1w
lfSuOAp6VJu0VjvWM//g9z49lrnghLRs40bMV6hOwfZRpK7VFGKKhrlutkMeEm/zGumEXXEzkPSd
hIshWVh0ANgysGrk6a2ZPrdgeHeNVPG2VQtD1OVk+8LZRnq8QHDnGY4yc6M1NgezCW3IkrtsncHl
pL1sR8l41nNHLyyW8bt5tgaV3nk8ypvSBAKTaF4ETBSPi43S9qdDq3KIzkbs3LqYgA9dmocjwcG8
usWaHogQfYnex5ImVOmVtz8lcD3iK6kXrMI/9yGzz9RCCms/HO7FyJ8Sg/PR6CCP8SNvq8D0bTTU
Yk4vbEeBAYEi50MWTv9QDyIJm5mur89sOkHiDWOA77O09a4bbHIWhtsFxIrE+bLnwazIyyCPh0kG
lb0GG02QG3iCNYp9EJI3MSvokxVzfkiSVzfW6GIcjqHEPO+9wQbiXNlbbmaE9c/6UcIwuvaPbv+S
LTMzEfpBu5aDlVSPVoLIBM+KvS2LNZ9zsGA/yPtmPfoJWb3RXkm3BZmxV7VxSX0mk6nOxk+CRzwp
eMmJL0V65ZQHhxih488fk8XptbG7hfWRsXBZ+SQiEztUai9mlm9aHF/nPpz8Su10U3lrm545vL/k
h5lyqMocPnJT36g7q4uMJy4nCTPwxTo3+6Vt77eZdJeZ73yt4oHjOLuHpbvuYHY17eZldg46QGFg
4Su8MrPobjIm8P31ZJK+Tew3xaG+8ahxroC43ZgcT4+ln2WswfEjj+FbV+XZq/TM8ZDlS7JxFS5q
g9S7s1tXzg2Dco56Zn+bI4I8LICejuDvKFeRUl8T7oKOIap+JUvgXOmaVBhfodBef1kbMNgVgWEc
8wqdAmrG5rbr1horKX9lbVye4AcX/A1kAsz5/SsddPyixtvC6K5eJ86+dhPdWUQuHPuuxBg+VwFw
Lvuo6e9tMEr4d3ZR3ljwRA74mZBfgTsQ0+LdTyuam5WICFaM5pmCaixzOzoDt7nghjlMmaNvnAGV
VV/NEHxq1FCDn9dw6Cv7puhJ1PmZ6zhj9LRkaXwgXY5egzflV1FNioQ2HiIwohuu+nCGTphszGJ5
VmklLstq8i4ZCtqG9csb+jvHo73txe1y4XfSsTKONomrjL1bc2cYXnpMUF5vuoYEctOMDlbav8Rj
3h0baRAMi0cR2AXIUVXlJ6MzvlFGm9vCcGnxzZLMswhv8ziTBm5wP8AJmDckjuZHpvdveoG02p3G
BUFS7pcjuvMGAjZGYMgN9an38X1bNSDNJS2zY954F20Z/kEnlDrEWlXI8WtZD4doGvGkOFN/lGX6
2riGuakKv9+nY/wdNPONZcXNETdzwbCyGE5G5eKTUOzBSLGAwVrJu5tLJPRlUp+Uh40E8oVzLhYd
VsFzJfLy1kHEgrre52+L25pRxCM/zd15nd5ZiNnO3xny0RsE1O91g1B5Aue4K5VHTFWg8Cj1JjQB
7J/wEt48eA9XVdzmYZWi6kE34UWoYDiQL6i9yr1LbN2+pstnFcW++G1V1MMmDzstjfgUGQTVU+Mz
m1yVFaaMA6yoyR+KVgKDZXJMDB5/uMoLSNweJ0iQ8rfc33k8k55QuG9Nx5E1yhOA4v0nYDEIsSXM
epfHsZSNyxpOIVKUBvIO27yFbMmJOzfPSzC9kBgL8rZG9OG09rmtllC4VIgcBE65l+k9ksEYnXAr
DkPEycWbz0E3bhIls6sY/+bimfFO2YBpXAKi0yV4scuI4+WlQBXI3JUDvkzdc1SupUj7uiwdmRc1
Mi3HfRbpCP2Bvb4L8FRJvc2Fae6nnkp20rBd8WNke0PMyYZ8rumMVwzk2hGNWHsdB1hDzAA/f63y
FMknTrhulUlONOiqxbNw97JdBjZ7IzlS157jEY7r/HE7Lm3h8HXbuttpf7hAn5csiRROPw0quMbL
thrB2GPA/g/96B8i1F+nUlRPcF6ka0LoBpdkr/3qvwxvkpmV+AdVbq632Sc7CF+ETQd1a84mZYYJ
zZ/w7ofKnpCjesaLTobm2IqO0Ig6ue66+dRDVgh7P4l5GecJYwqyJOoIavvZ/gN0kHtlVMjv4241
gCh5XZbpI5VYtpstLABgQsP/0Bf+O8nINiH3CY+RxtrWcP8+7LTAzqX9yBEERDAD14EUXQ3irjYY
/zj+uKfFtet7Dj84fK2ErhyNjxSvU3uz1A1lSgFtwwb8EBT6duiADv18vv9fNTCcoAUz9f+zAuZS
qz/v/4rP/e9/89/6F/sfDtm5zJo823QFuan/C54b/IOgXUQTrnA8JDBsOv+jf3Hdf/DXJSN97iJw
Xdv+H/2LS7au48PhZZwtYRM57v+L/uVHQPLXV8CE1Idyg8fEhqLr/B10xE5dmI3p0J0ZeV3zoP9D
QQ4Upg+a7ejOhzlp7iODhpGLe0AU3zkjsy1M1q3BgaUcUYQvzlPVYWbA5hfMtKBSHT/2Rl2eLKyR
oLx02HoftQaHQmNtDL2pRaznoAOvT7bBjMyt8t955EIJbC/VSsIdJUVRUaiHbmRH/Mu9+d8Jav4+
guL7BrDJyKQVK+rr7zMTLQHoWqvUpykjHz21Dy9hiC6NIbDF4eQLU+jYO88er+MO9UNDQffvP4Hz
d+nZOgJnSm/xh7OCi/82Ck8iPXCg1/OP9CxlDYGCxGl3MNyn3M++Yk2QtUzQ/3lqpofkeiC3cVFN
s/HadYxGyRwjowQlreVsOTXC/XZNkIWrAroktrKb8doLZd73Nqie4sfu51mEqbjxHedPRqsYlUi/
ouRKvioHEvq//348oaya//JIBSYMVrT35DwHSMH+9gXp+1Msa2b9vtem+KvTc2TRkXQsYhfyCTqE
VYaY9H97DsQLQhTHmW/c+9iaCeG0Ce1Ia1T7KZZDUq/qLPqDnpEE1RUB09S/g2g5cAIi5JOnj8op
epPeVX4mccdu5yjE2o61dYYcEC9bi+a4SK6Ua945eUxKtJnILfFnRkPIE70PHC05j3Pn3qF5l9z6
hDz5RORh1JLv5U9nNxVYnRoOD9tJMKJdaiYYVbdOHT7Nwv6TBSh7NQ+9bABoMXBjjrpi6xjSbvz+
lSodHwhifuLM6PCV9xOepMWFgfTcFGscScYDHg0szEVEH2vxNqh+YeSTX7LinmxyinDzcWEmVRE4
sW41c7NerIlexWQtt33JGMN3+QF5kDLFulcGjBrlX0w9ESC1/tNxxQvEaygXgXUKEHz83eICsFcZ
Srm4OxqHvztVvMMOuPoB3JVldCEmFFjNKv8dSeREMULclkkVEhcNRAKq/oFuU1IlI31Ah1hEIn+8
ih+obUnEQDDAiubmtAZjhpmm2RbIrICf1d5nLV10uS+T6ksOCLTplX0q0d5kfXMrPLTc/qr4nUpG
ZdMzHY2TQY4P6TpQ7ShOaUw12NneYjcXoW7hvdvmuwjKkRuG6+UHcTVEwx+PqvGfBYdbu+W+cJoj
g0IUtTaCfacrt4OXfhOIdW3ExU4bYK6G8bujpzre+/382RKE69JJqBa8sngfKk4Ue2+V7Oa0oVcQ
Hqo7gJrxRLyjPxS4uaPLT5/55y8VmO5pIHcNwH1UwALbOI7blK4tBAdVEqW3YjsDOhjdcu23Ezbq
3gmbBpvDxI+Pe5oFZQzRYJ1Gq4XHUU6sTmANvhqOxma67yD8bXFmcr6XGBpIn4PlFRMHWE8XGNeb
SBs8KQNMNP/drjB32g9SG5//F9Ijl43o7y87zGUL5SR0Qhf137+WUHMJCDAiA5qnawi11b3WHGd8
96A9DRow4AV7KerinCfW/SqxYEG+jUfzO84x3PDX7D54F+AC0cq5ifxeRRSEYE2blOSEzTJWe7ju
tOT5uV1TXmPZ+lU8RhbSjIW3EeDh99wkH+nEDE3p+xlG1o/aSpTOA5aRWwSRm9g3EAvQjVon8/9+
qZOruO5fVzoi0M21cpSw3v1VwPrX+pF0+7ksOWmieyT+aLZ3InaQNBgXVILoz9kuR0e/JtTLHIlx
sUcX18y+g0IcckU6lylYk8Z1SIk+g03I1MV1WstbfCUfdMqdzaqE6BQqfgbRyHwymo+qLa404pBa
GxVAhjac+4VGUPqxoEGxi+Ia19eHwFg2evUR0WLGL0BKkiP8MC6TNdxGrnpdL9iPPKqKHwtjei1G
tPhZ8RGM1tkdktOqZRoRv8QMoBPrFdX9fdryeShJDsJuXqfcfXDG4ZABSMCN9p8qWCn/XsOiF6Ye
4qC7+kgtWML/emFlPlScPVOwVKhrsqy+VtqjPX+ua/EgCw/3GWqROf72MJ5RYAxGf8piQlk1PiUv
fxgs/3aVXDVV+YEL/3oVf+VoADcDCEuwUzVCc++l7Z5UXnwvOSoTUodAvDniIVm/cnSneu+beDBE
KvDbpF8/BYV9WuBw4QzOv0Vu7+bSHf+p9U+7FupQ/qWFd9L2qvpKux1TOgLWulfaeidfMo/4KBQz
eU/TcFWQ8wZ9RcrKsiErzt55kvtk58h0jNbAVxT4rwkcGmC8uK7yDq2sZolvPJ5uBgquHFkgZvyP
nnGoNG6EZiJSdwTbxywcb0Ivzhpe6EZOTnvqAZWs0Sk3/kwX1DUSa7vg6qJfZJyY8bd0R+Ow13ge
hoViwFoRBzAD0DcbBf3/eAWRFVMUlv1wKrxcYQ/IiNbBueKEGt0EWKaKGEZcIfUUO1s4KejXhug9
KCf6+Hiise+LD2LSoXnRzfGMz8iRvwHsYMsGDJU16Eu15dBOTMajdvAIIS4nYim/JrsQV0nxmXnJ
MTB5uF8Ggm4mC7Gr2wy3KtPPFJNUciT3FKXLgcrcq/kOamTDCkkglF7eB2vYV9B5ia4db5bqVwYl
GLsLdUmqwEdFKR4VnKZnKvGXLHfP9pDh4MCU3i6GOo4GqgS/3pUYZM6jqmkY7Zcc9NLI8WtDXCSS
jhFlSSsmzbNQjEAiOOv5taS9N9hYm2pm1PJCDC8ko95LbhXZVObye06+yIfBHr/QMxJVObEB1nRt
BFiLvv8w5fLu1ji301R+1aiX12C4al+OR/T0JDwtX8noWHwyBAfRUH228GNMqVk2R/vF5znHb7zX
VrGVeMm31pJGzH7WNpp9l47Fo5PM4cRU4kz8KBrlnF9qIXPRonwjSM/Zjg2cU876/fXaTFlcxKxa
27c5+WRxaxKJTBqaqb19pW+7WtO0Cix6Nzb953yX2lwqOTTX4Jj6zZI0oVeikc5Kc7mbTVgNanku
RXtiPqsBSYovt4cEouOgO9e4Zwi9ihGqBsG3b+gES5lB91U+Bh3h0EbccgQh9Zh0A3JbVfU1dgkD
O2TfhMQgvXD1brQ7tR8nYwydiTb0xAUtRf3kEweKzK8RCGF3YpnWzYdudFY9lpH9wtP+u4zx+sSF
TcvHbB+FPR5Ux0uQF72xmV310bQZDytZgBuMp7i6l+KxldEnYFxIEzo7FnTUGVAAaQyIg6U5pWqB
u2rGF2d45U3CuB3Up5fy2mdLfT1BZbT9X6q9iqqGUQDJD5Y9eujEDCxKtjBRqmfDpme6dGxJhQzL
VXY157netEbBHwlFctnMn8QlJaMYryKeRgKQqt+OqNobdAf0tpc4O+Wjybs7rsUtXvxaDNzL2vga
NaVLmyYH2yQBtNfMDtcCvCMEGAc5/6RiTdqQrcfPZEYLqWCvA2diwtd9+1FqHNPyG0qqOi6dcW1k
sPRiUKmydl7GJQq1v/gb2+9OpZXvlU7f7MKvdroeH6bZMjZO4a4+R6sgClDfacKeN6nbPsIIYOqt
iYkjNmtsk99ynGfSz8xTT3JCNaDNxmMsQmfE0t2X7lVZWvaxxZI699VpMEnuLS2SFwfvkpcLM7c4
BTqgZpiDNgJKVmHtdDe6ca6l2VzsTH9YJrKmrmHdTSOmjsn8wSjinSSQk+o4SQVrsSkl4Uez+4WK
J2U7qk6+Xd1PM7r1fgAx4X9U8P83duTfkO873qSuvYM8uNOxCx+afqqz1gcKedC6LWw0gJ5QYY0s
x5UIYmWoIfore9Yftt/qfSE7DtblZgyGYC8HVkWUDj+G1BeZsqugtQWDnTusQNlILO1U3QgVtaHh
cI61GuuiNDmApibINbFaOwxgoaHOwBEHeoz3QXXIGWLOClfC19e9EVGBZUFycJ2Sp9bELJKawPHm
0nroXAhaFcWEvywUkdkn1RUzWQXvQ3UZ4/EOIP0ovJ0jaQ1GgkVYruFZvjK/gTSS94nLdBrbJxWg
ci6f50iRqkoeniUfiqqPQ1V7qwMUVViln+dGC7YYpHdx1f1WGs5HzspiViuuF1wEQhZj5Ie6xfSg
mK6PECYCXUahtGFxFK8U71WLB19Hyadcgod8DiBT2haLZjJRekXGjQIvgr20oZS3q1OXVleUQ7s2
UizWjmGFeRIzlne7qzYvh9u8IdarFu6rjTmhXQC5uMT9jgUjztridYGojn7Bya7xRcz70qjpfDI0
LRpIm82VVp0IOdNxyLdZooqtAfmRCdBU7eb22VjM56Z7QBL3GNXya0yKC1aZp7xNsdYSmiia7EEs
9ieiHxiBc3PfTm6Yg8MkyPYl0iX1rE9NGZfRPp1yvnjBON+FvlBE1iYw/Du/klmIKPlsOmz3VeQO
oWV+k1W+GaeL3w7e72YZQpc0kV3VBje2rp8NzulwC/K9laZPVoDiwAeKiPv1lvkNnFS6QbnRXLzJ
e0QthGI/85dTXlRHqQF7dQJtZJvoLSiYUzRW/S2nhe3MbONKLfGbzFxvpewR0aF9E/VpAP5b2AWK
1DLbNt2a18kwLs5Wzi4TPibY4laXnJu8MaU6Lpc/TW7tY4PqB6dAyam+0Xsl7uPxgszBOk9UEDvE
EuYDMrcrcxDBuUzvZwVK1iOuWoDdAM7+IzBTzP9I3JMJ4raiuWak3BfeHWbeca8io8TQKa/nMb5t
+RYhabpQR5yeUXQ2lyHre4Njk7Fwkfb8WEw0RFsj24uhL6/uYH/RFv0rnEFlUIelkjRwZt7IfML8
2Qo2jsWgF+PgLwpFu/ihQVgbVBX3a87Ebz9leZfKfCuT9CnquGY0f9A+WTsjy+wD04VDwBXbTPLB
N4ObUtvT0fJd1EGWQctt68VuFHK0BX60Tr+kxSFEzC1AFT+gq58iVjBsb/vVmmOYU5Qzn1rZs21W
c58j8qMG6Ef5xXfrfN9kC4qlqbwKmDE99n2PSN1mK0CWQstvz2z0hUgcmGjj20wY4Q0EG4YL6PRc
eeeuvZaWAuBKZzc4vHb1tM6cW57OIfXjcHasu7p14226QjQIkMJa1WWv1mLSY9RBs4+65SP2+L/Z
Px5VCyA08tVH2yGpaAmaPxG0GYpZWeiHh5h3ILiLE8vc9bG5rWA1I6uw4tPUutdFwOB19M00XItb
mirG7yjzP75exsB+cIuSzXNYuj3LIlSa3U61g0SrZeKvMLzpAe2a9YF57Q8zLwtjc9+dO5uyDmhD
t0O5coBe9xHHbGZxlBzTNFNbJCyHBAl+6IgPu03sUJTzfGB/lkFl7KOyJjFdob1epj8ci8f9wG/b
Gr56W51LXLzj6JR/Zli+m1r4OwZS2zGdAW1k0U6jXGdMHqPjBvLsdzxW7ZxfFIrvGZAqb0l7L/vG
2jXmzBWa3+k+7/UsvmaAZxwawDZLL+OgTPAkbu7FWnY0ZQ36KtZd7uJVQn161ybdSablYxoRGJtq
1K5rHwdmNnmR/UsVrJzUdTiMMvFFlljEYJVPO+PBKeb0sfWhEWTa/cgUEp8aHC9HO//IFgyHhMi/
sxrKt9HTrBm+Q2g5Wq0iIoGYpSdEBHO/uMVV9CuDZ7kxkwJUSEIxutAI6AdSdlusGMhECRma2Mkt
au++YpgJyYSOit9RbMpfVuV6ITED6jTZU74d2Oy81txHfbcCJ0v4yvOm4WYeOpPtE1V/tcWTT4PJ
vCdj+nEZScFs7Yjd06RSRHciUxTRA2mmm67H9+5UNxOhwhBS6WVA1yHuS+pmH/SsC51kEwGL/qgC
dBuF6T0PEoGFiNR9l0rvtKBAoW9WsVS33jGmCerhPSlYNjhwjFOoyuip8ukjjMiBfDK1esF8GO39
YQjsaKsKtYmtg+YiE6jQcdwiuXkjqdIsPV4nUEmpBwNE8G30bi6AfxtpfSOWSW6qItpNNRG8jIev
YdpO9FMaM8yNgnHpQqyn08BmEatDH4XAsy6Wq7J2LsomsqrsP0YaYBsmQ/JJN09+tBfI7BFKZRnS
V7ahguQaMzc4xfjL0fMvtmZJl9L5nQ/iURj2t5PBPMqD6tnvmAUvML6g2A1fuqO6CVo1hQQEBbl9
H8Sc5CvXnw+We5NWPdWFNG/Smn3Jl8NTTbXCPTHQ8ZGAAZBifABU0GxrN7CR6quDGlBGxz4ze1p9
amsnyWex2KETpH/mVeRKH466nYwMxsYlBip4j4aLDrPtqE/EZWqV2Ad+e9Rt9AXsSm0rQDwgiknK
W5/2zGk+cRL592MXEN5rIeWc3qEdw6iH4tUdFhv0jCwQMaBCfI2WMdvljTvuGMcPK3IEAYzklZ3W
R6wqxnYLqzbb/nzojOeosWumh6tKQ+jnBr1HTDW21j4S+O41GjLrFOX5owNwY0PsxiWdu+6aGHiO
47I7t7TmCBKl525iQZNTU55dSGY0EG9j6RQHsyWldexwHI3xJ3IORCLVlzllUeiplHSqpv3uVtpu
HZXTvkBNBnrhNAVDfW/AT9mUOvnEfbYljKna5Dnsg6oZCtrryHvov9cxeD7Col1pwOdwqprCaYWi
GAZViFf/EawKJqIRmUk69rLct1Tbm06x9HkVQFK6ZSJUQIR2yOHvnCiatr1nix2Ctg/s+/tI5kRW
R77FbInOcLDwcBpw7k2f4ChbXjiEAluIsz1K2D60I6LVE/nauQXmHYEkXkPN5MO8pfl4TD2E8nON
isSFHzl06JmHNniL2QhlTpWjk+Y595NjXy/egfRkas80u4iMVCMvmLute+88oMdLSElEKzHQGOF4
nmwNdjxRN/GVotOLqoh8Jzetij3yMfb3Mb/DvfPJolbRd7BoB1oflqSgEBZWODFr/+DYukXDWlro
9oPk7JTJfYbcHaU58YyQ2KcnCq03nfVXoqPRyyE/bPrlPOSw9VwGB0Y+7qPBl3sMIQPBDv78rNR0
sOG6QFaY9vOg31w4Kn197xHKcg/tjq6Cq2+jBT1ineT6bGDWzQ35ClsiuxNDl8E8wp2i3BNXfLhv
CHgAV8pSkUmwO6p5gai4nsZifhhreTrYd2Nl0N4n0+zaHqxfratS+pMDikQ9XFQzQRFs1ZGcIsIl
Uxb4PsYdmLTfpliw2sZr97M5xGg8qALLFw5nt7PLQmU6O+y3EH6zqrrySuYrEkQWNPJqR4IC/KGd
kw/fwgPr7kEWSRICxdJJ3lEl3vZVdupkKkPbEZdZLfgKsHS3fXqA5w7Yx0KnHSO2Ab1IHPbk33ku
IkuSVS4FEPFdJhJ0h0b0sCRZegCa/kZq15z/6qo37L1ob1v8k2mGCcrF8lLIltNtPoX5cu3FOG4V
UiZdabSVQb8TTOcGi95Jkc+sxh7ZJg1jK7xS2a4xYtp4sX0e/C45GBYDUvogCdGPeWt/x0Y63XlI
cBZh8KYI5MFpUTxPBS9dtmQzZrbhlzaHYxv7W91iCIok7feYhSqHKRrN6ctii0fZTO9+keQ3fhRM
+wZdxNaJs2YDo+Q9jZ7I6dss8N7LzlXhD4Ykmw+6MCOOckhsjOpUqk+7FX+8sgI2lJMnw5QHZXzk
y5PssbwQnxf63SgwKY58+knRTIjd9ESVTEI546SJit9yrkCa1QHpoxN69G0Ql915sbz95Ex/8gG3
QVX6KRYJ+QRWAEQP3hranH6EaOicuu+QafO9MbKUVDbxJvk9ov6YxiqDlcllfJw76hEpGkDnFDkq
gSRWySHJK9wOj4blHnKgFFtt1eT3rJE2zXDOTffiNjmh2aDsU9eMt86yjqEo8YdI0Vic0+88XVvM
mFgXAszCbtXfiZxusjPPiE3Xkd9AR6kbU3vnSu/Y4gXcJI77mvg22uXOOyjMVZjOBFYh+zmuRIx1
sbyp17mzsMhSSWrzdp5WuFHJSHipeHrGWR3kDKC78Bg9ijI9YPtiLyiubas9O7EyWHcMELlA/wld
JD6IUBvtloy24iOZ4zSMnB4H2Hpip6GPiwWksoUNaN3qG8HscSwY9duuD8mynGikLu1+vahZ473F
/vT7558g3fdi67FYIZNUtKu/52lI6jH8mYMV3Jkw55RkQesl/4dv0qwKJQfI+jKV+7ykrfQzxArS
+quKOLLriGmeRz6zIKR+NKvXQlfzwWtdRp9YVnCmKzoZST699TnFlxUfTIJ8wnKF4U4tj3wvEmIF
lozAePCNAM2vkzxO9lMXfGK8pzRXFv9dO+lNF8PtbZkeL6DehtoPTkv6KrLMu1Kzvx3iNAVl2p/M
BHeWaSV7XcXsUILRbEJIOSPbBcXbvDzA/kNGx16/GkG7HgXDYNDNr2vnnLXZeSrEfHxDx8EpZ+H7
oj9lGglkPGi5LbRLjplZ36cJ617PCrrx61NlVVNoZ1wJXGP3tnB3+Ib43RPzvJW0XyCAhdWRHquG
rcWMkPhXzraJ+R+zRwnAVpOm8cXKEo6swXLMOjpAjUYD2ljewZzUfEpH54SirHnzMvEYaQ99PrRZ
Ah8ITqnL4kir+yJtEuIhCu2bKJ73g0SsC6F87eR+ICLPzwV2Aso1d77SibtfKn2aCsxEpGs2/4QY
iQwFAsNkI4yj/hcabOuwBKykKL5WPu9M+mxoL7rm+L2cbfYUUhbQAph5sK9G7/dUOY9W4946BVr2
aEqexja/dkdGybgbac52+Ng8k3eN1lQuFAViHYdj7zzCDP1uav9j3W59m3LW7VYR28nsLAmbneEI
AyGxGeqeRlFHP7tomngXxH9qdJC7dvSOsm2/xrHywI4iuf8v7s5sR3LkzNKv0tA9C1yNJNDdQLs7
fQ2Pfb8xxJbcd+P69PMxukbKypZKrbvBSChBWZER7kHnYnb+c76TEpRcm1Q1BXNr7SvW02vqmXej
bBHcbBSuJDYh20u4iXUqga45V0vic4Xxv3ELnUYTgmxZvI+5GxEcA1PgzTgh5wx7NBcf/QwrWzUc
FACA2yEFLMZUS9MBrhNl1JRer3F7kiblq9/sqNC+ymMa6CYTlmg+XX//yF7UzEGbZ2aiN1WIDcSX
JES5SHIrv18C3a3H+Elxn0UDdO4TRh49NV5Dx5Uv2WJjPuS4FJKqAZYCwMmMROxijeEfE8dlSObj
ylmVE70Giz9X1sRQK2wyg8ThR0ZSIw8K7PielBgTSyaV30nnSWWs61PrMCmwJ7CILyXAYth+9acj
WTN8s7+c0fwB+uXGc+i1jD3jyfHVQ4ypFssszQaxSWVIDlSbHAe197E84/X4aBdkAfu7y8rG1EIs
T0V2ubITgBYaNtXCbp6NWJzGfrzo45Atj44/RsH3mJKIfUt7lVF9WO3HzLtWc7nT0+HKcZi5A7vy
c3hxjIjVYN94bvucREDTGxoWsu2ij64XmgTIHRRUc1PrH6HC8z/TpbQEa5fg+vfIzlHUbxR2eQ/8
8ccyNIU1dcgmnqimdz/ZmKJ8Z+cK61Kq8TJmUPvn82fz741JMSzpns7qhNHPL2NSRyN+G1Y2Iyyc
Ai6zZ5TfZx6P70lu3oRL/VBuMY3RysPQkbYTlPMVN5nTv39z3moLSHvr0gll7woXK36enYtZXhSj
u8L6+F6mL5mDHNpFd5MV301++v79/v//tQJ6C0PiT6yA8IJVXJTafxFi/7f/+ozDr7/82/Kv1HT4
/I+/WNb39//VFmhzruPj80zBjeKvrkBDxy+4GPIM/heTGF/4HYplu78tIA3dNSFVOQ50rL+ZAoFs
4SHUdR09gMm5I/4VU6ABiuGPzgadlTu4Rcd0DdhdYP15Fz87G9qGG3NtVGJFG9wa23a0cgfWJk0u
H2mXwzZtHQfZ4j1OeMClXVTsaa738M1U7KSOQK0e6GW77VonZP7WnqswvRsFBBBhHxMawFgYlzsV
2l8W0TA9xk7lFx+C+dxmdJd6MbuiQim3yh3V3RYznD65tacP7hZroenzLescHlGtt4aSehmm04Pl
tPeV6z03xfw2eKmzdzsa6PyBJ0H6KPhgAtU7zpEy8rOnl++2zo5LhsRO9Flc4HKM2fODiKDwiH3P
Oq3K/kDOdlxnkRHvSlV+MFDCvyi0H545PoRt+ORl/l4kyS2TtrOVJfQL1mjX4Ba57+t6IMb4k0nY
AJggOVUxoSxPojNh+37MmR+3KblmrbfW2mx4h67sLgsXiarpr4Vd1dsenYlA900YVh9joUNPdcOL
wuuDqYlugRqzI3eYl9jW9Nb0db2peu9rfGbRzQtjr0MzTPl3MXjGwfrwBoXSZ5WPIkQHHJyI9vGl
UmUisKQlQIrdRUoUtXiFZz/S4bYzZHHC5f5JhuehTusjlP4qaCLnwg8dsVrEUEoqWdW25c0gSdeb
V3anU5cxrSegDbHv/uCfa247xxhu5Da0QXOUVRNEvfXmm11MQru7tha1gokvUQ3vrIj2H3W6MVKa
xoOui4H/SqzSKNNKlTgFE2sXauLgaaNkoynOBpcJqwh5Jzy5YZqQy/7N8uSdb2x0jXhvW332ITBk
q9tNGRl5Zqvo9CyxAHXn7EIazBtJvUjxdYcjvSidC89jjTWL6S5XVGanjJg7Rq4ENgXCRnIRetjd
yRkE7oxWkGMLOuiScPsosnqbHKguyhmFQSqQOs88mRF6EWPxkldgjTtIUnPBmAtBwGLQWJciP3OK
sEeabZ6kHr95nBF11t35Q84W2HfduxYt4zSZzRcmuYSLrifybNeEPzZ89K2T5xtWyDAr9lTGXiEa
fJYDQKpkXWA33uoOuoo5pW9SJS8ObtQtafhu5STs16LW/+yHJQrTBNwAnklrlGu3rGlHB/yUCpZa
E5OO3eQVLw44dSyNfA5GMh+qSA9mq2CeVsCtaExTXpp4eDb9hBTZ98l5Mi3ELoDHZolcOZHIWhPW
x2mKZXIjrDZQomRgrkgsKJGLwBj0h7palE0T4bVwhsswm9M1i5cjQcLtnJnFxggfVcxeRdVNiBuv
AkQLIn/l+zXxSKKVtA0ZO6dy0rXyI1400swTh65ZWwrRRlUq6Eb3FNLtHRsFDhhLXs9Lex469tqr
XYAh5XGuGyqhaPUKORLQMpb+A/jnVcCM7KVB7lkZxk4orT5SJ30evFpfxdpCVKFLB6Cx/whZr4Me
AOXZM7gOZM9v2CWCV5ikeRgicZHGHrgN2R8MsWOhk+B1Ya0F+TKYU7bYfsulNVTGDn1sY1MKuTLj
6tHK2ABXYt7PisBel/rexkgFAG5eIzFYldJsWRGCra4sU68WpffRO2LjlorPY8z6oKrjNykBqI9d
e0ulbXYdmi+EmKx1CBQW3bBnd6aZ6b7zaD1K0vqC3ChihrLKvY7ebmMuXktS5cSrgfREfnmCjxqt
9Z0GDyVA/ihPxMbWQParu3RoL5HJrUOtsTXVcaNxM+Ri6Qf5UlaPjtEhGw2Ws4kJBa5B1NKKmJX4
K9g0+LSNrou6jV4TbohT9ZbgDg3d8Kltyo865RTpTJOu02lbTe4V+ky8HUEVcQDZEAlA3cNozat4
chiZ55yhoyJ5kabAJwp6xyXlEXGFVUmTIO2rERpF/J7WNd0kSgsDVClo6fFVgT2KzEz/xBPdXDt1
368MF/XcmLmkPc9lbMPIK9XTBN4+Nrh+fM8q48pdhoehHG+lpT6tgbg17gmmD3FOH61ZbcjwEUrE
i8OFb77Xgx1top6GRBhXyRj3B6QCV7N/9MRFYEk61qVrXKQJDzvGj97KmCJzTaHG1YTBzaxeNCrW
T+V4laO9Hg1v10BVDGr0k66/nXT/ppbYhFMcvaFpzjjB63RdqWkThvOD2VNxOdXY2uzMhXLXd08e
AlsuhuwAZwmPrQZe3RYc7dlwJlblEo+5ZrWPOmvIvKemC32+QKITxmUR6w/SoxbY1CemOcVsbdxK
XWaq4Iyx8aWEcHs3HWrmXmh5vwEKw/R7aI1tVhNOCZN946Eb9NLJDyINprjswWrkNUWFOtt3rE9n
MkV1+ENrh/EsJ/pVQ4loxmCx2VpVRFmt9LagiAO7powiTJ4pNt7MjWns9DzqaLQ00ztuDi+gNa9c
Szw7TvjoOH515Xs5+392h2HI9RTZ5kGMN1BMXnRNTqu+S98tZk1IEQMGcYcy1VA4N0n/hl6gb5qy
eSM0hnQUMbWGZgXbqP9gTFYRpx4xmnWFQLSY7+OQPWSCDcHxsBlNHcU2gi7fBD/HwMPBlkRvxrgx
96JpH3FP0DRZ7ZNRXs2ZPW0EUFKeOwwwREHMzNGh7SRKFUFif1q9UJsJpN8GB93JsOJ8Y6VYPlqH
vgOrM6JdF2pfTNTAqkjjkk1bwez8stGrhm4NDNhF+MivfSIQhQyYCB57jGJ4kHYz2a6haAo+otjc
DAxj14bxgqDrbE3dWJuzxaO01nnsMHfS5YjulNDUw24eJ1yKvUpaeKPrmrqOiRMPdBBY4ZpdmEqS
dw2VGaEzvhil/9a15nieBE9hH+tXnbYXed9RtZ0xqpzfnLjWtp5w8WDXH57bPJFwv0PKZEKQmcyv
ZGQeukG3rxs6amgtWBWIZkQc2M6Wk3odfF/bgQanDymkR3RG5+QetC5lfC28Hpx1VdVrwF9F0PsT
0f5pgW/L3LhMZnrU4/q+mnkQ1BqQQcu5pt76ZLEPv0fLKPH/cRwm7601VRB9SxnqM1IRZ3V8KKEh
rDnF7si0uOyfcw2UMEbutIgvDGZDx3LxPUM8nvZ6x80wamn681rIClrCw9EhCM5gat4kKJYXWoFx
SCW6+dAsrcJVdfAm97NvyhemhVQgVfme+AxUWn3GMOR15n7QKbVRhbro6U2bGkGjtnhS3aKhgK/d
eH537oEKWlmtPTn9o2ljHSXDcTM4kCCXhgJIsdvKbSZavVn1mG79qJb+tibGCNXTa81JYiUbK+qH
7ZhGzxTzoH2XRwK5B4X5DrcQDKA0uWU4RPTT0cNtZAGhlhpnJAIJa/asutRQploEU7vMcMbKvebl
XMoxefCOVQP+xyVVP0GEhS6/XAh2ziYe28PGav0bO6TDVMGrHCiJKPpbgcnmg5U/qy5rM/YmvXyA
yLAjJZiuMDMw48MnXZOE6b2hPjd5CJWDMthgzJKPTM8Fbh7N2PuNtx2Y3W9KrL0rUjU3tjXCRTUv
h9yP0b0Y3SppYTHNWwbRPS7AgbR5XLlvsoDFlJCW44FW0xmr82aL5qYxw8esID5rah8oZNhj6z4z
Ar1lMBaNCqq5vVd9/1TVTbJzPSz/czZx0dhqawDiYV3asOM2M4x1eFUbZpy2v4wirOVk8cRRDKa5
dyhTOhXYv2zW80OB5p7QC7PikyIeoLPGcGW1sRN1PxW9ThmvsbctXdtmPly8kdOB1sJ9M4/jjt0m
V0BjbeFapGj5O2eOP5k/I2SjJmIMMTaRCR7InLmWALqJfa3UAfxSt5kSbgXlLC4HZQQlzevZmJz6
4phIyB8qwVws5vqyHalqFwkTVmVa27GAJKZsyl1CLMMJfUe5A16rYafTQfPcjx1avVQMzOCZlWLa
ZnApIDwMcOTrZzAmaFo0gG1clq+AJHbWLIudm7RHT3OdjYHaleTuRaogQkx5o+6Uw83UKkC85JZ6
zbBi3I5hf4678Sjc9yJv/Rfdxeip4jzGoqcCT6qOkG3j7OyMcgrTaZoAaWgtXbXJYwDKoZSCTRg+
kCE2zI2EysE0YxxoVdLTXaqdBAAcCgRjf12wTiwwAa4JXTKvnwNLLoUEcGRXni6jADYOLOni5Mfg
HO283w18xDCh/aBovGgrsLSt4c0dMVvTXWEMmyzr9HMyIzHGhbipa7dFlgJhXMHnna0zCMBt7efr
OBFfXcIDv5tBfcRVfWSowdKdsM9F7FYbal0Ym1icsGKuxoCTBiddrY70901sO4BX+RFLe83ITtD3
MSnwjGF/BvrNKVnejbCkUOGuE40JSSss5nR14Mfi3nSS22xIb2vdJFM7zBm71uSSzdVZH+t1lhpX
dY2hv4pYwk5lRbap9LZJmn5o6TId7b1Tn2MEZmF7JEG+W/7x3eiTFAYeNMVuFzLgjtzYdTkl5TaB
NEJQBHNl/97YoXdKKYc4c0/ll/F5lxaVBF2VbQdDmqBMEN+boSYYkYFFiqshKNuWZmAy/HEKJM/P
zk6qOkakvb2uY6fjN2O1m8B2dgX2x9iTL+R2Ix5xuFFt2ch1nXdO0NGlxWwloBqSnYlo34fIOULi
xupQ5+U2nU7mMp6kyO5AhxnOlnh866Yf0nS9wLBcrPBOtUGjq459Lr6sGRqXl2S3JXsg9r7e3k19
Yy0bHVbFwBqA2QAh3Wk7QTrDeXig/IePrLO+OHwwXitxHbZMy9MWRkDqKD3QK//VH0GnZTG/alOK
C08MFneq6W4E37Wu4opcW2ale7NwuJzly8Lcm5+pVKGaMm3ORAwZRdH7ZPtxuJ2iBmIVawUmkLA+
TCbU9hDBRY+LvWk6H1HE9WZSTxCwdNsXg73RcmiHSTS/xQ2XUeeIZ0rL8gD7E88UjWKZ9LYpgzJd
m7RTr9h9YLYZu2NtOrjoN1C8PA8LgB6roJF20FckFRqHdLbVLuQOqFp0+3kFY1xhdpdaOr2B8D7h
wX1NyyJbDxL3WXKvlQ6KR+pv5kTS+UJ1Bcn9/EmkzB7IQ163PA7qqmzWLn6fasTHYk/idrQR5ns5
306oGbtyxDOmL2tHPb6C/E3EUifHP2bDS5k5Nwt329Op0sFynzb9s2zDVe1I5yTzryGsDUIS4pbN
R7wuNe8olRnuaGJmWU2rVkkxPNLX4ON5WvZA4s2TabvOQ2IihCOY5TbMBGt8FzFCjlE5r0OKSW8q
5n0fjYdBw+dulYzf7DroFaHITn/DF59trM5/FfH8weYfh8weu8+rb4OuzCmD6KZb23UvU4PKRzYQ
1JYdHW6qXUU7TzROb4li1iW610GZj1YyndTSENJ22ht9Npl+5cfufhl0yUjitc6my9zAMGWp8ZoP
68fS6OVEdzBegJKQtAgd3bwCKEaiH+RolMitlhun3LXavdH0+3Tm5gLh45iIaZ+ThOysYQtG8YgG
BmXHsW/r0HhSSrtEHKU+NWLKWD2EkXz0NYPEfZ3d2PoyaCmzO/wWV2WYhNsq3BYGt3WoTZDxqAWZ
tK49FoJneDLjx3Ai7NvR1PMQzqdjhviRjHdzbwdd9VgUuMogbBBt025GqArBVGoQcOh+YSjW3bXW
IbbYgPQRdqB/XRvfB7fBvy9q+kdZTU0cRuo///0Pf9p9lZdv+Vf7p3/pfLe9//Uv/OGHtv/5/eXw
q9y8qbc//CH4Fq9vuq9muv3Cdf3fb+D3v/m//eLvEvj9VH39x1/ePln+0HOnmvhD/UEdt7/5C/9Y
XX/I35v47e98y++CuvWbKSxixz4/B1e+TlLxrz0ThNz5giCfaLuo7n+T1K3fllYFegscF9MK3/c3
SZ3cvgCsz9e+yyks71+S1HXzV1qvAX1eAD8X/KKQcSzexc+Sel57Dmov9zP0Lgz703VKDfqhpitp
ZYbsJU0M9zsTJXBG/1yPJGOP1FtCx4lIQrTFiw8LZkIPAGNyMwgEIhurPiY0FvaOtZ9SsfP17jIp
QwIdYG9bem1ZVyzuuRkTuCtqCnURgVDKyJhyzSiTWEmvRZ9m716HE918XUjN3WAwmjV16m9IsXBv
0B6YtAMWj7tP2ynAsywOu6iZXse03Q0t9cSxjrzhuaxOe111Z7aGG+ZgrGNHOh7p/Yq2jWOqlVEk
PcRHDfVnKteeZiqQacZXmmUPJRE1EyZPLBBLM3jB23kIpxO+sFVfzGSqZ0FAp0dftvpzi2a0KQ0f
KEkT0hXmCXGhwdz1VSTXwsvvRCFMlux4EpWcCkoxESDDBcZvdulXHYf7vKKdgrzkbjRZMMT9eJnX
4VU/WnCftG1DMQzzr/pKsp2Bq6ezJVaAt3n/8QZt0z05yrwk5nYqCv1Hl00RdDWHjl3VnlnPUl0H
rl1iwBs8e5srvO1hKxBncKK0mcPKjtW/I7uj0hm2d2GXIPe3WwNC3FUbkZup0FbP1XjSR/ym7D0q
A2+mseNk3RvWI1EyxtiZSPY6TuBBDwUPAAvoLUaeragG/SLxcPt0LlA7g20AAXdIz31Npm8OAyoK
w23Zg9A1/d6m3cCyNq1d4za2qO8dYim2Jk5mJIeV9Ps3uyCsZvwwGxES8Wv6BYL4aLEA0TjHCQs1
KKBhTVJe4kPsfZzXhoqPfKpIMSiolG3GG7zgYg0g70rWCHn5RmeXuJEzu02/pH9H+YO/A83FgZHZ
fnA4uSB3fw75qAeT7Qy7aC72jiy/pKwPdHFtEfzjIymXtd7oP5AXvV0hvB9axkpcJexChqep4PE8
RSWpHCN/EQIIaMmSalPyTB401R2RWZOjnhlq7bh48E32iES31EZqsPLDZnjGIyswvy85zRkKqtnE
W8dky6LP1VXd+xu/hWAaZ+BlXS2yVwJC4tk3ddYV6Z3XN2dRqvcy9s5Jx7BIonjHcS42nq7uaAc/
mFhbtt1ATmxyvQtH9PuW0c6siY01iSvMPi4epmiv96wUbHLDOQiDEIOrCSKU/bZ3HfaJsYsNmLVp
eV0njANq4mnbHJv/Vs3tF8z9IByjK9a3+BGaxZuFLCfgHoEW47m6MIgSNoj4nOXFYLGWaypWXSJv
52AWNNDGHLsh7BDXGg7bbdmM9KpRZ3/AOvpCrsfjyWzFx5hdMcW3lYUxhda/NTmIC7tQFtcy+IS8
8Xb0vn6qK5/BBPtYBM18kYPjmiyHrZzroVLPXoYNofNc8lgEZSYJJtFjUI1zKeppKqkB3hYYJfHJ
krLBnDZqeMxcrPUsq6YjYW3qLXvWli39cUfbYgWXaxQ3c8wW9EDKmT24Qe2xPo79+LOvKRNLph95
3r17oW+tWzP7ELnzYvpyL8o+PJTTxCK3wmJYd9zV0vS6Fh1Lr9AkClxdxDm+8Z42i62VvaYj6Oaa
VlwrPae52pkhw5Ix9Y9Rn5z0ie2aWdeICIZ1Wfcef61cJQuMvMeNDAG/2xdkix3T3OpCp0yF/XoP
PoZobwx3k9R4PVWPsiCskucTKqFOjCgr74xobmjx5JdMnB2iBM0t9cQkwOK2ldqaseoWgAYJmsCM
JAp8hHOSwGRy8Lz0Ne7KgwQ3TPd7typ9+0tW4WtPbWjTEaqzVVpsfArLRiIxsq9kkNI4vOv6J9EX
1sI0/dHxAzrh7gjDKcWGubuOS4dQNMtSx2ov0YPFIZmQc6MKpSlufsyaNpFeTG4jRoGzCR6pcP1s
8eR+RZV/mk3rbKbNu0hYU4mGrlc61rismK522DipP7IB0pYfBFDgXGaxvTJEfEXEK5DhHQeH1FDF
OROr7CVMP8gUMCphUNUeMFUyRfmWNjAGptGRzsx7k9P7ZJrD44LbsEMiKK4zNzdFRihLL8kCypwN
dCg3SJj2Om3bgAw3qNLFtcng/7iMrVuqKHgc9rSEZ+9h9BD3S7hJjCAQBtvecgZPBME4PG2cH4GG
ih3mlX1NXjbucZDZPiEmbSSoWAjAmnnJmlz3wHtUrv01LJRVp2INjkiwggSjk7jsn/Wpi/Y46php
VdZtmBIKiqX2IZtx72ns41wCJ31c03+akurJvCNRZs5ILh70LrGdBvTxtrbuQ9NVOJ0u7Z7JgJKg
D3Upbltbe9Bj3duzR7obwvkEZbVCJUMw5MFfSf2in7m8lAOlFc4cCaW63k4hCcV47Dag8WJzsmmt
zYOonu7jkhlsqIYHkae3dHQujtM9P9DZaAjdaz8fnp1o2GVeme9iyrHXQg9zdt/Oa5e1u0VS2n+v
ToY5aHJQYn0CNuypYwI5jv4eo7EWAL3aEZTNt9xV+SgqYRApYpo4LHk+cn0LfMidY4PoKWUb5PuZ
HgBbbooenoRrxUE8uTeKpGDDneOo6ZhDnykRB7+JO9FjprHF826n/U04EjlMw+QmZfFkkEV0llAi
o+HVYJavpmioR3QAs5NefpxoQ2+WSGO6hBt1gUNoesM+Zuxyt3xs/IuBLGRNJnJewpEuKcl4jGBE
SiR1e4lQlqagib4bjt4IU9NDagzGJXLZjeEn1c/sxOSbpdgCoqffJEtMs1kCmzabeCZdZoRmZ9k7
uNrkcQl4tgQ0cZ4vm2PSn0N5cJwEeCxzWJLV07pZgqJOPN83oY0HsXBqGNPZog8TfE0E2a+SefGk
FU0QGv5TuMRQnSWQ2vt88BIfWUpW1VhCq1I27zopVkrQT13N9r4h39qNGUHXBQClcha4SwiWrN8e
z0d1nsnHMnUJNGigZ4PkLDgT6HFkaUsytRPZ2taoricfQFQDHWUkfVuNkb61IoV4QTKXsu4DcOi3
cHqPluBuvUR49SXMy+D1nTQU/cjGhSLtC9SmFYZcx1hZt8Bl8VOLrl23JWZw2RPwy6tD0mcF0eG1
rBVMSXLF9hIwZhHkbBKM0ivHc5Z13IEALblkIV+GJaBsdnu1BJbZbd/2S4TZJcvsLaFmt559VMmR
9SeJZ+i9RdCQgZZDAiuoBi7Is4B5/cYhLV13c3qU5KcnctScGO2+Nr9aDVlckbTul8j1iKtuaymi
mta0bRC0CFF2cqMZZCEyAQioxIi7Mshxx662tVtc6R1+EMR91ulL6FtiyE49vmVeAuHEB3hyLEN5
DGX2hoK9Hb7VbVNfxiPu+BSQb7gEysnGZdX0WS1B8+o7cj6yKiTJh+LKgN/o6m05vcrO2BJroPKK
Sed6yumZhOaxBHdhDUHMYXIxa8ecYhm6QE6WX3l3/hG9sbwo+vYU5U+KToMkzc7kJcOgWTLzC9nR
YXE0z3EA0560RFUklBlzd4s9AvfJLbg9eLZzwvJMEpcfiecDluK8XRL7NtH9Sa9vtZQsf/ad6vfl
S7bE/In7S0zatNui2qDJ4zfi9BTOkoN8yEJmURwmdHQB1oiJ83ZixFPB43CV8nb9whqIYhfGQJJ/
pOopSowpsHu8iTmzqn7mmUGcqLYafTsRZ0rKqzjCy16XR93vz1gPAPSK6cpLxxEVB3mlqVG/0la7
9QcNYjYVCykQ4iqeT/4iV1eLwzr+rIn5wjAFV9vXrL9J5MC+d8tJP0L22NcaGYSZ3qiqKq64GkHn
Y1oZQrxaNFO8mFXD7sSlYHZEzNmErJaoE+7xfXKTxolDUZXrYaahdQLX1Ia9lE8xO1kFolHlFr+Q
uY3Zh9SauvQxa2785JXZKY9dhemGsV4zxzf4tumJX9g0HgCbNW9X7bvsjgPXH6kfpmq98LniBsKb
cC1PPnWLLLvYkoJaYdXjMAYcaUrK5k8ZmldOZj7RWQfeq1JMvfuL0hlumqYdtgwCQAQAflgkrbma
9G0RzTya15zjXjB3xQcwjyuzLcQubbLHkJmPMxkJEOvRQebvuZrN8R2XB7V0qJYlrIapa99xCR/8
Vtw7GgyPoWse1LyWbXk3jeJNhCS4+6yXV7lFRAs780IY8no94AHLbmXsH2LrusTEFvesp5qunI6g
6aN1WRsHNP97YsxWXv+YvfFlrMxzAv0nSZxAauWXPXv7senu6EWsg3QQT7DG2BV3lyHJRp11Hlmm
YBL1Dm/5SmvJg2gGMFvZfEXL7dnMtO3QEBD0Rlqxe8xjmkbOauyStzZqWGhquTy5MBEsihyQtBgP
p6jBOefwWAWzYmjzbAnvU0/lp6/jRKoWs6/j3rVRdQKOsfXZTavwqeeWQcCwpKHY25sRInZszeyU
5qt+MbWYoMVBlC8nqmS8NMV+wqbKvYsIh4iGWRpa6W5gTBT6+oeO4Nr4oFAyt3joKIZde3nzRucZ
W+PR0WgAsEpC9ZNxbcBslkYD18ttMVxoKSgiVvY2w62oAlLZdNY25iZOxRmfT87Iq3Pf3dmwdmp8
Nm3nq6nZz2UeHwpCwgu5eXBmvvxM1PTWCmx5PMFH4mdsXdASQjDTunIZ6WuomJXjJUGOqWGJaUMa
ePzXhb1/pNv9PynL+Ra24n8syz1+FV+q/KMs9/0tf5XlDB0LqW8ZtuMCOueH/S7L6b8JczHAWpZu
WP4ivf1fo6uAjKmbti6wNS921p9UOfs36i5xDepMRZzvL31rokiSv9MfUTPRSP/255/Lh43FIP0T
wEunVNWysLjyf5ANXfMXgJcEM1ZaUGBxjuc3EUvLzjZe/SJfiwpFLh2Lr2IyPrJnv6mYjRK6x3Ev
zt4wMhwjqk9l2k+H7vc3+PMbWmy1v74fDzuqZfNfYS6u4J81wlE5RJ7odaZT1N4IZMDOii51bT6Q
09qa2njHtPHiz1/y1/LI72MAuoxKXVM4fBC/vGbXW6knZ5t9Z+le0if/nkS4YBpZPdI8nc/NppLW
4prl8dXReoohtlp6p3pxWfR46HFl9j49eZp2Pbz/k7f2qwt5+Xg8gREZizuCnvuLZMpsrsM9z3Pe
MPJ9g1UODYMtEtMQJhzQkdsCLnhvXmg42z2WkH/+8st5/j8/DcRTF5s+oE7jl5d3M6fq6xRzQTgs
a+l4eDViOTBbZkXbD8mlsnn6MZMr2mJn6AosVZ3tQx+LL/aHmcUhDQI8XCZ4Zbl8I/2zIxESRXLv
tc96ISH+TB8QQs92nq8jH3hVRx1C9CadaueAbyeYf+FY2o/GSPcezsU6O//5L/hr+fH3R+/rnPmo
32QI/F9InV6VNg1+YW/lOhOVD6VzBNKwd5VzYdJASagYh8A4fVB9dOM0xsGlVw63MOxNJZMb3Lnv
cypaWpvydZear3/+5v7ewafLlE5N114KoLkH/HwpRG7m1S2IjNVUosA2hnuIsuR9ORb/5HWW0sFf
rznqcwGCC2Cojv5LKWE7947d21xzhMTPBcEc5In9VC2icap2tKkQLXIv8d/Z81K8WAeYMi967MmO
qB7r8VijKFmEuocSLoIQg1jb9d6tWCy7wuAAeua5KxZjvP5hUxjGp/GgcF0aoxYoPDGhe8oh4tuT
ZNY8b1I3+yhsUvZ+uo5AOnIEoD052aZVkI5k6x6Yar2PaIEEsW0y0EvJ7OK0hBHxQiD6BUwbwWCx
0mg1NmfOwT8/XL+OMf77nPnpcP1yy0ySthXVxO2CHfi9UsZThL5qmcYF6F4ui4gB3UWptcx4bYJZ
WgAxc52FFvtRSC6ZAq6eZJtvSOosysfEMI4UAfgHtruPdv1s2OPtMEPVzIx/wqX9vln88jnbzF64
yRsCw7P9C6nSk4k1SRuIeNVr64FI2ioTmF+bltQr7ihVimvXsQBh2x9hco6muF6PJisDBoQbTWuY
sZbpBuhdW2o4DqT6AYXAHNqz07HVocKrYCMMPpvqPmuYArNyz6FbbEYTsLFzjaiwMQU4AeE8YHpM
WJHHgClK1pQaqd8Okd/Tja1fE4ru2B13OUF5YxX54U1uyH3vVreumbwj910K24J3UwcoQFd2Hb2b
AGRXsogQxTRg99qtTT9g3k93pl/cZlV6Y7SK2TgALL+0uJoEnjQoEwbBn5Q1uSFOcW3ejUb5ZpMk
Ku32nxGBnV9iSssps9w/+Y/DXhne9B8vZa3rRJhjPmHIbm0NOWob1quvPXUF10RWg9qpnrjEoltd
R3M2cZ5HePQv6DiDCF/mz2Lq3ips5kGyxtBRYlFX3lWayYcWr+NqwKXXpNbt2Lpry6nubYfimiE0
P4bCOHdCXtdGE7CkToAISS//UrNTnXJcuiwID6njpltdt9t1dOMbe2eYrkIth3uRUiwCfMTLrC87
Q0AbwfT9H+bOY8luJMu2v9L2Jm+EMAfgUIMus7pahFYkYwILRWit8fVveZCZzWBmlgqzfqxRsci6
AhdwP37O3ms7qIx7dv1a20HjXI2DpKfoA20INrKv1nUji2Uzev/kvv25RsHsw85DLaCQmLZjmD8t
hBBe7W6E54N4P9vB/HhFEPVcMZpJe2YJcbiFcIo3VEfL6O1q/FxAba+40/fhbBxRIf2T9dL8ab38
9nm4GR1sQxYs658+j1UMkzW6ET0MIMegwQ+dSr9iMVJ21nanYwQX/EBuFh3m5j6MX/UYOOJkrEr4
UBqtdkVrdYuFpt/3Gx0djrRILCCNQycTw9eOIUzwTrT883rDsGXZoiuSDrFthTzVjGJTQ7v6J2sa
k9j3m8Dbl7IUaVTHTGcZ1k+bgD5XaVeG3BRuJ+yDG5zZ5nSrj/VB5/A3Q4+Vo/XVqll9DWsgBjB0
aQtt6CTYy1aYx3hU4IY+nOk0S/idWx9BlloUg6IPSdPsL/lxSnS/OkKkYO8Bf4nj+CoIiYe2tCMB
Zw+EM9HUTVchjTbktBUHVMZYjGibhC4aYenHoW23CT69kqHsqjVnpjCIDMeZxphTbCd6vE6KY8SK
S4ioJvw7q7oGk1MwQdHOy1icD2F+T57jlZdhjakAiSQD+8Ogp7us05ctthMns89dW7tL6mzPLXTg
PLQOlJ6yui4avCQOR9KOhCt4WJa3mWJn7wUILelATnYLULEx5IbsiUVgClTiM91dlSfxFujctVe8
P2FW4Ozkbc+lpvOHEveQV/T8AoHt9WHIgzNAFYew7HiScDbP8fwJteeyjPOlyE6TMsMKZRKG0a1m
jQM4QloUjTeO7R3rKl/DStsgHC9w5XL8nNHA6c6NkrwiBzsONh3tEubGlN/HbL5xYyDMQpJnMYgm
Ri8OXgNZk2qLed0obsrUW5ma/FIoEX3r3ZK0cWfH5srt5GnL+8aWy1rRoQ0cdtSPCwCxRxncG8Sn
Z5D6tAAUwhw/FXRrOmTUKfLplh8ShrVt0uoJ2n0Ph2CInS+tN68bR38YDMm0ChrVTC5IJ9n6Lyaj
2fkcnmukdUNIqndN6rB1QL+8ASpCgrh1TGBT18K7xsC6H6L4itA4s3s1R+e2mLP7Fq/dCI2J4ceK
ptAhw4LuuOaWrJa1phT1BFY1nHdAOhxjBI881OGW0XCyFc2TRq90hRv0xXYSFaTMfWA8NAy6zF6e
I7QCh+pDAaf4iGqaQcIXe59UdoxF3FEE03kZOAKEjyLb0/i81rk0U0KL7jpyvXPPxttex0fi2jc4
CmE71s2d3oEbz92r2EIQ6+DI7pjgEQu9BBu2tcVLLadPjVNxFIIgUmyIlVoXFTmUOhOmEfqSQHCt
eRuvR67ZZKcWbZMh93cz4+XA9Gg3dCuItnRRnFse1u3gfGXqQmUffskTWi1IEjqS/gqDzR5/hQCI
jpjCwtvONAGtJESEiCIPN/62T83jKCAnEpfh2sYeydInmbV7mEXrtJqJDFvFYcogsrIOldR2lG9r
mJV7UCPramCvtYtbCZoxwzLQWAWHy2afgi3A7bumQ/hA7xHJtbYoO/epsQP8FQuTHbTR2suZt4e6
sjVohOQWjVUvQBFYHYj7PfgMXP3CIeBjwhchtK8ZA8oDiKTnLlMsBEJUNsVZ3iu0blbm2ySJqwPf
FaaEFo8MCDjO0DlelsS2mP2Fk9wXKNHHx6Bc+FjLSbvfms2FPzAMSInFti/CdNsU9Jgzurae65IF
1nEj0Ppm1dY5M7b41PoRo1MVbOGxbFgLsLDdN2WxQQmxY851n/LrhBbrPRwXp9g4KFkakdEsLg6O
JniSMODkEco9IuTK1EEajRyhDzRi76KFMi/HJqUmemQvSs88GtJpRsJlqD5EM2nr0MHgIxnsG+5I
RpW4HPBTNCPp38OFw+XTZL6wNBPNe7Xu7HAL0Ww/xo9RXN7ih0RZgR+qaloedmoKLn3kW0TbZrtc
uLcIAfDfuLeTawObrbR187Yy8QL6k5E9TYlP/16/j4g1M8WTPeGqjz333iiA+EV4OWa+Aac9gTGy
65mXDvqmC9qLKhC0aF+p41kItF0BUoC8HqKbPSjwmNMzNiIvnxfEBS896FxlT3glWMySWGHHyu+9
sDyU5cOAAltjTzLpBhMCuOyTByPKl93gozjgpbLToRh3vsfskTi6HN1dTg0VeBfdDP/Xuystc4tJ
ap+ERNuzLFoznchyZghXXwRGdyEMWNcB7DbxBYP4ASfwRED3s4x8ot0C1RxeNOhiGfrDeRrQzpwZ
IYkCk0c6KLIVwfDQJFRuNg6eNz+3rn50y5T80ukmVM9/4ebnnMrpFmPsBXfRdcyDyL1nZdEShX0m
RiIWN6IOPtluxe8M64Q4hBryljAmUjsPaE8QHBNLa1abThMbm5vGmc270o9PGx8EA9OdIHC4pekh
VNkOsMi6Di6CTqxBKyO3cm5N/FtTcB5YxYWYX+yG2DniRJnSxiQmDll+WhbJLuIQVhoYjqlwCk4u
Y/DckX/L6skcYVVmazfoVoVEAwVqRTPEOkK/A5KNNZXYCks/EKH0tbb6F3TnDmr+7KsDkwN+Zv+5
AulSl5+TPrnqZghDZrvH5xngYH0pjfFxbKxs0Yb9c020u0ymAclXTFYZGYBax14Tc+s0yYucNOKj
kFxkfbtT4d9YJbdjjXGv7+otY9ar1tXWpRSbTDgXU7zByrT2yF0vGEtUdMc5oHOM0bZqU7Xt4Mx3
rDs31j8hqABlglU2TC+sNscLKT7hd9+YUbyMvGwzTPomK4G3FBhByIM+atbGlEhMhDxMc3nf98bR
JN1NtUBcr8bb0Ww7a2YXRzMcIeMxQTTwy3kW8gD40f6iuDEKdOROYZ45dn8jhvkBhxFeJcwsvq8h
TnXYZ9IO7GUatGeRA7DBAVsx1PgMnbsG+TKGRaBzwYUg1k6OPLlztTXdWkXkrsZowMoknqkSYmYl
ToWIiEcosMpHNy6PgbBVYfSsVxnxNBkMPPJ9F5Vt7THBPcYT+nOiyzhtga4fnItaV7ih58Tk3tOS
K3hzp5McbwhN3KdzuiOiZYcd/rw/dJaBj/oQo6DV5NqeWNnJ5BmT+hU7y6bRp01HXBu2yt3cGTdM
QxdkKu7rrl+hYVzmM8ONes9khygA86iFFo77ZvvWv8j4M97rlmy2PLyeK20HmnAfwH8p7IApanGv
NlNXkocqJb4ODLxZIcn1SHfdbJxBVv1EWuLW4tSpQyfsPWYtqbZ39ekISeK+R0E2uNrODcVlAEAs
1ajWEusMSQp1Mi3+oTaONVA61V3s7ZFnZCTNWt/4Ju1//SbrAayEubNHUHcvx+S+gso1ukICYL0y
co5TNb3LJZmleJzCYosOGel2gJM4ICO8nO1DYmhHLK4JB7Dm0qrGPSxpjDLk263H2jrHe4nhxV2H
/mMETuTAOguzuPFv0TmeTS1CIrTSfHfqr0h8qksNj2n2hEXodMqmF3C8EAy4WfvR2AXdnZZp66Fp
b01Cj2ZmlKwMgXFMzCpe5CGi7TB+KjvvOtzGNzKF95x7BPH1N2QH4ofsaJP62ZVT8ZOgTjBFthqF
se1Ge1vznM4OZYVJcFrpXhQ6o1n6rUvd6K5KhD9JtsOYsi009tO8BSmYVtNnnaoBkL8q6SrQ5+RO
qMF9om2jsFqRdXvrozUMJwN/yPwQctSi435GOxfneL0FDYrmgHOsjuanXPYqGwX3yiaz7jPaHr3B
9CaA7Fp7L27f7BEF7FXT14parDZs7nQIi5mWD2jaM6cvlzr5BFVfrHs01rPQLvIp+dLm80OdgGsp
k+wpSxIwWe64xoI34Y4lAoaPzRDd4ZmFh6pF53O8SaVGGL1No5E2nJFQd5FE+9w6Mcz2+tAMQDZd
R2wqWmsDDZnaRbM/g8KJ4+wJi/WDHteoYE9tlC6Ig2yDoWnLl2bThegqyYIGPnqrVxwaGpvjs7Ya
RigvQ36v7vZaUihSwQRxdm7YYNZMAvB6NEFGwdJTEZyX0bdNbWvalkzvyfXEFesTzmocBvhjoa1R
/D46zONLpnrxXKLgY37VRqdcUc8p+w37GTA7+XU0H1LnixPIZ9HEX+dRXmL4OG10WAJ5euYzn2zN
o3AJkQhZKeuVNw/RysnL114TEInGhVFTIXpa/xAZIc69XhwTKGF1Ut4Ven3qJp4Aoug2CEBpWxKc
mnTa2k9SUHnDVS4Q9WnQlCI/uZIzLpKssMO1qdvr1LMCko8CScLDAPAoYMclvYhs5b53QO2hOGrM
+NzJ6mjf0B9DtglcIB9ACADHDzka9xF6DjQtxNNcpJrdXQ7hEtqJRfhTY1+SGd3t7Qo0jT9PR0yB
RAmAqtyJ2EnuWpXTbqX1nS0EikHfs4AxcK2boEn4rPwxaBlxtyh1s8D9MghS+0rh7v0qfmLEAaco
DKghuQ6lC/uYQuc6ajm/hVkJOXWZJy4+zECjGrXzr4C1Yk567NrgydD4I8q2cn3PJ5qOkN9vE9Mf
tkMQhhtDYdSz1tsTdwZMzwUMTv7uIp1OMwX7kWZ/rO2kJCwgRoNN9A7To9OZuIg6veI2X2OH/Wwx
D2Bfab5C2cOOn1k3biuPM0NuoRnnVm3coA365M3u3RgZiyIPnqVrcto2vCcrd644E+ZbxvPxCo7E
cpzpMlSZexm21anTOnccvw7NbB5Sr4Bc3rDYoSYNmvlVRH2mVDzn0XAVzmg1+DkHYsYIrzDpa2gX
dWwx2re5eTwU6JW/7xOKv1EEj5IC3xyLXRfsg9YoFp2JQKmF0rpAFnDu2KQLCya0HS1QnLI1ucj2
qZjR1BA+/NCRewCPnUNEi5ts5tQSK3ffOPKJam6czwYTpVU8GrdjwG02v2n4fFpwkseeKnpiTVf+
G8MERK5Ftw0u8sLJL3VAbivdsiDOR/1ONP4ZGFz4aAU/aji4ayQBNGIS8ZX++anne9pCz/rTdvZQ
EREY1GjPHe0TkpXQFkrL+2ojIN0OpKMAerzQmxL2GGQbBiDE7qw1vUHs4R8LGaoCBVbv5YigZCFD
x1zKmiIwiLdJD9k9IWdtqQTWTYD5Xk7dZ/CiLMUecwHMJ/oKo5C7zpL8XoIhGJAj7zmXZ5xKEIUe
8iS89TKO9YPYIiYB+4p7uBPlekQlu9SVY3vOEhbvrD7VRbG13XKL3C9YhmaSXxl6+qzVGwZKNhkq
n6Uz4Z/EpdQO9sRJgayyoYfXmdEF9i3/EVPUqy/jTTkGVw6A1siJXyonv+dEgMY0gUiPRbmtQUCm
NN0021079Dxp6QhYeIlzPkh3O+WANly/u4qs+LoGwI5dLXtEcXMlXJUmohRuaQDus8WL7vTDjRkE
KjsA8U2bCpoMybzGU7xDucsDJbrTptKxEpfFsXoYNP9Os6d9HEJAY3eOyWnlbb542LM7x2W5/KKV
OjwSt+fR8dxzSrJ0W9j2TpCnoRWXxPnoSIGggkG8m3yUtX5pITJySM3BKgDWgNIgUmpxZLTWk7Tw
kjUZV0KGLdtII7yFaUWIH/Pl5NZXFdqBNZ4WXque0lX1FgzKaWojASMswZqplt/dlFOfEvyCWCKL
N8obFti07wabik+OFPUubsNF67rZRquB+3TTQ9uGqyl3srN6rvacBuUqap96O5gvnRLyqOFgRTcM
UBVFT0NLGmfD4L9EbXFEOVns9U9cmE+TQ7MLbSSzI/IA6f9JRFWFeI7sYYL7ClqDCmAhG5ns5Cy+
TpZ8UjSQQqCudx0oQbXocwDcNcZDD1fAaJUvc0tbl9DknaGkdV0NBEoUVxT/4TqpWwLojeA0HLjB
hh7SBXKXi8zi1vCT6YAtscd1iB63QZC+0E0UNZVxSseqMMqekybhF07QXM8GMUL4JVREAGdKrGHX
6HnwI4zWdVM+JY7kbGVQlPgDstrJuzF66iWSUh4Nkntc7P3LsCdAaOKmXkwjAKdS1GezOWC+xM0M
zP6QXZVY6LRXr2keGxdZphnyEHTBjOQyIcPCLMT1XJAA2Agk9lU43LSTDofekezdg8y3veHvkyA7
TVnw0k6Cg6i4XpWpZPF8Bsd7QRB7Rv58sMb1oRPuCsAkRIy6kulBoXh2HWJozo7WVVt+1oTOcCBX
MJSo4JEKISKmKHRVnSr30CMwK+DGgUS7TRoV89XWgHQQBcLuaL1V0lUXaXRNOMeTU6HRyqv409hd
QUwo16EtMmKkyossa/bxQJ2S24B4hvO6yc6cgqaOQ0bY2RhXl1OLL7iZaXO5LrJvyzZgCbGHQpEM
L3mmrLgV29JgT6uD/FEM9t6nPN+Uhnwg8/qM0IOtINwSOgQHkD5uP5N/yCqHAbGLBiZ7Q7Z3sbFw
JMJGnUJGdWveZqo2cCOIQQaPfZ44Dtubkz33JWfUvgOsD6UaUAO+YDEpvXFuH+cmu2wJdl6m+ExW
cYIPqNDyM4SF7b5WjfQx1FvSqSPSlv2RXal68p2yIA25IUkZjiBjrIEBhUvuvT5hzadRDFoszbNN
E+cZ327YihQLSjHoxI7YJqofB3Kx0SvoZgD2hfFYsKwkwdM+zS64u+NdUQ76uYQ8vO1UToMYyZxh
RH0fBYiM80pMuIcwaMQKoYK83EKcCVZFzXT9uPk0OEJbTzMqelNBWEJoLFUL3UDhWaiyAcFDbKkV
ugXi65UBQwGii6k19Gb0rVFlPgXmRVCCfulhwMwUt0ykYTMS79HGLtJ8yDV5c2pDSj2fLVS/Zmp8
BYJglna3bxvtNYI4M3Uea44rnzj6JcStEGdWTDQ4Bkg1hULWSAWvycL6JXD6a1dhbaicLiY4N0lf
fk4V+AbAOJ4MWDiGguIYCo9jK1AO0iqaW7BzCgXRmRVNB1w2BTWuIxewTQxxB17huERs5y9n2lEj
VJ4ZOo/vBHQjDW2RSiKPqo7CYPC5IhXjBmJnPdosdAijKo42urAuvHqDgr+nh8ImpPwbweDf9/hu
O+5ZtbHi4XwoifdWhmmAIqyCtkINVWxGCOxGBQgoQV67dzM1ZFPQVkx0vBoZ/btlo/BFQq9ImEvL
m7iFwVPMxTFuPWfdbBwPbhEBpKzBA+rarnPgvUJEUOhYafUFJ2yahZbCKLXwlGoFVioVYglzgYd5
gBslKL7opp1coh1prtUyqEvtIcaTuo4VtCldctKynfvaqsoz3BAXsQI8JQr1ZCvokwH9yRhNlabq
0ujsmH8oRBRz7fsC7Q5LaYqejYd40umwKbCURDbTKtRUqqBTwt4KGFSxglEpAZ+j8FR045gaKGSV
o+BVaIQYdOpgBHLh3CPo7lehgl1xtwum/sYZqJ76EHpbTbIMDGHxxR+5T6lsFjbsLA90imlo971e
POdednBgbAkF22KPXEkzuCI/W1nS0tMWLlcDn4topWFhKWRXZenGsZz9epGm+NZChfYKFOTLhfZF
dCkuOwUAaxQKbOxaweH3zozGfMUUfyNc80BjMFnWCiQWQhSLiMMDrDzdWXNgry2FHQuzaNhURr1m
xEY4gNJBU1YZSygLDdGAPoEDHK4dMzwbFNQMlJS+yjHSnztWCVtOwc88f1pbYtxXAVfVVoA0Zl9f
bK2Jt9jQg4UGRa3vk2w9jyGXAsKaA2ltgLgWQV6jkzEs65Dja5r1tHu14IsfRI9N8UYfAd3GUxgW
RHVDdNNdcUGeI1SgL7UCvoHJp+kZV+W+hQZHfrhz6sGH4wRoLmxhX2ozMzwdhpwdZvUxUlg5pnco
2BVqLlK8actkTycZVsHoWqh0PisLfw2nrsD75il0XUyY4CIy6Fqa28kGbucKWAAZ4+19r2Hu7jXA
NwqGZ0HFy6IKUIxSdsDLw0xM+xaCHvm/1apQUD2p8HqJAu1VzsyFUvC9UmH4GMBrC0AQziLv222N
viqE2afD7sPQGpvuTQ7Rj1IF7fIq7t0bizp7BQv1rAk7Yox6a5+3rrENvfTBV79DMrqnXRVuRKQP
TJNhixuWe9Cns0IhBuNANVud5tJH9LzHh/PY1TFDOrqLoUIUWrAKQ8UsjKyvtiUO1JaWQhq2xkUP
4bBviqvRHGmzlPqizHi0+so87RUWcZrRd/f9nQEvkezHYzJtC4VRnCzz4S2jJUhALM6wFkMFXQQr
CwKZkQSE3ezeUWhGB0ZjpWCNBe1EOyQNo1Egx/S+NazXpgd4YcJ59AsFx5SUe1OpXdWkAEYwIQcF
hwzq7LmCFjlAjYyKuGJqfpk5KIKzeDiPs9bdz/ThRJylW3WciorsvulYvgqFpUSwe2SzGlZGFr64
A51vMYBRIE1uUY8+4wX4llGWXjvwLpUvp+n6O83SviKngNcg0+dMITLxdo7LWGEzYwXQrLjhlyFM
TXPaClfCjQS1WeQ5hsAwe9Kr+SwUg3VgX3HXA3xxUultBeyEbi13DQzPCpantJrbwenvMhifnY2C
g4ICThr4T4GT0Jqea4UFJT/CpBQZiq1U0FCmtCZHGiyRNNCfQdXhJRMcYeVrozPtUujRGQbpAIsU
FtONH9RnRq0HS0ZH1+Fg3OmkXR0EQLVEf0AJne/8mLHGkFHcdt0hKgqmTo5z39f4kWTO1czimOoC
+z9ZqDML7b6xuhuhAAGzQgWkIKXX8W0fDSsBWw+eQOfemY251pKbjLWCA8F0iKAP2ApDkCggQaHQ
BLOCFMwFB/UKbgGEt4iD7EZW0AwGnbijNr8pUoCiZpVfjZnXQ7wMPhlOeZdARUgr74HAuYupMT+x
6VxPCp+QwVHo4SnkKmE6EzvNFAcRA/UzIC90I1F+Qa4fI5gM0gDsryANSFLkRWOar3MGEGP0xN4s
EEmb8VlHN9SwrXO8dmwaMnks4NZgUPqc+kgf6V5Nrbgnf29amikmOuJvLkyxq8uvZTZe6lPKFkJn
1sAXGQzPejI/R4nJQK3ZME5oi2KLnoIkON+/tDz7NMQAwhwxOp9sSTVU0/zxqAz0KFzaHFgYoM1L
Jzb8Z6aSPlHSjdftTG0Q+7527oJs083U2VXFIp+zoaxQu296BwKHFQWnnhq5ud5M0c4SFSVnXiwG
ItL7a7AkD7WB/SSi1xJXzl1Ld4TGjf3ZzTEVRR1lg93zhvj3A6vPOVtyWyqItuFztXwRXU7w+Su5
6/qaOj/EidN5/a2An2dIjHxQavr+uhjKMyaqfTbhpiyqigMMUUXoi5aBRgwLjqBTPzEvynI61r7T
c7y8caIRLmXSEEAg7GWkxmA+ynpXbxFz9MO1nTS3KEEeDZ8capHLz7MG8Was4bpE3GTjCODLcxHr
J+PtW/XQCZJ7kJihRiDFsFLhJ6gXa5+le46Sq3IKLouW8NiwXkECnWjIoFfsznW2o7YeSes6i/gd
lpbLzhblUbTpkgqFnaDWpHNpA3zCu0l2x9emHa46q98FFcZ2u0WtMTnlIWyTh1QdsNvCBWWtmZdl
WVSAb/LtFGbPgwU5yA7zVZnrF0Mf3xLVuauhrJFLBcykGDALh3m3iaPsoQSEwlbFU1qHOJ0ISRFA
ejeZh++JsLc2plBtZbwPZblK4Y3urSI+zwOTgACbUCee2s5G7oKGjyF4tdMUYiZEIbxs6Ot9dkPJ
Gdswa2LIY0wVymLiMMC/SPESK1DtfVHYV0ON08EKHnyrO7cQDS4MvNb1CIln7q+0MDqmaVDTnEM2
AY1nF2rWvhBoyViN16Tk3ncezTQpDUA+ouYEpB/wvbFZd9qhLQ3YTi0pW9E0XDdDsdEzzFaMHqeF
rg17BDf3rl/2HIxNUDPCu9R8m2inkdKqCzdmQ8gDQvCdGxn5QSvlS+NIAgy7nQ5RdOGoaERaBCjd
CCgtKkIQYgzEOqHKZmOfzoVlrR2b8RHfqSp1TJdF+4X8lMs8Nr6Q0eakxbk6Ik4TA7xZCWhBAMMB
dcZHUArrJrNf3K7mlSH7WqazTknwQmQVcnjGceriVomYokn79ihxxZ4Z87BlQP7Q6xy7p/K+9VFT
hPYroWAXdTJeW6iAwLvahHRUhrGsAqCKZs5J1QrHNeEuWOwzIAWC+CNE2kevQ4ftM4Lpg2mnMyMx
XG4yW8bzbQUNG2QcU3IqltnuyYJjvOnNcBFwdA5EkWgHDM6w4sgQXxr1US8o8zUtIzLUY5Gv8oGv
mSHnIbbma9MVu1nm572WPs0qniEw6xuPNiWfsykWWIy2buLLJSnPzIRMAuxIs2S4gQcS8xQUW9xj
JHSl1UXPeIkZvKcc4Z8lTbrlkCdgnbLpSuiSOEiiwfs6Yjo0kIqgNc1dauXAFsbnEO3ntuAwW1dB
vQmtgHid0cGXxG+3DtL+DhYo4IoF1gh9qU8BM67G2bqKwIzXbzlMKW5OlCqTVz8Ytb/2pvjzaBC6
U0rttHIDJHKFN7MV1GJVVAUyFnB2woN5BL7wJm+pNCJm62nlczfpnPg5eKDJqPTrwqKg4JYgVznb
kQiD9ipiDwngZgX8mMvUS59S0Aurvm0uoj6XHK5o9xhfB01ekTfmnfcBBfqk+c1uSF9jT6KxS4Db
mS9oCMmfNpO1XeT1WRIly7FUqxXEf5DOnF9CbP2AEDfATh7rkefO8tMv0NZXQo8uYJzx1PsQY5Ft
XQR0ODakzjmqiNrIVLFIOVpFhY3LTieyygTCnZP4FXzKgK2BIE0fBckfXTSFICv4yzrAcuwZ9iGr
pLEpUoy7fZXnm9q+y6B5naWE8OyK9rXP71jud12b2kB2lWGyos5Dvme1qr1GBdJtZBb2R7NmzemD
9HPW+R39Kzbahp95Ydj2a8mxsOTIXTHCX/QZSAUjDG5QrpyVmuoJPeBVbFfVyG9Gpgl9sDh5dYPP
FVYtFoTsWBnDYTRltjYiJ11Lou6GIgPjQ9EJK6ZCgqFx57st3bOmx3o1abjKoyvXtI5uZh0DU0IZ
rVeR5cdMvbLn3LapjyRSMjdF0RMXPKm5fzZqPWKM6CwcI/zUwuP7qcKa8AIzgGfSzNtQXgImPM/N
zgPCHFcwU+nUM8e6w4KASm+DjngNjIuNTUr8FR42LY2GIE8OR/pRSxBspkxVncu4bQ5aJxbeFCbL
Dpzom2ZUObD+xzv0zUv0/Bt96ac//u3P+EwfsHB9f28FYfoDWul3V5P628uC+Lvb4j/7R7/Zo/78
hf41VpMuDOUleWcKe/tQb6Sof/Qa6WMbtd0LICgpT9DZvrlPTNdA4owBJGWu9f2vdf0EQ4opBa4f
T/Bfkevzfj9co7+6Cv/4C16//oyx+uPr/KMv8Pp7nAMetA9fA3HiAqpydGkR0OzgwHp/DeSJizdH
0lLFQWc73rf3+9+/Bs9FR9ghCLAgKvIfrX6o+v+12+CnV/jhNjC5DTxheK5Efo26ETn5j7eBcaLb
hu6aeGWo9VUOxa91F8D0srhzP/ooSEvwHweZv+lxM7y7Bu6JYpPZjqmgZohzuUl+rWtgmo6Fp+Nj
18A8Yd5qYcJ6uwn+uBrgfnB4WCysJNhIvl3y//0n4S/xdXz2j14B48QwHBwyfFPPBWXHvf7jk2Ce
8L3xJniMwD0EUP+/FoO/vAQmNdxHr4E4kQrUZ3G7Y9SyBY7EH6+BfSJcpvuCC6RLnpNfb1Owvv8u
3+qI3zfZf2NjNL0TwVovHdPFt8B3fL8a6PaJKaFDgybkfvCU2erXWg2w1rkfvg/sE90yJcZfTyJg
9H7eFcwTYXFQ5Vlh41DVwy93EVxD8rt9bEnUT3jOLctg6TfxZUvW2B8fBkPtC/yvDhfJgo7zbQn+
hdZE9nPlpv3YRbCgBFDL69K0HdthD3h3ETyuAYxOnRDAb1vHL3cnmPKPAIV/u1bmIkiX3YHNkfHD
WzH8452gq61Bx2PJusDtYv5ya4IhDPvbL/Ofr4vSZOHjIkh4rfBcf74TdPMEUjawT8Gb8Xa/3kXA
xv7hzUHqoDGQTgI7hoQtpMqA+/FO4FAFq0CVD8o6T+X8qy2Mho005qNrgmBhZEk0LXZIPN1q5fvx
IoAPMaAa8Eb0r8y3zePX2iIZPSrMxkcXRrCQlAcAjHGtAgV5dxGcE4/sebZOqmrDcN8YKr/WRUAj
Iij1PnoZxImgVOTndhg42T+dGyilsE67hqkL6VruG9zk17sKpvjo2cF0eO55JiRzAR1kioIf/PhE
yBPwLjaLpk3WmwON51dbFr5nY37sibBPfqwT/qSjxJ2gu1wH9hF1fPjlLgK/nvjo82CcqOOTIrr8
WS9BN04IUIC5RJIo2HPq61/tInADOx99HKR14rD4URPxY7NE/rQqOCccrUCYwDCwbY+T5r9RL/0L
5fXvvVpwgOnLW5c2em1+gOj/03/wWwvzjy/wvTWp4mRV7+3dP1SA/W8v/a1Jqf78t3en9bf26Q9/
+Vs79e19vv/fv3/BP771u/f67Vv99j/uotf6sX4Op7e/mL5/TBVO8N//5+9PwETn6Me+4Vu35H8+
yB9iAX5fB/7R6y4emyiNnmmI//jS37oQH33t5WP6+PRT3ID1drb/+Ctn5WP+PsjgWyv5o6+MCj2N
HrXrIntE6fjjNfner//oG2zqqEsjTRHf5ujxv7bqT+/f59vR/6Pvc8qQoMvefYFvx+kPv3AEM+an
j/ytf/vhVy6yp8f6ZXr3ob8dfz/60mfquXptfnzl78epj77yZfT6kqE5evfS30rTj77038uf743v
hf9HX/i2a54f83fX+Xv7+cOv/K+ld7/Nf9Ra+Z8tWn+dYvLBF/5rDuMHX/isSKPm9cd75PtB9qMX
/P4xTV//6+X//r1o3i/h30uAj77+TfQcpe/uFHXkeCu2P/zSPOsomd4tfr+fZ/7xi//Z/vr7XPOP
u+5v88o/+7+9LynUv3hOXx/rv/0/AAAA//8=</cx:binary>
              </cx:geoCache>
            </cx:geography>
          </cx:layoutPr>
        </cx:series>
      </cx:plotAreaRegion>
    </cx:plotArea>
    <cx:legend pos="t" align="ctr" overlay="0"/>
  </cx:chart>
  <cx:spPr>
    <a:solidFill>
      <a:schemeClr val="lt1"/>
    </a:solidFill>
    <a:ln w="12700" cap="flat" cmpd="sng" algn="ctr">
      <a:noFill/>
      <a:prstDash val="solid"/>
      <a:miter lim="800000"/>
    </a:ln>
    <a:effectLst/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microsoft.com/office/2014/relationships/chartEx" Target="../charts/chartEx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530217</xdr:colOff>
      <xdr:row>1</xdr:row>
      <xdr:rowOff>171450</xdr:rowOff>
    </xdr:from>
    <xdr:to>
      <xdr:col>5</xdr:col>
      <xdr:colOff>539750</xdr:colOff>
      <xdr:row>9</xdr:row>
      <xdr:rowOff>42334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">
              <a:extLst>
                <a:ext uri="{FF2B5EF4-FFF2-40B4-BE49-F238E27FC236}">
                  <a16:creationId xmlns:a16="http://schemas.microsoft.com/office/drawing/2014/main" id="{359572CE-C3C9-4C76-989A-E46AA087FF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0217" y="361950"/>
              <a:ext cx="3212042" cy="14054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Sequenza temporale: funziona in Excel 2013 o versione successiva. Non è possibile spostarla o ridimensionarla.</a:t>
              </a:r>
            </a:p>
          </xdr:txBody>
        </xdr:sp>
      </mc:Fallback>
    </mc:AlternateContent>
    <xdr:clientData/>
  </xdr:twoCellAnchor>
  <xdr:twoCellAnchor>
    <xdr:from>
      <xdr:col>21</xdr:col>
      <xdr:colOff>158750</xdr:colOff>
      <xdr:row>10</xdr:row>
      <xdr:rowOff>131233</xdr:rowOff>
    </xdr:from>
    <xdr:to>
      <xdr:col>28</xdr:col>
      <xdr:colOff>433917</xdr:colOff>
      <xdr:row>43</xdr:row>
      <xdr:rowOff>63501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afico 2">
              <a:extLst>
                <a:ext uri="{FF2B5EF4-FFF2-40B4-BE49-F238E27FC236}">
                  <a16:creationId xmlns:a16="http://schemas.microsoft.com/office/drawing/2014/main" id="{DB79893C-DADC-414D-9A99-9CBEF1A2F2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960350" y="1855258"/>
              <a:ext cx="4542367" cy="62187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21</xdr:col>
      <xdr:colOff>158750</xdr:colOff>
      <xdr:row>1</xdr:row>
      <xdr:rowOff>127000</xdr:rowOff>
    </xdr:from>
    <xdr:to>
      <xdr:col>28</xdr:col>
      <xdr:colOff>433917</xdr:colOff>
      <xdr:row>10</xdr:row>
      <xdr:rowOff>31750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1690F606-A38C-4921-A365-EC9BD6B3A965}"/>
            </a:ext>
          </a:extLst>
        </xdr:cNvPr>
        <xdr:cNvSpPr/>
      </xdr:nvSpPr>
      <xdr:spPr>
        <a:xfrm>
          <a:off x="13049250" y="127000"/>
          <a:ext cx="4572000" cy="1439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 editAs="oneCell">
    <xdr:from>
      <xdr:col>22</xdr:col>
      <xdr:colOff>148171</xdr:colOff>
      <xdr:row>3</xdr:row>
      <xdr:rowOff>31750</xdr:rowOff>
    </xdr:from>
    <xdr:to>
      <xdr:col>23</xdr:col>
      <xdr:colOff>563181</xdr:colOff>
      <xdr:row>7</xdr:row>
      <xdr:rowOff>97484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94D9E5E-7CA4-477C-AA73-75784C824E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52504" y="412750"/>
          <a:ext cx="1028844" cy="838317"/>
        </a:xfrm>
        <a:prstGeom prst="rect">
          <a:avLst/>
        </a:prstGeom>
      </xdr:spPr>
    </xdr:pic>
    <xdr:clientData/>
  </xdr:twoCellAnchor>
  <xdr:twoCellAnchor>
    <xdr:from>
      <xdr:col>6</xdr:col>
      <xdr:colOff>130175</xdr:colOff>
      <xdr:row>11</xdr:row>
      <xdr:rowOff>87313</xdr:rowOff>
    </xdr:from>
    <xdr:to>
      <xdr:col>20</xdr:col>
      <xdr:colOff>429312</xdr:colOff>
      <xdr:row>27</xdr:row>
      <xdr:rowOff>10583</xdr:rowOff>
    </xdr:to>
    <xdr:graphicFrame macro="">
      <xdr:nvGraphicFramePr>
        <xdr:cNvPr id="5" name="Grafico 1">
          <a:extLst>
            <a:ext uri="{FF2B5EF4-FFF2-40B4-BE49-F238E27FC236}">
              <a16:creationId xmlns:a16="http://schemas.microsoft.com/office/drawing/2014/main" id="{1AAC2E04-D657-4413-BA49-36E1C83A71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507997</xdr:colOff>
      <xdr:row>11</xdr:row>
      <xdr:rowOff>31751</xdr:rowOff>
    </xdr:from>
    <xdr:to>
      <xdr:col>5</xdr:col>
      <xdr:colOff>603247</xdr:colOff>
      <xdr:row>43</xdr:row>
      <xdr:rowOff>21167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FiltroRegione">
              <a:extLst>
                <a:ext uri="{FF2B5EF4-FFF2-40B4-BE49-F238E27FC236}">
                  <a16:creationId xmlns:a16="http://schemas.microsoft.com/office/drawing/2014/main" id="{6A605533-20DB-4C02-80C9-2C568BB883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roRegion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7997" y="1947334"/>
              <a:ext cx="3164417" cy="60854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>
    <xdr:from>
      <xdr:col>6</xdr:col>
      <xdr:colOff>119590</xdr:colOff>
      <xdr:row>29</xdr:row>
      <xdr:rowOff>105835</xdr:rowOff>
    </xdr:from>
    <xdr:to>
      <xdr:col>13</xdr:col>
      <xdr:colOff>232834</xdr:colOff>
      <xdr:row>43</xdr:row>
      <xdr:rowOff>31751</xdr:rowOff>
    </xdr:to>
    <xdr:graphicFrame macro="">
      <xdr:nvGraphicFramePr>
        <xdr:cNvPr id="7" name="Grafico 3">
          <a:extLst>
            <a:ext uri="{FF2B5EF4-FFF2-40B4-BE49-F238E27FC236}">
              <a16:creationId xmlns:a16="http://schemas.microsoft.com/office/drawing/2014/main" id="{CBC75B64-77F1-45FD-AE5D-E01A1D10E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302684</xdr:colOff>
      <xdr:row>27</xdr:row>
      <xdr:rowOff>110597</xdr:rowOff>
    </xdr:from>
    <xdr:to>
      <xdr:col>20</xdr:col>
      <xdr:colOff>433915</xdr:colOff>
      <xdr:row>43</xdr:row>
      <xdr:rowOff>52917</xdr:rowOff>
    </xdr:to>
    <xdr:graphicFrame macro="">
      <xdr:nvGraphicFramePr>
        <xdr:cNvPr id="17" name="Grafico 4">
          <a:extLst>
            <a:ext uri="{FF2B5EF4-FFF2-40B4-BE49-F238E27FC236}">
              <a16:creationId xmlns:a16="http://schemas.microsoft.com/office/drawing/2014/main" id="{1B06E8FD-9BE8-48F2-BF13-3CBA585CF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3124998" backgroundQuery="1" createdVersion="6" refreshedVersion="6" minRefreshableVersion="3" recordCount="0" supportSubquery="1" supportAdvancedDrill="1" xr:uid="{B78817E8-CAD3-4BF0-B2CB-66DAB69029AE}">
  <cacheSource type="external" connectionId="3"/>
  <cacheFields count="2">
    <cacheField name="[Measures].[Massimo di totale_casi 2]" caption="Massimo di totale_casi 2" numFmtId="0" hierarchy="53" level="32767"/>
    <cacheField name="[dpc_covid19_ita_regioni].[denominazione_regione_adjust].[denominazione_regione_adjust]" caption="denominazione_regione_adjust" numFmtId="0" hierarchy="31" level="1">
      <sharedItems count="20">
        <s v="Abruzzo"/>
        <s v="Basilicata"/>
        <s v="Calabria"/>
        <s v="Campania"/>
        <s v="Emilia Romagna"/>
        <s v="Friuli 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"/>
        <s v="Umbria"/>
        <s v="Valle d'Aosta"/>
        <s v="Veneto"/>
      </sharedItems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1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3124998" backgroundQuery="1" createdVersion="6" refreshedVersion="6" minRefreshableVersion="3" recordCount="0" supportSubquery="1" supportAdvancedDrill="1" xr:uid="{D7E70031-50D2-45BA-A4A1-66AEE3451518}">
  <cacheSource type="external" connectionId="3"/>
  <cacheFields count="2">
    <cacheField name="[Measures].[Massimo di totale_casi]" caption="Massimo di totale_casi" numFmtId="0" hierarchy="42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1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3356483" backgroundQuery="1" createdVersion="6" refreshedVersion="6" minRefreshableVersion="3" recordCount="0" supportSubquery="1" supportAdvancedDrill="1" xr:uid="{BFBE2F95-7064-4791-8E10-80F51CB09EE2}">
  <cacheSource type="external" connectionId="3"/>
  <cacheFields count="2">
    <cacheField name="[Measures].[Massimo di dimessi_guariti]" caption="Massimo di dimessi_guariti" numFmtId="0" hierarchy="43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1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3472221" backgroundQuery="1" createdVersion="6" refreshedVersion="6" minRefreshableVersion="3" recordCount="0" supportSubquery="1" supportAdvancedDrill="1" xr:uid="{3AEDB236-9630-4E8B-AC51-46B7AFF37E8C}">
  <cacheSource type="external" connectionId="3"/>
  <cacheFields count="2">
    <cacheField name="[Measures].[Massimo di deceduti]" caption="Massimo di deceduti" numFmtId="0" hierarchy="44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1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3703706" backgroundQuery="1" createdVersion="6" refreshedVersion="6" minRefreshableVersion="3" recordCount="0" supportSubquery="1" supportAdvancedDrill="1" xr:uid="{CA13D991-3DA2-4174-BC7A-E6FC7A26C5D4}">
  <cacheSource type="external" connectionId="3"/>
  <cacheFields count="2">
    <cacheField name="[Measures].[Massimo di totale_attualmente_positivi]" caption="Massimo di totale_attualmente_positivi" numFmtId="0" hierarchy="41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1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4166668" backgroundQuery="1" createdVersion="6" refreshedVersion="6" minRefreshableVersion="3" recordCount="0" supportSubquery="1" supportAdvancedDrill="1" xr:uid="{EE673BF1-4CDC-4BE9-9477-F8397D475970}">
  <cacheSource type="external" connectionId="3"/>
  <cacheFields count="5">
    <cacheField name="[dpc_covid19_ita_regioni].[data].[data]" caption="data" numFmtId="0" hierarchy="15" level="1">
      <sharedItems containsSemiMixedTypes="0" containsNonDate="0" containsDate="1" containsString="0" minDate="2020-02-24T18:00:00" maxDate="2020-03-10T18:00:00" count="16">
        <d v="2020-02-24T18:00:00"/>
        <d v="2020-02-25T18:00:00"/>
        <d v="2020-02-26T18:00:00"/>
        <d v="2020-02-27T18:00:00"/>
        <d v="2020-02-28T18:00:00"/>
        <d v="2020-02-29T17:00:00"/>
        <d v="2020-03-01T17:00:00"/>
        <d v="2020-03-02T18:00:00"/>
        <d v="2020-03-03T18:00:00"/>
        <d v="2020-03-04T17:00:00"/>
        <d v="2020-03-05T17:00:00"/>
        <d v="2020-03-06T17:00:00"/>
        <d v="2020-03-07T18:00:00"/>
        <d v="2020-03-08T18:00:00"/>
        <d v="2020-03-09T18:00:00"/>
        <d v="2020-03-10T18:00:00"/>
      </sharedItems>
      <extLst>
        <ext xmlns:x15="http://schemas.microsoft.com/office/spreadsheetml/2010/11/main" uri="{4F2E5C28-24EA-4eb8-9CBF-B6C8F9C3D259}">
          <x15:cachedUniqueNames>
            <x15:cachedUniqueName index="0" name="[dpc_covid19_ita_regioni].[data].&amp;[2020-02-24T18:00:00]"/>
            <x15:cachedUniqueName index="1" name="[dpc_covid19_ita_regioni].[data].&amp;[2020-02-25T18:00:00]"/>
            <x15:cachedUniqueName index="2" name="[dpc_covid19_ita_regioni].[data].&amp;[2020-02-26T18:00:00]"/>
            <x15:cachedUniqueName index="3" name="[dpc_covid19_ita_regioni].[data].&amp;[2020-02-27T18:00:00]"/>
            <x15:cachedUniqueName index="4" name="[dpc_covid19_ita_regioni].[data].&amp;[2020-02-28T18:00:00]"/>
            <x15:cachedUniqueName index="5" name="[dpc_covid19_ita_regioni].[data].&amp;[2020-02-29T17:00:00]"/>
            <x15:cachedUniqueName index="6" name="[dpc_covid19_ita_regioni].[data].&amp;[2020-03-01T17:00:00]"/>
            <x15:cachedUniqueName index="7" name="[dpc_covid19_ita_regioni].[data].&amp;[2020-03-02T18:00:00]"/>
            <x15:cachedUniqueName index="8" name="[dpc_covid19_ita_regioni].[data].&amp;[2020-03-03T18:00:00]"/>
            <x15:cachedUniqueName index="9" name="[dpc_covid19_ita_regioni].[data].&amp;[2020-03-04T17:00:00]"/>
            <x15:cachedUniqueName index="10" name="[dpc_covid19_ita_regioni].[data].&amp;[2020-03-05T17:00:00]"/>
            <x15:cachedUniqueName index="11" name="[dpc_covid19_ita_regioni].[data].&amp;[2020-03-06T17:00:00]"/>
            <x15:cachedUniqueName index="12" name="[dpc_covid19_ita_regioni].[data].&amp;[2020-03-07T18:00:00]"/>
            <x15:cachedUniqueName index="13" name="[dpc_covid19_ita_regioni].[data].&amp;[2020-03-08T18:00:00]"/>
            <x15:cachedUniqueName index="14" name="[dpc_covid19_ita_regioni].[data].&amp;[2020-03-09T18:00:00]"/>
            <x15:cachedUniqueName index="15" name="[dpc_covid19_ita_regioni].[data].&amp;[2020-03-10T18:00:00]"/>
          </x15:cachedUniqueNames>
        </ext>
      </extLst>
    </cacheField>
    <cacheField name="[Measures].[Somma di totale_casi 2]" caption="Somma di totale_casi 2" numFmtId="0" hierarchy="52" level="32767"/>
    <cacheField name="[Measures].[Somma di dimessi_guariti 2]" caption="Somma di dimessi_guariti 2" numFmtId="0" hierarchy="56" level="32767"/>
    <cacheField name="[Measures].[Somma di deceduti 2]" caption="Somma di deceduti 2" numFmtId="0" hierarchy="55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2" memberValueDatatype="7" unbalanced="0">
      <fieldsUsage count="2">
        <fieldUsage x="-1"/>
        <fieldUsage x="0"/>
      </fieldsUsage>
    </cacheHierarchy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4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4513891" backgroundQuery="1" createdVersion="6" refreshedVersion="6" minRefreshableVersion="3" recordCount="0" supportSubquery="1" supportAdvancedDrill="1" xr:uid="{F048591B-02FF-41DA-BA1D-C36FC5A20E4C}">
  <cacheSource type="external" connectionId="3"/>
  <cacheFields count="3">
    <cacheField name="[dpc_covid19_ita_regioni].[data].[data]" caption="data" numFmtId="0" hierarchy="15" level="1">
      <sharedItems containsSemiMixedTypes="0" containsNonDate="0" containsDate="1" containsString="0" minDate="2020-02-24T18:00:00" maxDate="2020-03-10T18:00:00" count="16">
        <d v="2020-02-24T18:00:00"/>
        <d v="2020-02-25T18:00:00"/>
        <d v="2020-02-26T18:00:00"/>
        <d v="2020-02-27T18:00:00"/>
        <d v="2020-02-28T18:00:00"/>
        <d v="2020-02-29T17:00:00"/>
        <d v="2020-03-01T17:00:00"/>
        <d v="2020-03-02T18:00:00"/>
        <d v="2020-03-03T18:00:00"/>
        <d v="2020-03-04T17:00:00"/>
        <d v="2020-03-05T17:00:00"/>
        <d v="2020-03-06T17:00:00"/>
        <d v="2020-03-07T18:00:00"/>
        <d v="2020-03-08T18:00:00"/>
        <d v="2020-03-09T18:00:00"/>
        <d v="2020-03-10T18:00:00"/>
      </sharedItems>
      <extLst>
        <ext xmlns:x15="http://schemas.microsoft.com/office/spreadsheetml/2010/11/main" uri="{4F2E5C28-24EA-4eb8-9CBF-B6C8F9C3D259}">
          <x15:cachedUniqueNames>
            <x15:cachedUniqueName index="0" name="[dpc_covid19_ita_regioni].[data].&amp;[2020-02-24T18:00:00]"/>
            <x15:cachedUniqueName index="1" name="[dpc_covid19_ita_regioni].[data].&amp;[2020-02-25T18:00:00]"/>
            <x15:cachedUniqueName index="2" name="[dpc_covid19_ita_regioni].[data].&amp;[2020-02-26T18:00:00]"/>
            <x15:cachedUniqueName index="3" name="[dpc_covid19_ita_regioni].[data].&amp;[2020-02-27T18:00:00]"/>
            <x15:cachedUniqueName index="4" name="[dpc_covid19_ita_regioni].[data].&amp;[2020-02-28T18:00:00]"/>
            <x15:cachedUniqueName index="5" name="[dpc_covid19_ita_regioni].[data].&amp;[2020-02-29T17:00:00]"/>
            <x15:cachedUniqueName index="6" name="[dpc_covid19_ita_regioni].[data].&amp;[2020-03-01T17:00:00]"/>
            <x15:cachedUniqueName index="7" name="[dpc_covid19_ita_regioni].[data].&amp;[2020-03-02T18:00:00]"/>
            <x15:cachedUniqueName index="8" name="[dpc_covid19_ita_regioni].[data].&amp;[2020-03-03T18:00:00]"/>
            <x15:cachedUniqueName index="9" name="[dpc_covid19_ita_regioni].[data].&amp;[2020-03-04T17:00:00]"/>
            <x15:cachedUniqueName index="10" name="[dpc_covid19_ita_regioni].[data].&amp;[2020-03-05T17:00:00]"/>
            <x15:cachedUniqueName index="11" name="[dpc_covid19_ita_regioni].[data].&amp;[2020-03-06T17:00:00]"/>
            <x15:cachedUniqueName index="12" name="[dpc_covid19_ita_regioni].[data].&amp;[2020-03-07T18:00:00]"/>
            <x15:cachedUniqueName index="13" name="[dpc_covid19_ita_regioni].[data].&amp;[2020-03-08T18:00:00]"/>
            <x15:cachedUniqueName index="14" name="[dpc_covid19_ita_regioni].[data].&amp;[2020-03-09T18:00:00]"/>
            <x15:cachedUniqueName index="15" name="[dpc_covid19_ita_regioni].[data].&amp;[2020-03-10T18:00:00]"/>
          </x15:cachedUniqueNames>
        </ext>
      </extLst>
    </cacheField>
    <cacheField name="[Measures].[Somma di nuovi_attualmente_positivi 2]" caption="Somma di nuovi_attualmente_positivi 2" numFmtId="0" hierarchy="57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2" memberValueDatatype="7" unbalanced="0">
      <fieldsUsage count="2">
        <fieldUsage x="-1"/>
        <fieldUsage x="0"/>
      </fieldsUsage>
    </cacheHierarchy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2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4861114" backgroundQuery="1" createdVersion="6" refreshedVersion="6" minRefreshableVersion="3" recordCount="0" supportSubquery="1" supportAdvancedDrill="1" xr:uid="{A5236CA6-6E5D-4C6D-B13D-72813898DFA2}">
  <cacheSource type="external" connectionId="3"/>
  <cacheFields count="5">
    <cacheField name="[dpc_covid19_ita_regioni].[data].[data]" caption="data" numFmtId="0" hierarchy="15" level="1">
      <sharedItems containsSemiMixedTypes="0" containsNonDate="0" containsDate="1" containsString="0" minDate="2020-02-24T18:00:00" maxDate="2020-03-10T18:00:00" count="16">
        <d v="2020-02-24T18:00:00"/>
        <d v="2020-02-25T18:00:00"/>
        <d v="2020-02-26T18:00:00"/>
        <d v="2020-02-27T18:00:00"/>
        <d v="2020-02-28T18:00:00"/>
        <d v="2020-02-29T17:00:00"/>
        <d v="2020-03-01T17:00:00"/>
        <d v="2020-03-02T18:00:00"/>
        <d v="2020-03-03T18:00:00"/>
        <d v="2020-03-04T17:00:00"/>
        <d v="2020-03-05T17:00:00"/>
        <d v="2020-03-06T17:00:00"/>
        <d v="2020-03-07T18:00:00"/>
        <d v="2020-03-08T18:00:00"/>
        <d v="2020-03-09T18:00:00"/>
        <d v="2020-03-10T18:00:00"/>
      </sharedItems>
      <extLst>
        <ext xmlns:x15="http://schemas.microsoft.com/office/spreadsheetml/2010/11/main" uri="{4F2E5C28-24EA-4eb8-9CBF-B6C8F9C3D259}">
          <x15:cachedUniqueNames>
            <x15:cachedUniqueName index="0" name="[dpc_covid19_ita_regioni].[data].&amp;[2020-02-24T18:00:00]"/>
            <x15:cachedUniqueName index="1" name="[dpc_covid19_ita_regioni].[data].&amp;[2020-02-25T18:00:00]"/>
            <x15:cachedUniqueName index="2" name="[dpc_covid19_ita_regioni].[data].&amp;[2020-02-26T18:00:00]"/>
            <x15:cachedUniqueName index="3" name="[dpc_covid19_ita_regioni].[data].&amp;[2020-02-27T18:00:00]"/>
            <x15:cachedUniqueName index="4" name="[dpc_covid19_ita_regioni].[data].&amp;[2020-02-28T18:00:00]"/>
            <x15:cachedUniqueName index="5" name="[dpc_covid19_ita_regioni].[data].&amp;[2020-02-29T17:00:00]"/>
            <x15:cachedUniqueName index="6" name="[dpc_covid19_ita_regioni].[data].&amp;[2020-03-01T17:00:00]"/>
            <x15:cachedUniqueName index="7" name="[dpc_covid19_ita_regioni].[data].&amp;[2020-03-02T18:00:00]"/>
            <x15:cachedUniqueName index="8" name="[dpc_covid19_ita_regioni].[data].&amp;[2020-03-03T18:00:00]"/>
            <x15:cachedUniqueName index="9" name="[dpc_covid19_ita_regioni].[data].&amp;[2020-03-04T17:00:00]"/>
            <x15:cachedUniqueName index="10" name="[dpc_covid19_ita_regioni].[data].&amp;[2020-03-05T17:00:00]"/>
            <x15:cachedUniqueName index="11" name="[dpc_covid19_ita_regioni].[data].&amp;[2020-03-06T17:00:00]"/>
            <x15:cachedUniqueName index="12" name="[dpc_covid19_ita_regioni].[data].&amp;[2020-03-07T18:00:00]"/>
            <x15:cachedUniqueName index="13" name="[dpc_covid19_ita_regioni].[data].&amp;[2020-03-08T18:00:00]"/>
            <x15:cachedUniqueName index="14" name="[dpc_covid19_ita_regioni].[data].&amp;[2020-03-09T18:00:00]"/>
            <x15:cachedUniqueName index="15" name="[dpc_covid19_ita_regioni].[data].&amp;[2020-03-10T18:00:00]"/>
          </x15:cachedUniqueNames>
        </ext>
      </extLst>
    </cacheField>
    <cacheField name="[Measures].[Somma di terapia_intensiva 2]" caption="Somma di terapia_intensiva 2" numFmtId="0" hierarchy="58" level="32767"/>
    <cacheField name="[Measures].[Somma di totale_ospedalizzati 2]" caption="Somma di totale_ospedalizzati 2" numFmtId="0" hierarchy="59" level="32767"/>
    <cacheField name="[Measures].[Somma di isolamento_domiciliare]" caption="Somma di isolamento_domiciliare" numFmtId="0" hierarchy="60" level="32767"/>
    <cacheField name="[dpc_covid19_ita_regioni].[denominazione_regione_adjust].[denominazione_regione_adjust]" caption="denominazione_regione_adjust" numFmtId="0" hierarchy="31" level="1">
      <sharedItems containsSemiMixedTypes="0" containsNonDate="0" containsString="0"/>
    </cacheField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2" memberValueDatatype="7" unbalanced="0">
      <fieldsUsage count="2">
        <fieldUsage x="-1"/>
        <fieldUsage x="0"/>
      </fieldsUsage>
    </cacheHierarchy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4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53905324076" backgroundQuery="1" createdVersion="6" refreshedVersion="6" minRefreshableVersion="3" recordCount="0" supportSubquery="1" supportAdvancedDrill="1" xr:uid="{E0272D46-0F6D-4980-85F8-AF4A49999A94}">
  <cacheSource type="external" connectionId="3"/>
  <cacheFields count="5">
    <cacheField name="[dpc_covid19_ita_regioni].[denominazione_regione_adjust].[denominazione_regione_adjust]" caption="denominazione_regione_adjust" numFmtId="0" hierarchy="31" level="1">
      <sharedItems count="20">
        <s v="Abruzzo"/>
        <s v="Basilicata"/>
        <s v="Calabria"/>
        <s v="Campania"/>
        <s v="Emilia Romagna"/>
        <s v="Friuli 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"/>
        <s v="Umbria"/>
        <s v="Valle d'Aosta"/>
        <s v="Veneto"/>
      </sharedItems>
    </cacheField>
    <cacheField name="[Measures].[Massimo di deceduti 2]" caption="Massimo di deceduti 2" numFmtId="0" hierarchy="61" level="32767"/>
    <cacheField name="[Measures].[Massimo di dimessi_guariti 2]" caption="Massimo di dimessi_guariti 2" numFmtId="0" hierarchy="62" level="32767"/>
    <cacheField name="[Measures].[Massimo di totale_casi 2]" caption="Massimo di totale_casi 2" numFmtId="0" hierarchy="53" level="32767"/>
    <cacheField name="[Measures].[Massimo di totale_attualmente_positivi 2]" caption="Massimo di totale_attualmente_positivi 2" numFmtId="0" hierarchy="50" level="32767"/>
  </cacheFields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>
      <fieldsUsage count="2">
        <fieldUsage x="-1"/>
        <fieldUsage x="0"/>
      </fieldsUsage>
    </cacheHierarchy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3">
    <dimension name="dpc_covid19_ita_andamento_nazionale" uniqueName="[dpc_covid19_ita_andamento_nazionale]" caption="dpc_covid19_ita_andamento_nazionale"/>
    <dimension name="dpc_covid19_ita_regioni" uniqueName="[dpc_covid19_ita_regioni]" caption="dpc_covid19_ita_regioni"/>
    <dimension measure="1" name="Measures" uniqueName="[Measures]" caption="Measures"/>
  </dimensions>
  <measureGroups count="2">
    <measureGroup name="dpc_covid19_ita_andamento_nazionale" caption="dpc_covid19_ita_andamento_nazionale"/>
    <measureGroup name="dpc_covid19_ita_regioni" caption="dpc_covid19_ita_regioni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1001574074" backgroundQuery="1" createdVersion="3" refreshedVersion="6" minRefreshableVersion="3" recordCount="0" supportSubquery="1" supportAdvancedDrill="1" xr:uid="{4871F677-333C-4FFB-AA9A-2476EA95A292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0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2" memberValueDatatype="13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02206351"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lessandro Maramotti" refreshedDate="43901.710016087964" backgroundQuery="1" createdVersion="3" refreshedVersion="6" minRefreshableVersion="3" recordCount="0" supportSubquery="1" supportAdvancedDrill="1" xr:uid="{F3D9911E-821C-44ED-9A97-844BC0EABD2B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3">
    <cacheHierarchy uniqueName="[dpc_covid19_ita_andamento_nazionale].[data]" caption="data" attribute="1" time="1" defaultMemberUniqueName="[dpc_covid19_ita_andamento_nazionale].[data].[All]" allUniqueName="[dpc_covid19_ita_andamento_nazionale].[data].[All]" dimensionUniqueName="[dpc_covid19_ita_andamento_nazionale]" displayFolder="" count="2" memberValueDatatype="7" unbalanced="0"/>
    <cacheHierarchy uniqueName="[dpc_covid19_ita_andamento_nazionale].[stato]" caption="stato" attribute="1" defaultMemberUniqueName="[dpc_covid19_ita_andamento_nazionale].[stato].[All]" allUniqueName="[dpc_covid19_ita_andamento_nazionale].[stato].[All]" dimensionUniqueName="[dpc_covid19_ita_andamento_nazionale]" displayFolder="" count="0" memberValueDatatype="130" unbalanced="0"/>
    <cacheHierarchy uniqueName="[dpc_covid19_ita_andamento_nazionale].[ricoverati_con_sintomi]" caption="ricoverati_con_sintomi" attribute="1" defaultMemberUniqueName="[dpc_covid19_ita_andamento_nazionale].[ricoverati_con_sintomi].[All]" allUniqueName="[dpc_covid19_ita_andamento_nazionale].[ricoverati_con_sintomi].[All]" dimensionUniqueName="[dpc_covid19_ita_andamento_nazionale]" displayFolder="" count="0" memberValueDatatype="20" unbalanced="0"/>
    <cacheHierarchy uniqueName="[dpc_covid19_ita_andamento_nazionale].[terapia_intensiva]" caption="terapia_intensiva" attribute="1" defaultMemberUniqueName="[dpc_covid19_ita_andamento_nazionale].[terapia_intensiva].[All]" allUniqueName="[dpc_covid19_ita_andamento_nazionale].[terapia_intensiva].[All]" dimensionUniqueName="[dpc_covid19_ita_andamento_nazionale]" displayFolder="" count="0" memberValueDatatype="20" unbalanced="0"/>
    <cacheHierarchy uniqueName="[dpc_covid19_ita_andamento_nazionale].[totale_ospedalizzati]" caption="totale_ospedalizzati" attribute="1" defaultMemberUniqueName="[dpc_covid19_ita_andamento_nazionale].[totale_ospedalizzati].[All]" allUniqueName="[dpc_covid19_ita_andamento_nazionale].[totale_ospedalizzati].[All]" dimensionUniqueName="[dpc_covid19_ita_andamento_nazionale]" displayFolder="" count="0" memberValueDatatype="20" unbalanced="0"/>
    <cacheHierarchy uniqueName="[dpc_covid19_ita_andamento_nazionale].[isolamento_domiciliare]" caption="isolamento_domiciliare" attribute="1" defaultMemberUniqueName="[dpc_covid19_ita_andamento_nazionale].[isolamento_domiciliare].[All]" allUniqueName="[dpc_covid19_ita_andamento_nazionale].[isolamento_domiciliare].[All]" dimensionUniqueName="[dpc_covid19_ita_andamento_nazionale]" displayFolder="" count="0" memberValueDatatype="20" unbalanced="0"/>
    <cacheHierarchy uniqueName="[dpc_covid19_ita_andamento_nazionale].[totale_attualmente_positivi]" caption="totale_attualmente_positivi" attribute="1" defaultMemberUniqueName="[dpc_covid19_ita_andamento_nazionale].[totale_attualmente_positivi].[All]" allUniqueName="[dpc_covid19_ita_andamento_nazionale].[totale_attualmente_positivi].[All]" dimensionUniqueName="[dpc_covid19_ita_andamento_nazionale]" displayFolder="" count="0" memberValueDatatype="20" unbalanced="0"/>
    <cacheHierarchy uniqueName="[dpc_covid19_ita_andamento_nazionale].[nuovi_attualmente_positivi]" caption="nuovi_attualmente_positivi" attribute="1" defaultMemberUniqueName="[dpc_covid19_ita_andamento_nazionale].[nuovi_attualmente_positivi].[All]" allUniqueName="[dpc_covid19_ita_andamento_nazionale].[nuovi_attualmente_positivi].[All]" dimensionUniqueName="[dpc_covid19_ita_andamento_nazionale]" displayFolder="" count="0" memberValueDatatype="20" unbalanced="0"/>
    <cacheHierarchy uniqueName="[dpc_covid19_ita_andamento_nazionale].[dimessi_guariti]" caption="dimessi_guariti" attribute="1" defaultMemberUniqueName="[dpc_covid19_ita_andamento_nazionale].[dimessi_guariti].[All]" allUniqueName="[dpc_covid19_ita_andamento_nazionale].[dimessi_guariti].[All]" dimensionUniqueName="[dpc_covid19_ita_andamento_nazionale]" displayFolder="" count="0" memberValueDatatype="20" unbalanced="0"/>
    <cacheHierarchy uniqueName="[dpc_covid19_ita_andamento_nazionale].[deceduti]" caption="deceduti" attribute="1" defaultMemberUniqueName="[dpc_covid19_ita_andamento_nazionale].[deceduti].[All]" allUniqueName="[dpc_covid19_ita_andamento_nazionale].[deceduti].[All]" dimensionUniqueName="[dpc_covid19_ita_andamento_nazionale]" displayFolder="" count="0" memberValueDatatype="20" unbalanced="0"/>
    <cacheHierarchy uniqueName="[dpc_covid19_ita_andamento_nazionale].[totale_casi]" caption="totale_casi" attribute="1" defaultMemberUniqueName="[dpc_covid19_ita_andamento_nazionale].[totale_casi].[All]" allUniqueName="[dpc_covid19_ita_andamento_nazionale].[totale_casi].[All]" dimensionUniqueName="[dpc_covid19_ita_andamento_nazionale]" displayFolder="" count="0" memberValueDatatype="20" unbalanced="0"/>
    <cacheHierarchy uniqueName="[dpc_covid19_ita_andamento_nazionale].[tamponi]" caption="tamponi" attribute="1" defaultMemberUniqueName="[dpc_covid19_ita_andamento_nazionale].[tamponi].[All]" allUniqueName="[dpc_covid19_ita_andamento_nazionale].[tamponi].[All]" dimensionUniqueName="[dpc_covid19_ita_andamento_nazionale]" displayFolder="" count="0" memberValueDatatype="20" unbalanced="0"/>
    <cacheHierarchy uniqueName="[dpc_covid19_ita_andamento_nazionale].[giorno]" caption="giorno" attribute="1" defaultMemberUniqueName="[dpc_covid19_ita_andamento_nazionale].[giorno].[All]" allUniqueName="[dpc_covid19_ita_andamento_nazionale].[giorno].[All]" dimensionUniqueName="[dpc_covid19_ita_andamento_nazionale]" displayFolder="" count="0" memberValueDatatype="20" unbalanced="0"/>
    <cacheHierarchy uniqueName="[dpc_covid19_ita_andamento_nazionale].[mese]" caption="mese" attribute="1" defaultMemberUniqueName="[dpc_covid19_ita_andamento_nazionale].[mese].[All]" allUniqueName="[dpc_covid19_ita_andamento_nazionale].[mese].[All]" dimensionUniqueName="[dpc_covid19_ita_andamento_nazionale]" displayFolder="" count="0" memberValueDatatype="20" unbalanced="0"/>
    <cacheHierarchy uniqueName="[dpc_covid19_ita_andamento_nazionale].[anno]" caption="anno" attribute="1" defaultMemberUniqueName="[dpc_covid19_ita_andamento_nazionale].[anno].[All]" allUniqueName="[dpc_covid19_ita_andamento_nazionale].[anno].[All]" dimensionUniqueName="[dpc_covid19_ita_andamento_nazionale]" displayFolder="" count="0" memberValueDatatype="20" unbalanced="0"/>
    <cacheHierarchy uniqueName="[dpc_covid19_ita_regioni].[data]" caption="data" attribute="1" time="1" defaultMemberUniqueName="[dpc_covid19_ita_regioni].[data].[All]" allUniqueName="[dpc_covid19_ita_regioni].[data].[All]" dimensionUniqueName="[dpc_covid19_ita_regioni]" displayFolder="" count="0" memberValueDatatype="7" unbalanced="0"/>
    <cacheHierarchy uniqueName="[dpc_covid19_ita_regioni].[stato]" caption="stato" attribute="1" defaultMemberUniqueName="[dpc_covid19_ita_regioni].[stato].[All]" allUniqueName="[dpc_covid19_ita_regioni].[stato].[All]" dimensionUniqueName="[dpc_covid19_ita_regioni]" displayFolder="" count="0" memberValueDatatype="130" unbalanced="0"/>
    <cacheHierarchy uniqueName="[dpc_covid19_ita_regioni].[codice_regione]" caption="codice_regione" attribute="1" defaultMemberUniqueName="[dpc_covid19_ita_regioni].[codice_regione].[All]" allUniqueName="[dpc_covid19_ita_regioni].[codice_regione].[All]" dimensionUniqueName="[dpc_covid19_ita_regioni]" displayFolder="" count="0" memberValueDatatype="20" unbalanced="0"/>
    <cacheHierarchy uniqueName="[dpc_covid19_ita_regioni].[denominazione_regione]" caption="denominazione_regione" attribute="1" defaultMemberUniqueName="[dpc_covid19_ita_regioni].[denominazione_regione].[All]" allUniqueName="[dpc_covid19_ita_regioni].[denominazione_regione].[All]" dimensionUniqueName="[dpc_covid19_ita_regioni]" displayFolder="" count="0" memberValueDatatype="130" unbalanced="0"/>
    <cacheHierarchy uniqueName="[dpc_covid19_ita_regioni].[lat]" caption="lat" attribute="1" defaultMemberUniqueName="[dpc_covid19_ita_regioni].[lat].[All]" allUniqueName="[dpc_covid19_ita_regioni].[lat].[All]" dimensionUniqueName="[dpc_covid19_ita_regioni]" displayFolder="" count="0" memberValueDatatype="5" unbalanced="0"/>
    <cacheHierarchy uniqueName="[dpc_covid19_ita_regioni].[long]" caption="long" attribute="1" defaultMemberUniqueName="[dpc_covid19_ita_regioni].[long].[All]" allUniqueName="[dpc_covid19_ita_regioni].[long].[All]" dimensionUniqueName="[dpc_covid19_ita_regioni]" displayFolder="" count="0" memberValueDatatype="5" unbalanced="0"/>
    <cacheHierarchy uniqueName="[dpc_covid19_ita_regioni].[ricoverati_con_sintomi]" caption="ricoverati_con_sintomi" attribute="1" defaultMemberUniqueName="[dpc_covid19_ita_regioni].[ricoverati_con_sintomi].[All]" allUniqueName="[dpc_covid19_ita_regioni].[ricoverati_con_sintomi].[All]" dimensionUniqueName="[dpc_covid19_ita_regioni]" displayFolder="" count="0" memberValueDatatype="20" unbalanced="0"/>
    <cacheHierarchy uniqueName="[dpc_covid19_ita_regioni].[terapia_intensiva]" caption="terapia_intensiva" attribute="1" defaultMemberUniqueName="[dpc_covid19_ita_regioni].[terapia_intensiva].[All]" allUniqueName="[dpc_covid19_ita_regioni].[terapia_intensiva].[All]" dimensionUniqueName="[dpc_covid19_ita_regioni]" displayFolder="" count="0" memberValueDatatype="20" unbalanced="0"/>
    <cacheHierarchy uniqueName="[dpc_covid19_ita_regioni].[totale_ospedalizzati]" caption="totale_ospedalizzati" attribute="1" defaultMemberUniqueName="[dpc_covid19_ita_regioni].[totale_ospedalizzati].[All]" allUniqueName="[dpc_covid19_ita_regioni].[totale_ospedalizzati].[All]" dimensionUniqueName="[dpc_covid19_ita_regioni]" displayFolder="" count="0" memberValueDatatype="20" unbalanced="0"/>
    <cacheHierarchy uniqueName="[dpc_covid19_ita_regioni].[isolamento_domiciliare]" caption="isolamento_domiciliare" attribute="1" defaultMemberUniqueName="[dpc_covid19_ita_regioni].[isolamento_domiciliare].[All]" allUniqueName="[dpc_covid19_ita_regioni].[isolamento_domiciliare].[All]" dimensionUniqueName="[dpc_covid19_ita_regioni]" displayFolder="" count="0" memberValueDatatype="20" unbalanced="0"/>
    <cacheHierarchy uniqueName="[dpc_covid19_ita_regioni].[totale_attualmente_positivi]" caption="totale_attualmente_positivi" attribute="1" defaultMemberUniqueName="[dpc_covid19_ita_regioni].[totale_attualmente_positivi].[All]" allUniqueName="[dpc_covid19_ita_regioni].[totale_attualmente_positivi].[All]" dimensionUniqueName="[dpc_covid19_ita_regioni]" displayFolder="" count="0" memberValueDatatype="20" unbalanced="0"/>
    <cacheHierarchy uniqueName="[dpc_covid19_ita_regioni].[nuovi_attualmente_positivi]" caption="nuovi_attualmente_positivi" attribute="1" defaultMemberUniqueName="[dpc_covid19_ita_regioni].[nuovi_attualmente_positivi].[All]" allUniqueName="[dpc_covid19_ita_regioni].[nuovi_attualmente_positivi].[All]" dimensionUniqueName="[dpc_covid19_ita_regioni]" displayFolder="" count="0" memberValueDatatype="20" unbalanced="0"/>
    <cacheHierarchy uniqueName="[dpc_covid19_ita_regioni].[dimessi_guariti]" caption="dimessi_guariti" attribute="1" defaultMemberUniqueName="[dpc_covid19_ita_regioni].[dimessi_guariti].[All]" allUniqueName="[dpc_covid19_ita_regioni].[dimessi_guariti].[All]" dimensionUniqueName="[dpc_covid19_ita_regioni]" displayFolder="" count="0" memberValueDatatype="20" unbalanced="0"/>
    <cacheHierarchy uniqueName="[dpc_covid19_ita_regioni].[deceduti]" caption="deceduti" attribute="1" defaultMemberUniqueName="[dpc_covid19_ita_regioni].[deceduti].[All]" allUniqueName="[dpc_covid19_ita_regioni].[deceduti].[All]" dimensionUniqueName="[dpc_covid19_ita_regioni]" displayFolder="" count="0" memberValueDatatype="20" unbalanced="0"/>
    <cacheHierarchy uniqueName="[dpc_covid19_ita_regioni].[totale_casi]" caption="totale_casi" attribute="1" defaultMemberUniqueName="[dpc_covid19_ita_regioni].[totale_casi].[All]" allUniqueName="[dpc_covid19_ita_regioni].[totale_casi].[All]" dimensionUniqueName="[dpc_covid19_ita_regioni]" displayFolder="" count="0" memberValueDatatype="20" unbalanced="0"/>
    <cacheHierarchy uniqueName="[dpc_covid19_ita_regioni].[tamponi]" caption="tamponi" attribute="1" defaultMemberUniqueName="[dpc_covid19_ita_regioni].[tamponi].[All]" allUniqueName="[dpc_covid19_ita_regioni].[tamponi].[All]" dimensionUniqueName="[dpc_covid19_ita_regioni]" displayFolder="" count="0" memberValueDatatype="20" unbalanced="0"/>
    <cacheHierarchy uniqueName="[dpc_covid19_ita_regioni].[denominazione_regione_adjust]" caption="denominazione_regione_adjust" attribute="1" defaultMemberUniqueName="[dpc_covid19_ita_regioni].[denominazione_regione_adjust].[All]" allUniqueName="[dpc_covid19_ita_regioni].[denominazione_regione_adjust].[All]" dimensionUniqueName="[dpc_covid19_ita_regioni]" displayFolder="" count="0" memberValueDatatype="130" unbalanced="0"/>
    <cacheHierarchy uniqueName="[Measures].[__XL_Count dpc_covid19_ita_andamento_nazionale]" caption="__XL_Count dpc_covid19_ita_andamento_nazionale" measure="1" displayFolder="" measureGroup="dpc_covid19_ita_andamento_nazionale" count="0" hidden="1"/>
    <cacheHierarchy uniqueName="[Measures].[__XL_Count dpc_covid19_ita_regioni]" caption="__XL_Count dpc_covid19_ita_regioni" measure="1" displayFolder="" measureGroup="dpc_covid19_ita_regioni" count="0" hidden="1"/>
    <cacheHierarchy uniqueName="[Measures].[__Nessuna misura definita]" caption="__Nessuna misura definita" measure="1" displayFolder="" count="0" hidden="1"/>
    <cacheHierarchy uniqueName="[Measures].[Somma di totale_casi]" caption="Somma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deceduti]" caption="Somma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otale_attualmente_positivi]" caption="Somma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nuovi_attualmente_positivi]" caption="Somma di nuovi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ma di dimessi_guariti]" caption="Somma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ma di totale_ospedalizzati]" caption="Somma di totale_ospedalizza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assimo di totale_attualmente_positivi]" caption="Massimo di totale_attualmente_positiv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Massimo di totale_casi]" caption="Massimo di totale_cas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ssimo di dimessi_guariti]" caption="Massimo di dimessi_guari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assimo di deceduti]" caption="Massimo di deceduti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terapia_intensiva]" caption="Somma di terapia_intensiva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giorno]" caption="Somma di giorno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mese]" caption="Somma di mese" measure="1" displayFolder="" measureGroup="dpc_covid19_ita_andamento_nazional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ma di codice_regione]" caption="Somma di codice_region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ma di totale_attualmente_positivi 2]" caption="Somma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Massimo di totale_attualmente_positivi 2]" caption="Massimo di totale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ma di lat]" caption="Somma di lat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a di totale_casi 2]" caption="Somma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Massimo di totale_casi 2]" caption="Massimo di totale_cas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omma di long]" caption="Somma di long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ma di deceduti 2]" caption="Somma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omma di dimessi_guariti 2]" caption="Somma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ma di nuovi_attualmente_positivi 2]" caption="Somma di nuovi_attualmente_positiv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omma di terapia_intensiva 2]" caption="Somma di terapia_intensiva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ma di totale_ospedalizzati 2]" caption="Somma di totale_ospedalizza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ma di isolamento_domiciliare]" caption="Somma di isolamento_domiciliare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assimo di deceduti 2]" caption="Massimo di decedu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assimo di dimessi_guariti 2]" caption="Massimo di dimessi_guariti 2" measure="1" displayFolder="" measureGroup="dpc_covid19_ita_regioni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88592696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3DA31-6EE3-4510-8128-6CA120DA2630}" name="Tabella pivot1" cacheId="1303" applyNumberFormats="0" applyBorderFormats="0" applyFontFormats="0" applyPatternFormats="0" applyAlignmentFormats="0" applyWidthHeightFormats="1" dataCaption="Valori" updatedVersion="6" minRefreshableVersion="3" useAutoFormatting="1" rowGrandTotals="0" colGrandTotals="0" itemPrintTitles="1" createdVersion="6" indent="0" outline="1" outlineData="1" multipleFieldFilters="0">
  <location ref="B28:F48" firstHeaderRow="0" firstDataRow="1" firstDataCol="1"/>
  <pivotFields count="5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assimo di totale_casi" fld="3" subtotal="max" baseField="0" baseItem="0"/>
    <dataField name="Massimo di dimessi_guariti" fld="2" subtotal="max" baseField="0" baseItem="0"/>
    <dataField name="Massimo di deceduti" fld="1" subtotal="max" baseField="0" baseItem="0"/>
    <dataField name="Massimo di totale_attualmente_positivi" fld="4" subtotal="max" baseField="0" baseItem="5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attualmente_positivi"/>
    <pivotHierarchy dragToData="1"/>
    <pivotHierarchy dragToData="1"/>
    <pivotHierarchy dragToData="1" caption="Massimo di totale_cas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deceduti"/>
    <pivotHierarchy dragToData="1" caption="Massimo di dimessi_guariti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360260-3C20-4087-8296-05637799B6E4}" name="Tabella pivot8" cacheId="1294" applyNumberFormats="0" applyBorderFormats="0" applyFontFormats="0" applyPatternFormats="0" applyAlignmentFormats="0" applyWidthHeightFormats="1" dataCaption="Valori" updatedVersion="6" minRefreshableVersion="3" useAutoFormatting="1" rowGrandTotals="0" colGrandTotals="0" itemPrintTitles="1" createdVersion="6" indent="0" outline="1" outlineData="1" multipleFieldFilters="0" chartFormat="2">
  <location ref="F5:I21" firstHeaderRow="0" firstDataRow="1" firstDataCol="1"/>
  <pivotFields count="5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E CASI" fld="1" baseField="0" baseItem="0"/>
    <dataField name="GUARITI" fld="2" baseField="0" baseItem="0"/>
    <dataField name="DECEDUTI" fld="3" baseField="0" baseItem="0"/>
  </dataFields>
  <formats count="3">
    <format dxfId="351">
      <pivotArea field="0" type="button" dataOnly="0" labelOnly="1" outline="0" axis="axisRow" fieldPosition="0"/>
    </format>
    <format dxfId="350">
      <pivotArea dataOnly="0" labelOnly="1" fieldPosition="0">
        <references count="1">
          <reference field="0" count="0"/>
        </references>
      </pivotArea>
    </format>
    <format dxfId="349">
      <pivotArea dataOnly="0" labelOnly="1" grandRow="1" outline="0" fieldPosition="0"/>
    </format>
  </formats>
  <chartFormats count="3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6B4AD1-2D6D-49E1-BF1D-8FBF4D861F1D}" name="Tabella pivot2" cacheId="1279" applyNumberFormats="0" applyBorderFormats="0" applyFontFormats="0" applyPatternFormats="0" applyAlignmentFormats="0" applyWidthHeightFormats="1" dataCaption="Valori" tag="4b6e6f9e-5ec9-4272-9f44-19ac7b585903" updatedVersion="6" minRefreshableVersion="3" useAutoFormatting="1" rowGrandTotals="0" colGrandTotals="0" itemPrintTitles="1" createdVersion="6" indent="0" outline="1" outlineData="1" multipleFieldFilters="0">
  <location ref="B5:C2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dataFields count="1">
    <dataField name="Massimo di totale_casi" fld="0" subtotal="max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attualmente_positivi"/>
    <pivotHierarchy dragToData="1"/>
    <pivotHierarchy dragToData="1" caption="Somma di totale_casi"/>
    <pivotHierarchy dragToData="1" caption="Massimo di totale_cas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BD64A-9409-4DFA-9D3E-066D0EAB4257}" name="Tabella pivot5" cacheId="1288" applyNumberFormats="0" applyBorderFormats="0" applyFontFormats="0" applyPatternFormats="0" applyAlignmentFormats="0" applyWidthHeightFormats="1" dataCaption="Valori" tag="167129ce-59a3-4d85-b7f8-84502f734a45" updatedVersion="6" minRefreshableVersion="5" useAutoFormatting="1" itemPrintTitles="1" createdVersion="6" indent="0" outline="1" outlineData="1" multipleFieldFilters="0">
  <location ref="F2:F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Massimo di deceduti" fld="0" subtotal="max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decedut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7E90E-0326-429B-A053-54AB46FA61C9}" name="Tabella pivot3" cacheId="1282" applyNumberFormats="0" applyBorderFormats="0" applyFontFormats="0" applyPatternFormats="0" applyAlignmentFormats="0" applyWidthHeightFormats="1" dataCaption="Valori" tag="5421e62f-46b1-4145-9f52-96c3c8bf46bb" updatedVersion="6" minRefreshableVersion="5" useAutoFormatting="1" subtotalHiddenItems="1" itemPrintTitles="1" createdVersion="6" indent="0" outline="1" outlineData="1" multipleFieldFilters="0">
  <location ref="B2:B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Massimo di totale_casi" fld="0" subtotal="max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cas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mma di totale_casi2"/>
    <pivotHierarchy dragToData="1" caption="Massimo di totale_casi2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pc_covid19_ita_andamento_nazionale]"/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E820B6-4E36-4DF6-BA6E-215A130D09E5}" name="Tabella pivot6" cacheId="1291" applyNumberFormats="0" applyBorderFormats="0" applyFontFormats="0" applyPatternFormats="0" applyAlignmentFormats="0" applyWidthHeightFormats="1" dataCaption="Valori" tag="f5aeba3a-0a0c-4bc1-85a0-ce39b541bd3e" updatedVersion="6" minRefreshableVersion="5" useAutoFormatting="1" itemPrintTitles="1" createdVersion="6" indent="0" outline="1" outlineData="1" multipleFieldFilters="0">
  <location ref="H2:H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Massimo di totale_attualmente_positivi" fld="0" subtotal="max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totale_attualmente_positiv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B522B-3891-4AD9-BCC4-0CB3E6BEFBB6}" name="Tabella pivot10" cacheId="1300" applyNumberFormats="0" applyBorderFormats="0" applyFontFormats="0" applyPatternFormats="0" applyAlignmentFormats="0" applyWidthHeightFormats="1" dataCaption="Valori" updatedVersion="6" minRefreshableVersion="3" useAutoFormatting="1" rowGrandTotals="0" colGrandTotals="0" itemPrintTitles="1" createdVersion="6" indent="0" outline="1" outlineData="1" multipleFieldFilters="0" chartFormat="2">
  <location ref="N5:Q21" firstHeaderRow="0" firstDataRow="1" firstDataCol="1"/>
  <pivotFields count="5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-2"/>
  </colFields>
  <colItems count="3">
    <i>
      <x/>
    </i>
    <i i="1">
      <x v="1"/>
    </i>
    <i i="2">
      <x v="2"/>
    </i>
  </colItems>
  <dataFields count="3">
    <dataField name="TERAPIA INTENSIVA" fld="1" baseField="0" baseItem="0"/>
    <dataField name="OSPEDALIZZATI" fld="2" baseField="0" baseItem="0"/>
    <dataField name="DOMICILIARE" fld="3" baseField="0" baseItem="0"/>
  </dataFields>
  <formats count="2">
    <format dxfId="353">
      <pivotArea field="0" type="button" dataOnly="0" labelOnly="1" outline="0" axis="axisRow" fieldPosition="0"/>
    </format>
    <format dxfId="352">
      <pivotArea dataOnly="0" labelOnly="1" fieldPosition="0">
        <references count="1">
          <reference field="0" count="0"/>
        </references>
      </pivotArea>
    </format>
  </formats>
  <chartFormats count="6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0" count="1" selected="0">
            <x v="15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2"/>
          </reference>
          <reference field="0" count="1" selected="0">
            <x v="15"/>
          </reference>
        </references>
      </pivotArea>
    </chartFormat>
  </chartFormat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OMICILIARE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CC6AF4-2D42-4AE8-9561-0EC49F2B0069}" name="Tabella pivot9" cacheId="1297" applyNumberFormats="0" applyBorderFormats="0" applyFontFormats="0" applyPatternFormats="0" applyAlignmentFormats="0" applyWidthHeightFormats="1" dataCaption="Valori" updatedVersion="6" minRefreshableVersion="3" useAutoFormatting="1" rowGrandTotals="0" colGrandTotals="0" itemPrintTitles="1" createdVersion="6" indent="0" outline="1" outlineData="1" multipleFieldFilters="0" chartFormat="2">
  <location ref="K5:L21" firstHeaderRow="1" firstDataRow="1" firstDataCol="1"/>
  <pivotFields count="3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Items count="1">
    <i/>
  </colItems>
  <dataFields count="1">
    <dataField name="NUOVI CASI" fld="1" baseField="0" baseItem="0"/>
  </dataFields>
  <formats count="2">
    <format dxfId="355">
      <pivotArea field="0" type="button" dataOnly="0" labelOnly="1" outline="0" axis="axisRow" fieldPosition="0"/>
    </format>
    <format dxfId="354">
      <pivotArea dataOnly="0" labelOnly="1" fieldPosition="0">
        <references count="1">
          <reference field="0" count="0"/>
        </references>
      </pivotArea>
    </format>
  </formats>
  <chartFormats count="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</chartFormat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CB48B-C5B3-401D-A1BA-F10253956799}" name="Tabella pivot4" cacheId="1285" applyNumberFormats="0" applyBorderFormats="0" applyFontFormats="0" applyPatternFormats="0" applyAlignmentFormats="0" applyWidthHeightFormats="1" dataCaption="Valori" tag="beaa4f3c-3365-4949-8e31-817613a9cf4b" updatedVersion="6" minRefreshableVersion="5" useAutoFormatting="1" itemPrintTitles="1" createdVersion="6" indent="0" outline="1" outlineData="1" multipleFieldFilters="0">
  <location ref="D2:D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Massimo di dimessi_guariti" fld="0" subtotal="max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ssimo di dimessi_guariti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pc_covid19_ita_andamento_nazionale]"/>
        <x15:activeTabTopLevelEntity name="[dpc_covid19_ita_regioni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54BF8EF1-CFCB-4411-9FCC-C19C2CE1C995}" autoFormatId="16" applyNumberFormats="0" applyBorderFormats="0" applyFontFormats="0" applyPatternFormats="0" applyAlignmentFormats="0" applyWidthHeightFormats="0">
  <queryTableRefresh nextId="13">
    <queryTableFields count="12">
      <queryTableField id="1" name="data" tableColumnId="1"/>
      <queryTableField id="2" name="stato" tableColumnId="2"/>
      <queryTableField id="3" name="ricoverati_con_sintomi" tableColumnId="3"/>
      <queryTableField id="4" name="terapia_intensiva" tableColumnId="4"/>
      <queryTableField id="5" name="totale_ospedalizzati" tableColumnId="5"/>
      <queryTableField id="6" name="isolamento_domiciliare" tableColumnId="6"/>
      <queryTableField id="7" name="totale_attualmente_positivi" tableColumnId="7"/>
      <queryTableField id="8" name="nuovi_attualmente_positivi" tableColumnId="8"/>
      <queryTableField id="9" name="dimessi_guariti" tableColumnId="9"/>
      <queryTableField id="10" name="deceduti" tableColumnId="10"/>
      <queryTableField id="11" name="totale_casi" tableColumnId="11"/>
      <queryTableField id="12" name="tamponi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73AABE25-CA61-462A-9B8A-F83D26066C43}" autoFormatId="16" applyNumberFormats="0" applyBorderFormats="0" applyFontFormats="0" applyPatternFormats="0" applyAlignmentFormats="0" applyWidthHeightFormats="0">
  <queryTableRefresh nextId="17">
    <queryTableFields count="16">
      <queryTableField id="1" name="data" tableColumnId="1"/>
      <queryTableField id="2" name="stato" tableColumnId="2"/>
      <queryTableField id="3" name="codice_regione" tableColumnId="3"/>
      <queryTableField id="4" name="denominazione_regione" tableColumnId="4"/>
      <queryTableField id="5" name="lat" tableColumnId="5"/>
      <queryTableField id="6" name="long" tableColumnId="6"/>
      <queryTableField id="7" name="ricoverati_con_sintomi" tableColumnId="7"/>
      <queryTableField id="8" name="terapia_intensiva" tableColumnId="8"/>
      <queryTableField id="9" name="totale_ospedalizzati" tableColumnId="9"/>
      <queryTableField id="10" name="isolamento_domiciliare" tableColumnId="10"/>
      <queryTableField id="11" name="totale_attualmente_positivi" tableColumnId="11"/>
      <queryTableField id="12" name="nuovi_attualmente_positivi" tableColumnId="12"/>
      <queryTableField id="13" name="dimessi_guariti" tableColumnId="13"/>
      <queryTableField id="14" name="deceduti" tableColumnId="14"/>
      <queryTableField id="15" name="totale_casi" tableColumnId="15"/>
      <queryTableField id="16" name="tamponi" tableColumnId="1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enominazione_regione_adjust" xr10:uid="{A29A6018-82DB-4E9D-8B8B-E9D791E9A904}" sourceName="[dpc_covid19_ita_regioni].[denominazione_regione_adjust]">
  <pivotTables>
    <pivotTable tabId="1" name="Tabella pivot2"/>
    <pivotTable tabId="1" name="Tabella pivot3"/>
    <pivotTable tabId="1" name="Tabella pivot4"/>
    <pivotTable tabId="1" name="Tabella pivot5"/>
    <pivotTable tabId="1" name="Tabella pivot6"/>
    <pivotTable tabId="1" name="Tabella pivot8"/>
    <pivotTable tabId="1" name="Tabella pivot9"/>
    <pivotTable tabId="1" name="Tabella pivot10"/>
    <pivotTable tabId="1" name="Tabella pivot1"/>
  </pivotTables>
  <data>
    <olap pivotCacheId="1102206351">
      <levels count="2">
        <level uniqueName="[dpc_covid19_ita_regioni].[denominazione_regione_adjust].[(All)]" sourceCaption="(All)" count="0"/>
        <level uniqueName="[dpc_covid19_ita_regioni].[denominazione_regione_adjust].[denominazione_regione_adjust]" sourceCaption="denominazione_regione_adjust" count="20">
          <ranges>
            <range startItem="0">
              <i n="[dpc_covid19_ita_regioni].[denominazione_regione_adjust].&amp;[Abruzzo]" c="Abruzzo"/>
              <i n="[dpc_covid19_ita_regioni].[denominazione_regione_adjust].&amp;[Basilicata]" c="Basilicata"/>
              <i n="[dpc_covid19_ita_regioni].[denominazione_regione_adjust].&amp;[Calabria]" c="Calabria"/>
              <i n="[dpc_covid19_ita_regioni].[denominazione_regione_adjust].&amp;[Campania]" c="Campania"/>
              <i n="[dpc_covid19_ita_regioni].[denominazione_regione_adjust].&amp;[Emilia Romagna]" c="Emilia Romagna"/>
              <i n="[dpc_covid19_ita_regioni].[denominazione_regione_adjust].&amp;[Friuli Venezia Giulia]" c="Friuli Venezia Giulia"/>
              <i n="[dpc_covid19_ita_regioni].[denominazione_regione_adjust].&amp;[Lazio]" c="Lazio"/>
              <i n="[dpc_covid19_ita_regioni].[denominazione_regione_adjust].&amp;[Liguria]" c="Liguria"/>
              <i n="[dpc_covid19_ita_regioni].[denominazione_regione_adjust].&amp;[Lombardia]" c="Lombardia"/>
              <i n="[dpc_covid19_ita_regioni].[denominazione_regione_adjust].&amp;[Marche]" c="Marche"/>
              <i n="[dpc_covid19_ita_regioni].[denominazione_regione_adjust].&amp;[Molise]" c="Molise"/>
              <i n="[dpc_covid19_ita_regioni].[denominazione_regione_adjust].&amp;[Piemonte]" c="Piemonte"/>
              <i n="[dpc_covid19_ita_regioni].[denominazione_regione_adjust].&amp;[Puglia]" c="Puglia"/>
              <i n="[dpc_covid19_ita_regioni].[denominazione_regione_adjust].&amp;[Sardegna]" c="Sardegna"/>
              <i n="[dpc_covid19_ita_regioni].[denominazione_regione_adjust].&amp;[Sicilia]" c="Sicilia"/>
              <i n="[dpc_covid19_ita_regioni].[denominazione_regione_adjust].&amp;[Toscana]" c="Toscana"/>
              <i n="[dpc_covid19_ita_regioni].[denominazione_regione_adjust].&amp;[Trentino]" c="Trentino"/>
              <i n="[dpc_covid19_ita_regioni].[denominazione_regione_adjust].&amp;[Umbria]" c="Umbria"/>
              <i n="[dpc_covid19_ita_regioni].[denominazione_regione_adjust].&amp;[Valle d'Aosta]" c="Valle d'Aosta"/>
              <i n="[dpc_covid19_ita_regioni].[denominazione_regione_adjust].&amp;[Veneto]" c="Veneto"/>
            </range>
          </ranges>
        </level>
      </levels>
      <selections count="1">
        <selection n="[dpc_covid19_ita_regioni].[denominazione_regione_adjust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roRegione" xr10:uid="{5BEB9702-BAD0-4CC0-878F-4A0293F6DF7B}" cache="FiltroDati_denominazione_regione_adjust" caption="filtro per regione" level="1" style="Stile filtro dati 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1D3CF2-6D56-4A82-B974-9B77F0E94A5E}" name="dpc_covid19_ita_andamento_nazionale" displayName="dpc_covid19_ita_andamento_nazionale" ref="A1:L17" tableType="queryTable" totalsRowShown="0">
  <autoFilter ref="A1:L17" xr:uid="{EABC7277-E16F-4D96-ADF1-FFC0B5E7026E}"/>
  <tableColumns count="12">
    <tableColumn id="1" xr3:uid="{703403A0-8F9B-4346-B11C-E53859FA057C}" uniqueName="1" name="data" queryTableFieldId="1" dataDxfId="4"/>
    <tableColumn id="2" xr3:uid="{B188F686-BB42-42C1-9E53-39CED73FB743}" uniqueName="2" name="stato" queryTableFieldId="2" dataDxfId="3"/>
    <tableColumn id="3" xr3:uid="{38B2F1D6-B422-4F4A-B30E-685F11B53274}" uniqueName="3" name="ricoverati_con_sintomi" queryTableFieldId="3"/>
    <tableColumn id="4" xr3:uid="{ECFEC2C2-1463-468F-864F-16584BE2F2D5}" uniqueName="4" name="terapia_intensiva" queryTableFieldId="4"/>
    <tableColumn id="5" xr3:uid="{7981C252-894D-46ED-8230-557767A3A927}" uniqueName="5" name="totale_ospedalizzati" queryTableFieldId="5"/>
    <tableColumn id="6" xr3:uid="{2510A4E2-8AFC-4F5F-8FD5-2985E4028918}" uniqueName="6" name="isolamento_domiciliare" queryTableFieldId="6"/>
    <tableColumn id="7" xr3:uid="{EBE1D699-521F-4FA0-A872-D5409C93CAFD}" uniqueName="7" name="totale_attualmente_positivi" queryTableFieldId="7"/>
    <tableColumn id="8" xr3:uid="{CBACBD71-ED4E-440B-815F-9CC35B6A33BC}" uniqueName="8" name="nuovi_attualmente_positivi" queryTableFieldId="8"/>
    <tableColumn id="9" xr3:uid="{76143738-91A6-4C75-AC8B-EAF01F93DB95}" uniqueName="9" name="dimessi_guariti" queryTableFieldId="9"/>
    <tableColumn id="10" xr3:uid="{83E05A40-A3A1-4979-A200-15FC2C19E855}" uniqueName="10" name="deceduti" queryTableFieldId="10"/>
    <tableColumn id="11" xr3:uid="{D740AD00-6AFD-46C5-9FDC-2436FB9332A5}" uniqueName="11" name="totale_casi" queryTableFieldId="11"/>
    <tableColumn id="12" xr3:uid="{97F48D45-3389-488F-9CAC-B9FF1C8A09DE}" uniqueName="12" name="tamponi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A33B83-FE62-47BA-BA11-13E072BCB754}" name="dpc_covid19_ita_regioni" displayName="dpc_covid19_ita_regioni" ref="A1:P337" tableType="queryTable" totalsRowShown="0">
  <autoFilter ref="A1:P337" xr:uid="{FD4B2342-5440-47FA-BB24-0BBC72A59758}"/>
  <tableColumns count="16">
    <tableColumn id="1" xr3:uid="{D66CC6F6-1ED6-4A73-9E55-E9981117236A}" uniqueName="1" name="data" queryTableFieldId="1" dataDxfId="2"/>
    <tableColumn id="2" xr3:uid="{F268A315-D3B9-4E57-9A57-6BE3C26C8603}" uniqueName="2" name="stato" queryTableFieldId="2" dataDxfId="1"/>
    <tableColumn id="3" xr3:uid="{8B9FBA29-D96E-4B95-ADC4-D61EAB3C6E58}" uniqueName="3" name="codice_regione" queryTableFieldId="3"/>
    <tableColumn id="4" xr3:uid="{AAF36031-4ADE-4EE7-8799-3DA6B1F7FE86}" uniqueName="4" name="denominazione_regione" queryTableFieldId="4" dataDxfId="0"/>
    <tableColumn id="5" xr3:uid="{9ED8F63B-9A03-4DF0-A934-5DFB378F2D04}" uniqueName="5" name="lat" queryTableFieldId="5"/>
    <tableColumn id="6" xr3:uid="{26FA62E4-809D-4E46-A047-441395970A33}" uniqueName="6" name="long" queryTableFieldId="6"/>
    <tableColumn id="7" xr3:uid="{70C8D92C-DC1D-42E3-A1CA-A1F8088466B5}" uniqueName="7" name="ricoverati_con_sintomi" queryTableFieldId="7"/>
    <tableColumn id="8" xr3:uid="{E3D7D206-31FA-44C3-8CA9-C45047573232}" uniqueName="8" name="terapia_intensiva" queryTableFieldId="8"/>
    <tableColumn id="9" xr3:uid="{18438A4C-E380-457B-B7AC-11CC4DFF9288}" uniqueName="9" name="totale_ospedalizzati" queryTableFieldId="9"/>
    <tableColumn id="10" xr3:uid="{466E8A3D-6A70-4332-A889-6CC4EC4670C7}" uniqueName="10" name="isolamento_domiciliare" queryTableFieldId="10"/>
    <tableColumn id="11" xr3:uid="{C92ED2A1-0C60-4300-9F06-F4AEED2D5000}" uniqueName="11" name="totale_attualmente_positivi" queryTableFieldId="11"/>
    <tableColumn id="12" xr3:uid="{3141823B-F875-436E-81B9-A684CE63C799}" uniqueName="12" name="nuovi_attualmente_positivi" queryTableFieldId="12"/>
    <tableColumn id="13" xr3:uid="{351419AA-0E0D-4C98-BC5D-F968B2C210D1}" uniqueName="13" name="dimessi_guariti" queryTableFieldId="13"/>
    <tableColumn id="14" xr3:uid="{C43CBB18-A4DA-4C1B-9C8A-AE1F7FD9E431}" uniqueName="14" name="deceduti" queryTableFieldId="14"/>
    <tableColumn id="15" xr3:uid="{15132951-8058-46A9-8486-CFE4642BA187}" uniqueName="15" name="totale_casi" queryTableFieldId="15"/>
    <tableColumn id="16" xr3:uid="{040DC69F-DDAB-4531-B724-CA8573ADA0D6}" uniqueName="16" name="tamponi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SequenzaTemporale_data" xr10:uid="{A966DF0A-2404-4C1E-8510-8A979141DA3E}" sourceName="[dpc_covid19_ita_andamento_nazionale].[data]">
  <pivotTables>
    <pivotTable tabId="1" name="Tabella pivot3"/>
    <pivotTable tabId="1" name="Tabella pivot4"/>
    <pivotTable tabId="1" name="Tabella pivot5"/>
    <pivotTable tabId="1" name="Tabella pivot6"/>
  </pivotTables>
  <state minimalRefreshVersion="6" lastRefreshVersion="6" pivotCacheId="1885926963" filterType="unknown">
    <bounds startDate="2020-01-01T18:00:00" endDate="2021-01-01T18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BAD214B4-A07C-4273-9743-2BECBD322BBF}" cache="SequenzaTemporale_data" caption="filtro per data" level="3" selectionLevel="3" scrollPosition="2020-02-20T00:00:00" style="Stile sequenza temporale 1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pcm-dpc/COVID-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FCADC-A8D1-4BD8-BD76-E73401C8094D}">
  <dimension ref="A1:C11"/>
  <sheetViews>
    <sheetView workbookViewId="0">
      <selection activeCell="K20" sqref="K20"/>
    </sheetView>
  </sheetViews>
  <sheetFormatPr defaultRowHeight="15" x14ac:dyDescent="0.25"/>
  <sheetData>
    <row r="1" spans="1:3" x14ac:dyDescent="0.25">
      <c r="A1" t="s">
        <v>20</v>
      </c>
    </row>
    <row r="2" spans="1:3" x14ac:dyDescent="0.25">
      <c r="C2" s="5" t="s">
        <v>28</v>
      </c>
    </row>
    <row r="4" spans="1:3" x14ac:dyDescent="0.25">
      <c r="B4">
        <v>1</v>
      </c>
      <c r="C4" t="s">
        <v>59</v>
      </c>
    </row>
    <row r="5" spans="1:3" x14ac:dyDescent="0.25">
      <c r="B5">
        <v>2</v>
      </c>
      <c r="C5" t="s">
        <v>17</v>
      </c>
    </row>
    <row r="6" spans="1:3" x14ac:dyDescent="0.25">
      <c r="B6">
        <v>3</v>
      </c>
      <c r="C6" t="s">
        <v>27</v>
      </c>
    </row>
    <row r="7" spans="1:3" x14ac:dyDescent="0.25">
      <c r="B7">
        <v>4</v>
      </c>
      <c r="C7" t="s">
        <v>18</v>
      </c>
    </row>
    <row r="8" spans="1:3" x14ac:dyDescent="0.25">
      <c r="B8">
        <v>5</v>
      </c>
      <c r="C8" t="s">
        <v>19</v>
      </c>
    </row>
    <row r="9" spans="1:3" x14ac:dyDescent="0.25">
      <c r="B9">
        <v>6</v>
      </c>
      <c r="C9" t="s">
        <v>21</v>
      </c>
    </row>
    <row r="10" spans="1:3" x14ac:dyDescent="0.25">
      <c r="B10">
        <v>7</v>
      </c>
      <c r="C10" t="s">
        <v>57</v>
      </c>
    </row>
    <row r="11" spans="1:3" x14ac:dyDescent="0.25">
      <c r="B11">
        <v>8</v>
      </c>
      <c r="C11" t="s">
        <v>58</v>
      </c>
    </row>
  </sheetData>
  <hyperlinks>
    <hyperlink ref="C2" r:id="rId1" xr:uid="{382D3505-2A32-4085-ABF4-E9B635869EC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E37E-6C0C-4C6C-B66B-FC4912D918BD}">
  <dimension ref="B1:AD46"/>
  <sheetViews>
    <sheetView showGridLines="0" showRowColHeaders="0" tabSelected="1" zoomScale="90" zoomScaleNormal="90" workbookViewId="0">
      <selection activeCell="O11" sqref="O11"/>
    </sheetView>
  </sheetViews>
  <sheetFormatPr defaultRowHeight="15" x14ac:dyDescent="0.25"/>
  <sheetData>
    <row r="1" spans="2:30" x14ac:dyDescent="0.25"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3" spans="2:30" x14ac:dyDescent="0.25">
      <c r="G3" s="18" t="s">
        <v>22</v>
      </c>
      <c r="H3" s="18"/>
      <c r="I3" s="18"/>
      <c r="J3" s="7"/>
      <c r="K3" s="18" t="s">
        <v>25</v>
      </c>
      <c r="L3" s="18"/>
      <c r="M3" s="18"/>
      <c r="N3" s="7"/>
      <c r="O3" s="18" t="s">
        <v>14</v>
      </c>
      <c r="P3" s="18"/>
      <c r="Q3" s="18"/>
      <c r="R3" s="7"/>
      <c r="S3" s="18" t="s">
        <v>26</v>
      </c>
      <c r="T3" s="18"/>
      <c r="U3" s="18"/>
      <c r="W3" s="12" t="s">
        <v>54</v>
      </c>
      <c r="X3" s="12"/>
      <c r="Y3" s="12"/>
      <c r="Z3" s="12"/>
      <c r="AA3" s="12"/>
      <c r="AB3" s="12"/>
    </row>
    <row r="4" spans="2:30" ht="15.75" customHeight="1" x14ac:dyDescent="0.25">
      <c r="G4" s="15">
        <f>Pivot!B3</f>
        <v>10149</v>
      </c>
      <c r="H4" s="15"/>
      <c r="I4" s="15"/>
      <c r="J4" s="7"/>
      <c r="K4" s="15">
        <f>Pivot!D3</f>
        <v>1004</v>
      </c>
      <c r="L4" s="15"/>
      <c r="M4" s="15"/>
      <c r="N4" s="7"/>
      <c r="O4" s="15">
        <f>Pivot!F3</f>
        <v>631</v>
      </c>
      <c r="P4" s="15"/>
      <c r="Q4" s="15"/>
      <c r="R4" s="7"/>
      <c r="S4" s="15">
        <f>Pivot!H3</f>
        <v>8514</v>
      </c>
      <c r="T4" s="15"/>
      <c r="U4" s="15"/>
      <c r="Y4" s="13" t="s">
        <v>55</v>
      </c>
      <c r="Z4" s="14"/>
      <c r="AA4" s="14"/>
      <c r="AB4" s="14"/>
    </row>
    <row r="5" spans="2:30" ht="15" customHeight="1" x14ac:dyDescent="0.25">
      <c r="G5" s="15"/>
      <c r="H5" s="15"/>
      <c r="I5" s="15"/>
      <c r="J5" s="7"/>
      <c r="K5" s="15"/>
      <c r="L5" s="15"/>
      <c r="M5" s="15"/>
      <c r="N5" s="7"/>
      <c r="O5" s="15"/>
      <c r="P5" s="15"/>
      <c r="Q5" s="15"/>
      <c r="R5" s="7"/>
      <c r="S5" s="15"/>
      <c r="T5" s="15"/>
      <c r="U5" s="15"/>
      <c r="Y5" s="14"/>
      <c r="Z5" s="14"/>
      <c r="AA5" s="14"/>
      <c r="AB5" s="14"/>
    </row>
    <row r="6" spans="2:30" ht="15" customHeight="1" x14ac:dyDescent="0.25">
      <c r="G6" s="15"/>
      <c r="H6" s="15"/>
      <c r="I6" s="15"/>
      <c r="J6" s="7"/>
      <c r="K6" s="15"/>
      <c r="L6" s="15"/>
      <c r="M6" s="15"/>
      <c r="N6" s="7"/>
      <c r="O6" s="15"/>
      <c r="P6" s="15"/>
      <c r="Q6" s="15"/>
      <c r="R6" s="7"/>
      <c r="S6" s="15"/>
      <c r="T6" s="15"/>
      <c r="U6" s="15"/>
      <c r="Y6" s="14"/>
      <c r="Z6" s="14"/>
      <c r="AA6" s="14"/>
      <c r="AB6" s="14"/>
    </row>
    <row r="7" spans="2:30" ht="15" customHeight="1" x14ac:dyDescent="0.25">
      <c r="G7" s="15"/>
      <c r="H7" s="15"/>
      <c r="I7" s="15"/>
      <c r="J7" s="7"/>
      <c r="K7" s="15"/>
      <c r="L7" s="15"/>
      <c r="M7" s="15"/>
      <c r="N7" s="7"/>
      <c r="O7" s="15"/>
      <c r="P7" s="15"/>
      <c r="Q7" s="15"/>
      <c r="R7" s="7"/>
      <c r="S7" s="15"/>
      <c r="T7" s="15"/>
      <c r="U7" s="15"/>
      <c r="Y7" s="14"/>
      <c r="Z7" s="14"/>
      <c r="AA7" s="14"/>
      <c r="AB7" s="14"/>
    </row>
    <row r="8" spans="2:30" ht="15" customHeight="1" x14ac:dyDescent="0.25">
      <c r="G8" s="15"/>
      <c r="H8" s="15"/>
      <c r="I8" s="15"/>
      <c r="J8" s="7"/>
      <c r="K8" s="15"/>
      <c r="L8" s="15"/>
      <c r="M8" s="15"/>
      <c r="N8" s="7"/>
      <c r="O8" s="15"/>
      <c r="P8" s="15"/>
      <c r="Q8" s="15"/>
      <c r="R8" s="7"/>
      <c r="S8" s="15"/>
      <c r="T8" s="15"/>
      <c r="U8" s="15"/>
      <c r="Y8" s="14"/>
      <c r="Z8" s="14"/>
      <c r="AA8" s="14"/>
      <c r="AB8" s="14"/>
    </row>
    <row r="9" spans="2:30" ht="15" customHeight="1" x14ac:dyDescent="0.25">
      <c r="G9" s="19">
        <f>SUM(Pivot!C29:C48)</f>
        <v>10111</v>
      </c>
      <c r="H9" s="19"/>
      <c r="I9" s="19"/>
      <c r="J9" s="7"/>
      <c r="K9" s="19">
        <f>SUM(Pivot!D29:D48)</f>
        <v>1004</v>
      </c>
      <c r="L9" s="19"/>
      <c r="M9" s="19"/>
      <c r="N9" s="7"/>
      <c r="O9" s="19">
        <f>SUM(Pivot!E29:E48)</f>
        <v>631</v>
      </c>
      <c r="P9" s="19"/>
      <c r="Q9" s="19"/>
      <c r="R9" s="7"/>
      <c r="S9" s="19">
        <f>SUM(Pivot!F29:F48)</f>
        <v>8539</v>
      </c>
      <c r="T9" s="19"/>
      <c r="U9" s="19"/>
      <c r="Y9" s="9"/>
      <c r="Z9" s="9"/>
      <c r="AA9" s="9"/>
      <c r="AB9" s="9"/>
    </row>
    <row r="10" spans="2:30" x14ac:dyDescent="0.25">
      <c r="G10" s="16"/>
      <c r="H10" s="16"/>
      <c r="I10" s="16"/>
      <c r="K10" s="17">
        <f>K9/G9</f>
        <v>9.9297794481258042E-2</v>
      </c>
      <c r="L10" s="17"/>
      <c r="M10" s="17"/>
      <c r="O10" s="17">
        <f>O9/G9</f>
        <v>6.2407279200870337E-2</v>
      </c>
      <c r="P10" s="17"/>
      <c r="Q10" s="17"/>
      <c r="S10" s="16"/>
      <c r="T10" s="16"/>
      <c r="U10" s="16"/>
    </row>
    <row r="46" spans="2:30" x14ac:dyDescent="0.25"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</sheetData>
  <mergeCells count="19">
    <mergeCell ref="K9:M9"/>
    <mergeCell ref="O9:Q9"/>
    <mergeCell ref="S9:U9"/>
    <mergeCell ref="B46:AD46"/>
    <mergeCell ref="W3:AB3"/>
    <mergeCell ref="Y4:AB8"/>
    <mergeCell ref="G4:I8"/>
    <mergeCell ref="G3:I3"/>
    <mergeCell ref="G10:I10"/>
    <mergeCell ref="K3:M3"/>
    <mergeCell ref="K4:M8"/>
    <mergeCell ref="K10:M10"/>
    <mergeCell ref="O4:Q8"/>
    <mergeCell ref="O3:Q3"/>
    <mergeCell ref="S3:U3"/>
    <mergeCell ref="S4:U8"/>
    <mergeCell ref="O10:Q10"/>
    <mergeCell ref="S10:U10"/>
    <mergeCell ref="G9:I9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7DFBF-AB79-419B-8974-DE5350C750F7}">
  <dimension ref="A1:L17"/>
  <sheetViews>
    <sheetView workbookViewId="0">
      <selection activeCell="A13" sqref="A13"/>
    </sheetView>
  </sheetViews>
  <sheetFormatPr defaultRowHeight="15" x14ac:dyDescent="0.25"/>
  <cols>
    <col min="1" max="1" width="15.85546875" bestFit="1" customWidth="1"/>
    <col min="2" max="2" width="7.7109375" bestFit="1" customWidth="1"/>
    <col min="3" max="3" width="24" bestFit="1" customWidth="1"/>
    <col min="4" max="4" width="18.85546875" bestFit="1" customWidth="1"/>
    <col min="5" max="5" width="21.42578125" bestFit="1" customWidth="1"/>
    <col min="6" max="6" width="24.7109375" bestFit="1" customWidth="1"/>
    <col min="7" max="7" width="28.7109375" bestFit="1" customWidth="1"/>
    <col min="8" max="8" width="28.42578125" bestFit="1" customWidth="1"/>
    <col min="9" max="9" width="17" bestFit="1" customWidth="1"/>
    <col min="10" max="10" width="11.140625" bestFit="1" customWidth="1"/>
    <col min="11" max="11" width="12.85546875" bestFit="1" customWidth="1"/>
    <col min="12" max="12" width="10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>
        <v>43885.75</v>
      </c>
      <c r="B2" s="2" t="s">
        <v>12</v>
      </c>
      <c r="C2">
        <v>101</v>
      </c>
      <c r="D2">
        <v>26</v>
      </c>
      <c r="E2">
        <v>127</v>
      </c>
      <c r="F2">
        <v>94</v>
      </c>
      <c r="G2">
        <v>221</v>
      </c>
      <c r="H2">
        <v>221</v>
      </c>
      <c r="I2">
        <v>1</v>
      </c>
      <c r="J2">
        <v>7</v>
      </c>
      <c r="K2">
        <v>229</v>
      </c>
      <c r="L2">
        <v>4324</v>
      </c>
    </row>
    <row r="3" spans="1:12" x14ac:dyDescent="0.25">
      <c r="A3" s="1">
        <v>43886.75</v>
      </c>
      <c r="B3" s="2" t="s">
        <v>12</v>
      </c>
      <c r="C3">
        <v>114</v>
      </c>
      <c r="D3">
        <v>35</v>
      </c>
      <c r="E3">
        <v>150</v>
      </c>
      <c r="F3">
        <v>162</v>
      </c>
      <c r="G3">
        <v>311</v>
      </c>
      <c r="H3">
        <v>90</v>
      </c>
      <c r="I3">
        <v>1</v>
      </c>
      <c r="J3">
        <v>10</v>
      </c>
      <c r="K3">
        <v>322</v>
      </c>
      <c r="L3">
        <v>8623</v>
      </c>
    </row>
    <row r="4" spans="1:12" x14ac:dyDescent="0.25">
      <c r="A4" s="1">
        <v>43887.75</v>
      </c>
      <c r="B4" s="2" t="s">
        <v>12</v>
      </c>
      <c r="C4">
        <v>128</v>
      </c>
      <c r="D4">
        <v>36</v>
      </c>
      <c r="E4">
        <v>164</v>
      </c>
      <c r="F4">
        <v>221</v>
      </c>
      <c r="G4">
        <v>385</v>
      </c>
      <c r="H4">
        <v>74</v>
      </c>
      <c r="I4">
        <v>3</v>
      </c>
      <c r="J4">
        <v>12</v>
      </c>
      <c r="K4">
        <v>400</v>
      </c>
      <c r="L4">
        <v>9587</v>
      </c>
    </row>
    <row r="5" spans="1:12" x14ac:dyDescent="0.25">
      <c r="A5" s="1">
        <v>43888.75</v>
      </c>
      <c r="B5" s="2" t="s">
        <v>12</v>
      </c>
      <c r="C5">
        <v>248</v>
      </c>
      <c r="D5">
        <v>56</v>
      </c>
      <c r="E5">
        <v>304</v>
      </c>
      <c r="F5">
        <v>284</v>
      </c>
      <c r="G5">
        <v>588</v>
      </c>
      <c r="H5">
        <v>203</v>
      </c>
      <c r="I5">
        <v>45</v>
      </c>
      <c r="J5">
        <v>17</v>
      </c>
      <c r="K5">
        <v>650</v>
      </c>
      <c r="L5">
        <v>12014</v>
      </c>
    </row>
    <row r="6" spans="1:12" x14ac:dyDescent="0.25">
      <c r="A6" s="1">
        <v>43889.75</v>
      </c>
      <c r="B6" s="2" t="s">
        <v>12</v>
      </c>
      <c r="C6">
        <v>345</v>
      </c>
      <c r="D6">
        <v>64</v>
      </c>
      <c r="E6">
        <v>409</v>
      </c>
      <c r="F6">
        <v>412</v>
      </c>
      <c r="G6">
        <v>821</v>
      </c>
      <c r="H6">
        <v>233</v>
      </c>
      <c r="I6">
        <v>46</v>
      </c>
      <c r="J6">
        <v>21</v>
      </c>
      <c r="K6">
        <v>888</v>
      </c>
      <c r="L6">
        <v>15695</v>
      </c>
    </row>
    <row r="7" spans="1:12" x14ac:dyDescent="0.25">
      <c r="A7" s="1">
        <v>43890.75</v>
      </c>
      <c r="B7" s="2" t="s">
        <v>12</v>
      </c>
      <c r="C7">
        <v>401</v>
      </c>
      <c r="D7">
        <v>105</v>
      </c>
      <c r="E7">
        <v>506</v>
      </c>
      <c r="F7">
        <v>543</v>
      </c>
      <c r="G7">
        <v>1049</v>
      </c>
      <c r="H7">
        <v>228</v>
      </c>
      <c r="I7">
        <v>50</v>
      </c>
      <c r="J7">
        <v>29</v>
      </c>
      <c r="K7">
        <v>1128</v>
      </c>
      <c r="L7">
        <v>18661</v>
      </c>
    </row>
    <row r="8" spans="1:12" x14ac:dyDescent="0.25">
      <c r="A8" s="1">
        <v>43891.75</v>
      </c>
      <c r="B8" s="2" t="s">
        <v>12</v>
      </c>
      <c r="C8">
        <v>639</v>
      </c>
      <c r="D8">
        <v>140</v>
      </c>
      <c r="E8">
        <v>779</v>
      </c>
      <c r="F8">
        <v>798</v>
      </c>
      <c r="G8">
        <v>1577</v>
      </c>
      <c r="H8">
        <v>528</v>
      </c>
      <c r="I8">
        <v>83</v>
      </c>
      <c r="J8">
        <v>34</v>
      </c>
      <c r="K8">
        <v>1694</v>
      </c>
      <c r="L8">
        <v>21127</v>
      </c>
    </row>
    <row r="9" spans="1:12" x14ac:dyDescent="0.25">
      <c r="A9" s="1">
        <v>43892.75</v>
      </c>
      <c r="B9" s="2" t="s">
        <v>12</v>
      </c>
      <c r="C9">
        <v>742</v>
      </c>
      <c r="D9">
        <v>166</v>
      </c>
      <c r="E9">
        <v>908</v>
      </c>
      <c r="F9">
        <v>927</v>
      </c>
      <c r="G9">
        <v>1835</v>
      </c>
      <c r="H9">
        <v>258</v>
      </c>
      <c r="I9">
        <v>149</v>
      </c>
      <c r="J9">
        <v>52</v>
      </c>
      <c r="K9">
        <v>2036</v>
      </c>
      <c r="L9">
        <v>23345</v>
      </c>
    </row>
    <row r="10" spans="1:12" x14ac:dyDescent="0.25">
      <c r="A10" s="1">
        <v>43893.75</v>
      </c>
      <c r="B10" s="2" t="s">
        <v>12</v>
      </c>
      <c r="C10">
        <v>1034</v>
      </c>
      <c r="D10">
        <v>229</v>
      </c>
      <c r="E10">
        <v>1263</v>
      </c>
      <c r="F10">
        <v>1000</v>
      </c>
      <c r="G10">
        <v>2263</v>
      </c>
      <c r="H10">
        <v>428</v>
      </c>
      <c r="I10">
        <v>160</v>
      </c>
      <c r="J10">
        <v>79</v>
      </c>
      <c r="K10">
        <v>2502</v>
      </c>
      <c r="L10">
        <v>25856</v>
      </c>
    </row>
    <row r="11" spans="1:12" x14ac:dyDescent="0.25">
      <c r="A11" s="1">
        <v>43894.75</v>
      </c>
      <c r="B11" s="2" t="s">
        <v>12</v>
      </c>
      <c r="C11">
        <v>1346</v>
      </c>
      <c r="D11">
        <v>295</v>
      </c>
      <c r="E11">
        <v>1641</v>
      </c>
      <c r="F11">
        <v>1065</v>
      </c>
      <c r="G11">
        <v>2706</v>
      </c>
      <c r="H11">
        <v>443</v>
      </c>
      <c r="I11">
        <v>276</v>
      </c>
      <c r="J11">
        <v>107</v>
      </c>
      <c r="K11">
        <v>3089</v>
      </c>
      <c r="L11">
        <v>29837</v>
      </c>
    </row>
    <row r="12" spans="1:12" x14ac:dyDescent="0.25">
      <c r="A12" s="1">
        <v>43895.75</v>
      </c>
      <c r="B12" s="2" t="s">
        <v>12</v>
      </c>
      <c r="C12">
        <v>1790</v>
      </c>
      <c r="D12">
        <v>351</v>
      </c>
      <c r="E12">
        <v>2141</v>
      </c>
      <c r="F12">
        <v>1155</v>
      </c>
      <c r="G12">
        <v>3296</v>
      </c>
      <c r="H12">
        <v>590</v>
      </c>
      <c r="I12">
        <v>414</v>
      </c>
      <c r="J12">
        <v>148</v>
      </c>
      <c r="K12">
        <v>3858</v>
      </c>
      <c r="L12">
        <v>32362</v>
      </c>
    </row>
    <row r="13" spans="1:12" x14ac:dyDescent="0.25">
      <c r="A13" s="1">
        <v>43896.75</v>
      </c>
      <c r="B13" s="2" t="s">
        <v>12</v>
      </c>
      <c r="C13">
        <v>2394</v>
      </c>
      <c r="D13">
        <v>462</v>
      </c>
      <c r="E13">
        <v>2856</v>
      </c>
      <c r="F13">
        <v>1060</v>
      </c>
      <c r="G13">
        <v>3916</v>
      </c>
      <c r="H13">
        <v>620</v>
      </c>
      <c r="I13">
        <v>523</v>
      </c>
      <c r="J13">
        <v>197</v>
      </c>
      <c r="K13">
        <v>4636</v>
      </c>
      <c r="L13">
        <v>36359</v>
      </c>
    </row>
    <row r="14" spans="1:12" x14ac:dyDescent="0.25">
      <c r="A14" s="1">
        <v>43897.75</v>
      </c>
      <c r="B14" s="2" t="s">
        <v>12</v>
      </c>
      <c r="C14">
        <v>2651</v>
      </c>
      <c r="D14">
        <v>567</v>
      </c>
      <c r="E14">
        <v>3218</v>
      </c>
      <c r="F14">
        <v>1843</v>
      </c>
      <c r="G14">
        <v>5061</v>
      </c>
      <c r="H14">
        <v>1145</v>
      </c>
      <c r="I14">
        <v>589</v>
      </c>
      <c r="J14">
        <v>233</v>
      </c>
      <c r="K14">
        <v>5883</v>
      </c>
      <c r="L14">
        <v>42062</v>
      </c>
    </row>
    <row r="15" spans="1:12" x14ac:dyDescent="0.25">
      <c r="A15" s="1">
        <v>43898.75</v>
      </c>
      <c r="B15" s="2" t="s">
        <v>12</v>
      </c>
      <c r="C15">
        <v>3557</v>
      </c>
      <c r="D15">
        <v>650</v>
      </c>
      <c r="E15">
        <v>4207</v>
      </c>
      <c r="F15">
        <v>2180</v>
      </c>
      <c r="G15">
        <v>6387</v>
      </c>
      <c r="H15">
        <v>1326</v>
      </c>
      <c r="I15">
        <v>622</v>
      </c>
      <c r="J15">
        <v>366</v>
      </c>
      <c r="K15">
        <v>7375</v>
      </c>
      <c r="L15">
        <v>49937</v>
      </c>
    </row>
    <row r="16" spans="1:12" x14ac:dyDescent="0.25">
      <c r="A16" s="1">
        <v>43899.75</v>
      </c>
      <c r="B16" s="2" t="s">
        <v>12</v>
      </c>
      <c r="C16">
        <v>4316</v>
      </c>
      <c r="D16">
        <v>733</v>
      </c>
      <c r="E16">
        <v>5049</v>
      </c>
      <c r="F16">
        <v>2936</v>
      </c>
      <c r="G16">
        <v>7985</v>
      </c>
      <c r="H16">
        <v>1598</v>
      </c>
      <c r="I16">
        <v>724</v>
      </c>
      <c r="J16">
        <v>463</v>
      </c>
      <c r="K16">
        <v>9172</v>
      </c>
      <c r="L16">
        <v>53826</v>
      </c>
    </row>
    <row r="17" spans="1:12" x14ac:dyDescent="0.25">
      <c r="A17" s="1">
        <v>43900.75</v>
      </c>
      <c r="B17" s="2" t="s">
        <v>12</v>
      </c>
      <c r="C17">
        <v>5038</v>
      </c>
      <c r="D17">
        <v>877</v>
      </c>
      <c r="E17">
        <v>5915</v>
      </c>
      <c r="F17">
        <v>2599</v>
      </c>
      <c r="G17">
        <v>8514</v>
      </c>
      <c r="H17">
        <v>529</v>
      </c>
      <c r="I17">
        <v>1004</v>
      </c>
      <c r="J17">
        <v>631</v>
      </c>
      <c r="K17">
        <v>10149</v>
      </c>
      <c r="L17">
        <v>60761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2945-C539-40A1-A43D-88745D7B83AE}">
  <dimension ref="A1:P337"/>
  <sheetViews>
    <sheetView topLeftCell="A295" workbookViewId="0">
      <selection activeCell="C54" sqref="C54"/>
    </sheetView>
  </sheetViews>
  <sheetFormatPr defaultRowHeight="15" x14ac:dyDescent="0.25"/>
  <cols>
    <col min="1" max="1" width="15.85546875" bestFit="1" customWidth="1"/>
    <col min="2" max="2" width="7.7109375" bestFit="1" customWidth="1"/>
    <col min="3" max="3" width="17" bestFit="1" customWidth="1"/>
    <col min="4" max="4" width="25.42578125" bestFit="1" customWidth="1"/>
    <col min="5" max="6" width="11" bestFit="1" customWidth="1"/>
    <col min="7" max="7" width="24" bestFit="1" customWidth="1"/>
    <col min="8" max="8" width="18.85546875" bestFit="1" customWidth="1"/>
    <col min="9" max="9" width="21.42578125" bestFit="1" customWidth="1"/>
    <col min="10" max="10" width="24.7109375" bestFit="1" customWidth="1"/>
    <col min="11" max="11" width="28.7109375" bestFit="1" customWidth="1"/>
    <col min="12" max="12" width="28.42578125" bestFit="1" customWidth="1"/>
    <col min="13" max="13" width="17" bestFit="1" customWidth="1"/>
    <col min="14" max="14" width="11.140625" bestFit="1" customWidth="1"/>
    <col min="15" max="15" width="12.85546875" bestFit="1" customWidth="1"/>
    <col min="16" max="16" width="10.7109375" bestFit="1" customWidth="1"/>
  </cols>
  <sheetData>
    <row r="1" spans="1:16" x14ac:dyDescent="0.25">
      <c r="A1" t="s">
        <v>0</v>
      </c>
      <c r="B1" t="s">
        <v>1</v>
      </c>
      <c r="C1" t="s">
        <v>29</v>
      </c>
      <c r="D1" t="s">
        <v>30</v>
      </c>
      <c r="E1" t="s">
        <v>31</v>
      </c>
      <c r="F1" t="s">
        <v>32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</row>
    <row r="2" spans="1:16" x14ac:dyDescent="0.25">
      <c r="A2" s="1">
        <v>43885.75</v>
      </c>
      <c r="B2" s="2" t="s">
        <v>12</v>
      </c>
      <c r="C2">
        <v>13</v>
      </c>
      <c r="D2" s="2" t="s">
        <v>33</v>
      </c>
      <c r="E2">
        <v>4235122196</v>
      </c>
      <c r="F2">
        <v>1339843823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5</v>
      </c>
    </row>
    <row r="3" spans="1:16" x14ac:dyDescent="0.25">
      <c r="A3" s="1">
        <v>43885.75</v>
      </c>
      <c r="B3" s="2" t="s">
        <v>12</v>
      </c>
      <c r="C3">
        <v>17</v>
      </c>
      <c r="D3" s="2" t="s">
        <v>34</v>
      </c>
      <c r="E3">
        <v>4063947052</v>
      </c>
      <c r="F3">
        <v>1580514834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>
        <v>43885.75</v>
      </c>
      <c r="B4" s="2" t="s">
        <v>12</v>
      </c>
      <c r="C4">
        <v>4</v>
      </c>
      <c r="D4" s="2" t="s">
        <v>35</v>
      </c>
      <c r="E4">
        <v>4649933453</v>
      </c>
      <c r="F4">
        <v>1135662422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</row>
    <row r="5" spans="1:16" x14ac:dyDescent="0.25">
      <c r="A5" s="1">
        <v>43885.75</v>
      </c>
      <c r="B5" s="2" t="s">
        <v>12</v>
      </c>
      <c r="C5">
        <v>18</v>
      </c>
      <c r="D5" s="2" t="s">
        <v>36</v>
      </c>
      <c r="E5">
        <v>3890597598</v>
      </c>
      <c r="F5">
        <v>1659440194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</row>
    <row r="6" spans="1:16" x14ac:dyDescent="0.25">
      <c r="A6" s="1">
        <v>43885.75</v>
      </c>
      <c r="B6" s="2" t="s">
        <v>12</v>
      </c>
      <c r="C6">
        <v>15</v>
      </c>
      <c r="D6" s="2" t="s">
        <v>37</v>
      </c>
      <c r="E6">
        <v>4083956555</v>
      </c>
      <c r="F6">
        <v>1425084984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10</v>
      </c>
    </row>
    <row r="7" spans="1:16" x14ac:dyDescent="0.25">
      <c r="A7" s="1">
        <v>43885.75</v>
      </c>
      <c r="B7" s="2" t="s">
        <v>12</v>
      </c>
      <c r="C7">
        <v>8</v>
      </c>
      <c r="D7" s="2" t="s">
        <v>38</v>
      </c>
      <c r="E7">
        <v>4449436681</v>
      </c>
      <c r="F7">
        <v>113417208</v>
      </c>
      <c r="G7">
        <v>10</v>
      </c>
      <c r="H7">
        <v>2</v>
      </c>
      <c r="I7">
        <v>12</v>
      </c>
      <c r="J7">
        <v>6</v>
      </c>
      <c r="K7">
        <v>18</v>
      </c>
      <c r="L7">
        <v>18</v>
      </c>
      <c r="M7">
        <v>0</v>
      </c>
      <c r="N7">
        <v>0</v>
      </c>
      <c r="O7">
        <v>18</v>
      </c>
      <c r="P7">
        <v>148</v>
      </c>
    </row>
    <row r="8" spans="1:16" x14ac:dyDescent="0.25">
      <c r="A8" s="1">
        <v>43885.75</v>
      </c>
      <c r="B8" s="2" t="s">
        <v>12</v>
      </c>
      <c r="C8">
        <v>6</v>
      </c>
      <c r="D8" s="2" t="s">
        <v>39</v>
      </c>
      <c r="E8">
        <v>456494354</v>
      </c>
      <c r="F8">
        <v>1376813649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58</v>
      </c>
    </row>
    <row r="9" spans="1:16" x14ac:dyDescent="0.25">
      <c r="A9" s="1">
        <v>43885.75</v>
      </c>
      <c r="B9" s="2" t="s">
        <v>12</v>
      </c>
      <c r="C9">
        <v>12</v>
      </c>
      <c r="D9" s="2" t="s">
        <v>40</v>
      </c>
      <c r="E9">
        <v>4189277044</v>
      </c>
      <c r="F9">
        <v>1248366722</v>
      </c>
      <c r="G9">
        <v>1</v>
      </c>
      <c r="H9">
        <v>1</v>
      </c>
      <c r="I9">
        <v>2</v>
      </c>
      <c r="J9">
        <v>0</v>
      </c>
      <c r="K9">
        <v>2</v>
      </c>
      <c r="L9">
        <v>2</v>
      </c>
      <c r="M9">
        <v>1</v>
      </c>
      <c r="N9">
        <v>0</v>
      </c>
      <c r="O9">
        <v>3</v>
      </c>
      <c r="P9">
        <v>124</v>
      </c>
    </row>
    <row r="10" spans="1:16" x14ac:dyDescent="0.25">
      <c r="A10" s="1">
        <v>43885.75</v>
      </c>
      <c r="B10" s="2" t="s">
        <v>12</v>
      </c>
      <c r="C10">
        <v>7</v>
      </c>
      <c r="D10" s="2" t="s">
        <v>41</v>
      </c>
      <c r="E10">
        <v>4441149315</v>
      </c>
      <c r="F10">
        <v>89326992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</row>
    <row r="11" spans="1:16" x14ac:dyDescent="0.25">
      <c r="A11" s="1">
        <v>43885.75</v>
      </c>
      <c r="B11" s="2" t="s">
        <v>12</v>
      </c>
      <c r="C11">
        <v>3</v>
      </c>
      <c r="D11" s="2" t="s">
        <v>42</v>
      </c>
      <c r="E11">
        <v>4546679409</v>
      </c>
      <c r="F11">
        <v>9190347404</v>
      </c>
      <c r="G11">
        <v>76</v>
      </c>
      <c r="H11">
        <v>19</v>
      </c>
      <c r="I11">
        <v>95</v>
      </c>
      <c r="J11">
        <v>71</v>
      </c>
      <c r="K11">
        <v>166</v>
      </c>
      <c r="L11">
        <v>166</v>
      </c>
      <c r="M11">
        <v>0</v>
      </c>
      <c r="N11">
        <v>6</v>
      </c>
      <c r="O11">
        <v>172</v>
      </c>
      <c r="P11">
        <v>1463</v>
      </c>
    </row>
    <row r="12" spans="1:16" x14ac:dyDescent="0.25">
      <c r="A12" s="1">
        <v>43885.75</v>
      </c>
      <c r="B12" s="2" t="s">
        <v>12</v>
      </c>
      <c r="C12">
        <v>11</v>
      </c>
      <c r="D12" s="2" t="s">
        <v>43</v>
      </c>
      <c r="E12">
        <v>4361675973</v>
      </c>
      <c r="F12">
        <v>135188753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16</v>
      </c>
    </row>
    <row r="13" spans="1:16" x14ac:dyDescent="0.25">
      <c r="A13" s="1">
        <v>43885.75</v>
      </c>
      <c r="B13" s="2" t="s">
        <v>12</v>
      </c>
      <c r="C13">
        <v>14</v>
      </c>
      <c r="D13" s="2" t="s">
        <v>44</v>
      </c>
      <c r="E13">
        <v>4155774754</v>
      </c>
      <c r="F13">
        <v>1465916051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5">
      <c r="A14" s="1">
        <v>43885.75</v>
      </c>
      <c r="B14" s="2" t="s">
        <v>12</v>
      </c>
      <c r="C14">
        <v>1</v>
      </c>
      <c r="D14" s="2" t="s">
        <v>45</v>
      </c>
      <c r="E14">
        <v>450732745</v>
      </c>
      <c r="F14">
        <v>7680687483</v>
      </c>
      <c r="G14">
        <v>2</v>
      </c>
      <c r="H14">
        <v>0</v>
      </c>
      <c r="I14">
        <v>2</v>
      </c>
      <c r="J14">
        <v>1</v>
      </c>
      <c r="K14">
        <v>3</v>
      </c>
      <c r="L14">
        <v>3</v>
      </c>
      <c r="M14">
        <v>0</v>
      </c>
      <c r="N14">
        <v>0</v>
      </c>
      <c r="O14">
        <v>3</v>
      </c>
      <c r="P14">
        <v>141</v>
      </c>
    </row>
    <row r="15" spans="1:16" x14ac:dyDescent="0.25">
      <c r="A15" s="1">
        <v>43885.75</v>
      </c>
      <c r="B15" s="2" t="s">
        <v>12</v>
      </c>
      <c r="C15">
        <v>16</v>
      </c>
      <c r="D15" s="2" t="s">
        <v>46</v>
      </c>
      <c r="E15">
        <v>4112559576</v>
      </c>
      <c r="F15">
        <v>1686736689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5">
      <c r="A16" s="1">
        <v>43885.75</v>
      </c>
      <c r="B16" s="2" t="s">
        <v>12</v>
      </c>
      <c r="C16">
        <v>20</v>
      </c>
      <c r="D16" s="2" t="s">
        <v>47</v>
      </c>
      <c r="E16">
        <v>3921531192</v>
      </c>
      <c r="F16">
        <v>9110616306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</row>
    <row r="17" spans="1:16" x14ac:dyDescent="0.25">
      <c r="A17" s="1">
        <v>43885.75</v>
      </c>
      <c r="B17" s="2" t="s">
        <v>12</v>
      </c>
      <c r="C17">
        <v>19</v>
      </c>
      <c r="D17" s="2" t="s">
        <v>48</v>
      </c>
      <c r="E17">
        <v>3811569725</v>
      </c>
      <c r="F17">
        <v>133623567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5</v>
      </c>
    </row>
    <row r="18" spans="1:16" x14ac:dyDescent="0.25">
      <c r="A18" s="1">
        <v>43885.75</v>
      </c>
      <c r="B18" s="2" t="s">
        <v>12</v>
      </c>
      <c r="C18">
        <v>9</v>
      </c>
      <c r="D18" s="2" t="s">
        <v>49</v>
      </c>
      <c r="E18">
        <v>4376923077</v>
      </c>
      <c r="F18">
        <v>1125588885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140</v>
      </c>
    </row>
    <row r="19" spans="1:16" x14ac:dyDescent="0.25">
      <c r="A19" s="1">
        <v>43885.75</v>
      </c>
      <c r="B19" s="2" t="s">
        <v>12</v>
      </c>
      <c r="C19">
        <v>4</v>
      </c>
      <c r="D19" s="2" t="s">
        <v>50</v>
      </c>
      <c r="E19">
        <v>4606893511</v>
      </c>
      <c r="F19">
        <v>1112123097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3</v>
      </c>
    </row>
    <row r="20" spans="1:16" x14ac:dyDescent="0.25">
      <c r="A20" s="1">
        <v>43885.75</v>
      </c>
      <c r="B20" s="2" t="s">
        <v>12</v>
      </c>
      <c r="C20">
        <v>10</v>
      </c>
      <c r="D20" s="2" t="s">
        <v>51</v>
      </c>
      <c r="E20">
        <v>4310675841</v>
      </c>
      <c r="F20">
        <v>1238824698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 s="1">
        <v>43885.75</v>
      </c>
      <c r="B21" s="2" t="s">
        <v>12</v>
      </c>
      <c r="C21">
        <v>2</v>
      </c>
      <c r="D21" s="2" t="s">
        <v>52</v>
      </c>
      <c r="E21">
        <v>4573750286</v>
      </c>
      <c r="F21">
        <v>7320149366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7</v>
      </c>
    </row>
    <row r="22" spans="1:16" x14ac:dyDescent="0.25">
      <c r="A22" s="1">
        <v>43885.75</v>
      </c>
      <c r="B22" s="2" t="s">
        <v>12</v>
      </c>
      <c r="C22">
        <v>5</v>
      </c>
      <c r="D22" s="2" t="s">
        <v>53</v>
      </c>
      <c r="E22">
        <v>4543490485</v>
      </c>
      <c r="F22">
        <v>1233845213</v>
      </c>
      <c r="G22">
        <v>12</v>
      </c>
      <c r="H22">
        <v>4</v>
      </c>
      <c r="I22">
        <v>16</v>
      </c>
      <c r="J22">
        <v>16</v>
      </c>
      <c r="K22">
        <v>32</v>
      </c>
      <c r="L22">
        <v>32</v>
      </c>
      <c r="M22">
        <v>0</v>
      </c>
      <c r="N22">
        <v>1</v>
      </c>
      <c r="O22">
        <v>33</v>
      </c>
      <c r="P22">
        <v>2200</v>
      </c>
    </row>
    <row r="23" spans="1:16" x14ac:dyDescent="0.25">
      <c r="A23" s="1">
        <v>43886.75</v>
      </c>
      <c r="B23" s="2" t="s">
        <v>12</v>
      </c>
      <c r="C23">
        <v>13</v>
      </c>
      <c r="D23" s="2" t="s">
        <v>33</v>
      </c>
      <c r="E23">
        <v>4235122196</v>
      </c>
      <c r="F23">
        <v>1339843823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5</v>
      </c>
    </row>
    <row r="24" spans="1:16" x14ac:dyDescent="0.25">
      <c r="A24" s="1">
        <v>43886.75</v>
      </c>
      <c r="B24" s="2" t="s">
        <v>12</v>
      </c>
      <c r="C24">
        <v>17</v>
      </c>
      <c r="D24" s="2" t="s">
        <v>34</v>
      </c>
      <c r="E24">
        <v>4063947052</v>
      </c>
      <c r="F24">
        <v>1580514834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5">
      <c r="A25" s="1">
        <v>43886.75</v>
      </c>
      <c r="B25" s="2" t="s">
        <v>12</v>
      </c>
      <c r="C25">
        <v>4</v>
      </c>
      <c r="D25" s="2" t="s">
        <v>35</v>
      </c>
      <c r="E25">
        <v>4649933453</v>
      </c>
      <c r="F25">
        <v>1135662422</v>
      </c>
      <c r="G25">
        <v>1</v>
      </c>
      <c r="H25">
        <v>0</v>
      </c>
      <c r="I25">
        <v>1</v>
      </c>
      <c r="J25">
        <v>0</v>
      </c>
      <c r="K25">
        <v>1</v>
      </c>
      <c r="L25">
        <v>1</v>
      </c>
      <c r="M25">
        <v>0</v>
      </c>
      <c r="N25">
        <v>0</v>
      </c>
      <c r="O25">
        <v>1</v>
      </c>
      <c r="P25">
        <v>1</v>
      </c>
    </row>
    <row r="26" spans="1:16" x14ac:dyDescent="0.25">
      <c r="A26" s="1">
        <v>43886.75</v>
      </c>
      <c r="B26" s="2" t="s">
        <v>12</v>
      </c>
      <c r="C26">
        <v>18</v>
      </c>
      <c r="D26" s="2" t="s">
        <v>36</v>
      </c>
      <c r="E26">
        <v>3890597598</v>
      </c>
      <c r="F26">
        <v>1659440194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2</v>
      </c>
    </row>
    <row r="27" spans="1:16" x14ac:dyDescent="0.25">
      <c r="A27" s="1">
        <v>43886.75</v>
      </c>
      <c r="B27" s="2" t="s">
        <v>12</v>
      </c>
      <c r="C27">
        <v>15</v>
      </c>
      <c r="D27" s="2" t="s">
        <v>37</v>
      </c>
      <c r="E27">
        <v>4083956555</v>
      </c>
      <c r="F27">
        <v>1425084984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10</v>
      </c>
    </row>
    <row r="28" spans="1:16" x14ac:dyDescent="0.25">
      <c r="A28" s="1">
        <v>43886.75</v>
      </c>
      <c r="B28" s="2" t="s">
        <v>12</v>
      </c>
      <c r="C28">
        <v>8</v>
      </c>
      <c r="D28" s="2" t="s">
        <v>38</v>
      </c>
      <c r="E28">
        <v>4449436681</v>
      </c>
      <c r="F28">
        <v>113417208</v>
      </c>
      <c r="G28">
        <v>15</v>
      </c>
      <c r="H28">
        <v>2</v>
      </c>
      <c r="I28">
        <v>17</v>
      </c>
      <c r="J28">
        <v>9</v>
      </c>
      <c r="K28">
        <v>26</v>
      </c>
      <c r="L28">
        <v>8</v>
      </c>
      <c r="M28">
        <v>0</v>
      </c>
      <c r="N28">
        <v>0</v>
      </c>
      <c r="O28">
        <v>26</v>
      </c>
      <c r="P28">
        <v>391</v>
      </c>
    </row>
    <row r="29" spans="1:16" x14ac:dyDescent="0.25">
      <c r="A29" s="1">
        <v>43886.75</v>
      </c>
      <c r="B29" s="2" t="s">
        <v>12</v>
      </c>
      <c r="C29">
        <v>6</v>
      </c>
      <c r="D29" s="2" t="s">
        <v>39</v>
      </c>
      <c r="E29">
        <v>456494354</v>
      </c>
      <c r="F29">
        <v>1376813649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89</v>
      </c>
    </row>
    <row r="30" spans="1:16" x14ac:dyDescent="0.25">
      <c r="A30" s="1">
        <v>43886.75</v>
      </c>
      <c r="B30" s="2" t="s">
        <v>12</v>
      </c>
      <c r="C30">
        <v>12</v>
      </c>
      <c r="D30" s="2" t="s">
        <v>40</v>
      </c>
      <c r="E30">
        <v>4189277044</v>
      </c>
      <c r="F30">
        <v>1248366722</v>
      </c>
      <c r="G30">
        <v>1</v>
      </c>
      <c r="H30">
        <v>1</v>
      </c>
      <c r="I30">
        <v>2</v>
      </c>
      <c r="J30">
        <v>0</v>
      </c>
      <c r="K30">
        <v>2</v>
      </c>
      <c r="L30">
        <v>0</v>
      </c>
      <c r="M30">
        <v>1</v>
      </c>
      <c r="N30">
        <v>0</v>
      </c>
      <c r="O30">
        <v>3</v>
      </c>
      <c r="P30">
        <v>124</v>
      </c>
    </row>
    <row r="31" spans="1:16" x14ac:dyDescent="0.25">
      <c r="A31" s="1">
        <v>43886.75</v>
      </c>
      <c r="B31" s="2" t="s">
        <v>12</v>
      </c>
      <c r="C31">
        <v>7</v>
      </c>
      <c r="D31" s="2" t="s">
        <v>41</v>
      </c>
      <c r="E31">
        <v>4441149315</v>
      </c>
      <c r="F31">
        <v>89326992</v>
      </c>
      <c r="G31">
        <v>1</v>
      </c>
      <c r="H31">
        <v>0</v>
      </c>
      <c r="I31">
        <v>1</v>
      </c>
      <c r="J31">
        <v>0</v>
      </c>
      <c r="K31">
        <v>1</v>
      </c>
      <c r="L31">
        <v>1</v>
      </c>
      <c r="M31">
        <v>0</v>
      </c>
      <c r="N31">
        <v>0</v>
      </c>
      <c r="O31">
        <v>1</v>
      </c>
      <c r="P31">
        <v>39</v>
      </c>
    </row>
    <row r="32" spans="1:16" x14ac:dyDescent="0.25">
      <c r="A32" s="1">
        <v>43886.75</v>
      </c>
      <c r="B32" s="2" t="s">
        <v>12</v>
      </c>
      <c r="C32">
        <v>3</v>
      </c>
      <c r="D32" s="2" t="s">
        <v>42</v>
      </c>
      <c r="E32">
        <v>4546679409</v>
      </c>
      <c r="F32">
        <v>9190347404</v>
      </c>
      <c r="G32">
        <v>79</v>
      </c>
      <c r="H32">
        <v>25</v>
      </c>
      <c r="I32">
        <v>104</v>
      </c>
      <c r="J32">
        <v>127</v>
      </c>
      <c r="K32">
        <v>231</v>
      </c>
      <c r="L32">
        <v>65</v>
      </c>
      <c r="M32">
        <v>0</v>
      </c>
      <c r="N32">
        <v>9</v>
      </c>
      <c r="O32">
        <v>240</v>
      </c>
      <c r="P32">
        <v>3700</v>
      </c>
    </row>
    <row r="33" spans="1:16" x14ac:dyDescent="0.25">
      <c r="A33" s="1">
        <v>43886.75</v>
      </c>
      <c r="B33" s="2" t="s">
        <v>12</v>
      </c>
      <c r="C33">
        <v>11</v>
      </c>
      <c r="D33" s="2" t="s">
        <v>43</v>
      </c>
      <c r="E33">
        <v>4361675973</v>
      </c>
      <c r="F33">
        <v>135188753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21</v>
      </c>
    </row>
    <row r="34" spans="1:16" x14ac:dyDescent="0.25">
      <c r="A34" s="1">
        <v>43886.75</v>
      </c>
      <c r="B34" s="2" t="s">
        <v>12</v>
      </c>
      <c r="C34">
        <v>14</v>
      </c>
      <c r="D34" s="2" t="s">
        <v>44</v>
      </c>
      <c r="E34">
        <v>4155774754</v>
      </c>
      <c r="F34">
        <v>1465916051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 s="1">
        <v>43886.75</v>
      </c>
      <c r="B35" s="2" t="s">
        <v>12</v>
      </c>
      <c r="C35">
        <v>1</v>
      </c>
      <c r="D35" s="2" t="s">
        <v>45</v>
      </c>
      <c r="E35">
        <v>450732745</v>
      </c>
      <c r="F35">
        <v>7680687483</v>
      </c>
      <c r="G35">
        <v>2</v>
      </c>
      <c r="H35">
        <v>0</v>
      </c>
      <c r="I35">
        <v>2</v>
      </c>
      <c r="J35">
        <v>1</v>
      </c>
      <c r="K35">
        <v>3</v>
      </c>
      <c r="L35">
        <v>0</v>
      </c>
      <c r="M35">
        <v>0</v>
      </c>
      <c r="N35">
        <v>0</v>
      </c>
      <c r="O35">
        <v>3</v>
      </c>
      <c r="P35">
        <v>141</v>
      </c>
    </row>
    <row r="36" spans="1:16" x14ac:dyDescent="0.25">
      <c r="A36" s="1">
        <v>43886.75</v>
      </c>
      <c r="B36" s="2" t="s">
        <v>12</v>
      </c>
      <c r="C36">
        <v>16</v>
      </c>
      <c r="D36" s="2" t="s">
        <v>46</v>
      </c>
      <c r="E36">
        <v>4112559576</v>
      </c>
      <c r="F36">
        <v>1686736689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s="1">
        <v>43886.75</v>
      </c>
      <c r="B37" s="2" t="s">
        <v>12</v>
      </c>
      <c r="C37">
        <v>20</v>
      </c>
      <c r="D37" s="2" t="s">
        <v>47</v>
      </c>
      <c r="E37">
        <v>3921531192</v>
      </c>
      <c r="F37">
        <v>9110616306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</row>
    <row r="38" spans="1:16" x14ac:dyDescent="0.25">
      <c r="A38" s="1">
        <v>43886.75</v>
      </c>
      <c r="B38" s="2" t="s">
        <v>12</v>
      </c>
      <c r="C38">
        <v>19</v>
      </c>
      <c r="D38" s="2" t="s">
        <v>48</v>
      </c>
      <c r="E38">
        <v>3811569725</v>
      </c>
      <c r="F38">
        <v>133623567</v>
      </c>
      <c r="G38">
        <v>1</v>
      </c>
      <c r="H38">
        <v>0</v>
      </c>
      <c r="I38">
        <v>2</v>
      </c>
      <c r="J38">
        <v>2</v>
      </c>
      <c r="K38">
        <v>3</v>
      </c>
      <c r="L38">
        <v>3</v>
      </c>
      <c r="M38">
        <v>0</v>
      </c>
      <c r="N38">
        <v>0</v>
      </c>
      <c r="O38">
        <v>3</v>
      </c>
      <c r="P38">
        <v>5</v>
      </c>
    </row>
    <row r="39" spans="1:16" x14ac:dyDescent="0.25">
      <c r="A39" s="1">
        <v>43886.75</v>
      </c>
      <c r="B39" s="2" t="s">
        <v>12</v>
      </c>
      <c r="C39">
        <v>9</v>
      </c>
      <c r="D39" s="2" t="s">
        <v>49</v>
      </c>
      <c r="E39">
        <v>4376923077</v>
      </c>
      <c r="F39">
        <v>1125588885</v>
      </c>
      <c r="G39">
        <v>2</v>
      </c>
      <c r="H39">
        <v>0</v>
      </c>
      <c r="I39">
        <v>2</v>
      </c>
      <c r="J39">
        <v>0</v>
      </c>
      <c r="K39">
        <v>2</v>
      </c>
      <c r="L39">
        <v>2</v>
      </c>
      <c r="M39">
        <v>0</v>
      </c>
      <c r="N39">
        <v>0</v>
      </c>
      <c r="O39">
        <v>2</v>
      </c>
      <c r="P39">
        <v>296</v>
      </c>
    </row>
    <row r="40" spans="1:16" x14ac:dyDescent="0.25">
      <c r="A40" s="1">
        <v>43886.75</v>
      </c>
      <c r="B40" s="2" t="s">
        <v>12</v>
      </c>
      <c r="C40">
        <v>4</v>
      </c>
      <c r="D40" s="2" t="s">
        <v>50</v>
      </c>
      <c r="E40">
        <v>4606893511</v>
      </c>
      <c r="F40">
        <v>1112123097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3</v>
      </c>
    </row>
    <row r="41" spans="1:16" x14ac:dyDescent="0.25">
      <c r="A41" s="1">
        <v>43886.75</v>
      </c>
      <c r="B41" s="2" t="s">
        <v>12</v>
      </c>
      <c r="C41">
        <v>10</v>
      </c>
      <c r="D41" s="2" t="s">
        <v>51</v>
      </c>
      <c r="E41">
        <v>4310675841</v>
      </c>
      <c r="F41">
        <v>1238824698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8</v>
      </c>
    </row>
    <row r="42" spans="1:16" x14ac:dyDescent="0.25">
      <c r="A42" s="1">
        <v>43886.75</v>
      </c>
      <c r="B42" s="2" t="s">
        <v>12</v>
      </c>
      <c r="C42">
        <v>2</v>
      </c>
      <c r="D42" s="2" t="s">
        <v>52</v>
      </c>
      <c r="E42">
        <v>4573750286</v>
      </c>
      <c r="F42">
        <v>7320149366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7</v>
      </c>
    </row>
    <row r="43" spans="1:16" x14ac:dyDescent="0.25">
      <c r="A43" s="1">
        <v>43886.75</v>
      </c>
      <c r="B43" s="2" t="s">
        <v>12</v>
      </c>
      <c r="C43">
        <v>5</v>
      </c>
      <c r="D43" s="2" t="s">
        <v>53</v>
      </c>
      <c r="E43">
        <v>4543490485</v>
      </c>
      <c r="F43">
        <v>1233845213</v>
      </c>
      <c r="G43">
        <v>12</v>
      </c>
      <c r="H43">
        <v>7</v>
      </c>
      <c r="I43">
        <v>19</v>
      </c>
      <c r="J43">
        <v>23</v>
      </c>
      <c r="K43">
        <v>42</v>
      </c>
      <c r="L43">
        <v>10</v>
      </c>
      <c r="M43">
        <v>0</v>
      </c>
      <c r="N43">
        <v>1</v>
      </c>
      <c r="O43">
        <v>43</v>
      </c>
      <c r="P43">
        <v>3780</v>
      </c>
    </row>
    <row r="44" spans="1:16" x14ac:dyDescent="0.25">
      <c r="A44" s="1">
        <v>43887.75</v>
      </c>
      <c r="B44" s="2" t="s">
        <v>12</v>
      </c>
      <c r="C44">
        <v>13</v>
      </c>
      <c r="D44" s="2" t="s">
        <v>33</v>
      </c>
      <c r="E44">
        <v>4235122196</v>
      </c>
      <c r="F44">
        <v>1339843823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13</v>
      </c>
    </row>
    <row r="45" spans="1:16" x14ac:dyDescent="0.25">
      <c r="A45" s="1">
        <v>43887.75</v>
      </c>
      <c r="B45" s="2" t="s">
        <v>12</v>
      </c>
      <c r="C45">
        <v>17</v>
      </c>
      <c r="D45" s="2" t="s">
        <v>34</v>
      </c>
      <c r="E45">
        <v>4063947052</v>
      </c>
      <c r="F45">
        <v>1580514834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x14ac:dyDescent="0.25">
      <c r="A46" s="1">
        <v>43887.75</v>
      </c>
      <c r="B46" s="2" t="s">
        <v>12</v>
      </c>
      <c r="C46">
        <v>4</v>
      </c>
      <c r="D46" s="2" t="s">
        <v>35</v>
      </c>
      <c r="E46">
        <v>4649933453</v>
      </c>
      <c r="F46">
        <v>1135662422</v>
      </c>
      <c r="G46">
        <v>1</v>
      </c>
      <c r="H46">
        <v>0</v>
      </c>
      <c r="I46">
        <v>1</v>
      </c>
      <c r="J46">
        <v>0</v>
      </c>
      <c r="K46">
        <v>1</v>
      </c>
      <c r="L46">
        <v>0</v>
      </c>
      <c r="M46">
        <v>0</v>
      </c>
      <c r="N46">
        <v>0</v>
      </c>
      <c r="O46">
        <v>1</v>
      </c>
      <c r="P46">
        <v>1</v>
      </c>
    </row>
    <row r="47" spans="1:16" x14ac:dyDescent="0.25">
      <c r="A47" s="1">
        <v>43887.75</v>
      </c>
      <c r="B47" s="2" t="s">
        <v>12</v>
      </c>
      <c r="C47">
        <v>18</v>
      </c>
      <c r="D47" s="2" t="s">
        <v>36</v>
      </c>
      <c r="E47">
        <v>3890597598</v>
      </c>
      <c r="F47">
        <v>1659440194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3</v>
      </c>
    </row>
    <row r="48" spans="1:16" x14ac:dyDescent="0.25">
      <c r="A48" s="1">
        <v>43887.75</v>
      </c>
      <c r="B48" s="2" t="s">
        <v>12</v>
      </c>
      <c r="C48">
        <v>15</v>
      </c>
      <c r="D48" s="2" t="s">
        <v>37</v>
      </c>
      <c r="E48">
        <v>4083956555</v>
      </c>
      <c r="F48">
        <v>1425084984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</v>
      </c>
    </row>
    <row r="49" spans="1:16" x14ac:dyDescent="0.25">
      <c r="A49" s="1">
        <v>43887.75</v>
      </c>
      <c r="B49" s="2" t="s">
        <v>12</v>
      </c>
      <c r="C49">
        <v>8</v>
      </c>
      <c r="D49" s="2" t="s">
        <v>38</v>
      </c>
      <c r="E49">
        <v>4449436681</v>
      </c>
      <c r="F49">
        <v>113417208</v>
      </c>
      <c r="G49">
        <v>20</v>
      </c>
      <c r="H49">
        <v>3</v>
      </c>
      <c r="I49">
        <v>23</v>
      </c>
      <c r="J49">
        <v>23</v>
      </c>
      <c r="K49">
        <v>46</v>
      </c>
      <c r="L49">
        <v>20</v>
      </c>
      <c r="M49">
        <v>0</v>
      </c>
      <c r="N49">
        <v>1</v>
      </c>
      <c r="O49">
        <v>47</v>
      </c>
      <c r="P49">
        <v>577</v>
      </c>
    </row>
    <row r="50" spans="1:16" x14ac:dyDescent="0.25">
      <c r="A50" s="1">
        <v>43887.75</v>
      </c>
      <c r="B50" s="2" t="s">
        <v>12</v>
      </c>
      <c r="C50">
        <v>6</v>
      </c>
      <c r="D50" s="2" t="s">
        <v>39</v>
      </c>
      <c r="E50">
        <v>456494354</v>
      </c>
      <c r="F50">
        <v>1376813649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114</v>
      </c>
    </row>
    <row r="51" spans="1:16" x14ac:dyDescent="0.25">
      <c r="A51" s="1">
        <v>43887.75</v>
      </c>
      <c r="B51" s="2" t="s">
        <v>12</v>
      </c>
      <c r="C51">
        <v>12</v>
      </c>
      <c r="D51" s="2" t="s">
        <v>40</v>
      </c>
      <c r="E51">
        <v>4189277044</v>
      </c>
      <c r="F51">
        <v>1248366722</v>
      </c>
      <c r="G51">
        <v>0</v>
      </c>
      <c r="H51">
        <v>0</v>
      </c>
      <c r="I51">
        <v>0</v>
      </c>
      <c r="J51">
        <v>0</v>
      </c>
      <c r="K51">
        <v>0</v>
      </c>
      <c r="L51">
        <v>-2</v>
      </c>
      <c r="M51">
        <v>3</v>
      </c>
      <c r="N51">
        <v>0</v>
      </c>
      <c r="O51">
        <v>3</v>
      </c>
      <c r="P51">
        <v>124</v>
      </c>
    </row>
    <row r="52" spans="1:16" x14ac:dyDescent="0.25">
      <c r="A52" s="1">
        <v>43887.75</v>
      </c>
      <c r="B52" s="2" t="s">
        <v>12</v>
      </c>
      <c r="C52">
        <v>7</v>
      </c>
      <c r="D52" s="2" t="s">
        <v>41</v>
      </c>
      <c r="E52">
        <v>4441149315</v>
      </c>
      <c r="F52">
        <v>89326992</v>
      </c>
      <c r="G52">
        <v>6</v>
      </c>
      <c r="H52">
        <v>0</v>
      </c>
      <c r="I52">
        <v>6</v>
      </c>
      <c r="J52">
        <v>5</v>
      </c>
      <c r="K52">
        <v>11</v>
      </c>
      <c r="L52">
        <v>10</v>
      </c>
      <c r="M52">
        <v>0</v>
      </c>
      <c r="N52">
        <v>0</v>
      </c>
      <c r="O52">
        <v>11</v>
      </c>
      <c r="P52">
        <v>66</v>
      </c>
    </row>
    <row r="53" spans="1:16" x14ac:dyDescent="0.25">
      <c r="A53" s="1">
        <v>43887.75</v>
      </c>
      <c r="B53" s="2" t="s">
        <v>12</v>
      </c>
      <c r="C53">
        <v>3</v>
      </c>
      <c r="D53" s="2" t="s">
        <v>42</v>
      </c>
      <c r="E53">
        <v>4546679409</v>
      </c>
      <c r="F53">
        <v>9190347404</v>
      </c>
      <c r="G53">
        <v>79</v>
      </c>
      <c r="H53">
        <v>25</v>
      </c>
      <c r="I53">
        <v>104</v>
      </c>
      <c r="J53">
        <v>145</v>
      </c>
      <c r="K53">
        <v>249</v>
      </c>
      <c r="L53">
        <v>18</v>
      </c>
      <c r="M53">
        <v>0</v>
      </c>
      <c r="N53">
        <v>9</v>
      </c>
      <c r="O53">
        <v>258</v>
      </c>
      <c r="P53">
        <v>3208</v>
      </c>
    </row>
    <row r="54" spans="1:16" x14ac:dyDescent="0.25">
      <c r="A54" s="1">
        <v>43887.75</v>
      </c>
      <c r="B54" s="2" t="s">
        <v>12</v>
      </c>
      <c r="C54">
        <v>11</v>
      </c>
      <c r="D54" s="2" t="s">
        <v>43</v>
      </c>
      <c r="E54">
        <v>4361675973</v>
      </c>
      <c r="F54">
        <v>135188753</v>
      </c>
      <c r="G54">
        <v>1</v>
      </c>
      <c r="H54">
        <v>0</v>
      </c>
      <c r="I54">
        <v>1</v>
      </c>
      <c r="J54">
        <v>0</v>
      </c>
      <c r="K54">
        <v>1</v>
      </c>
      <c r="L54">
        <v>1</v>
      </c>
      <c r="M54">
        <v>0</v>
      </c>
      <c r="N54">
        <v>0</v>
      </c>
      <c r="O54">
        <v>1</v>
      </c>
      <c r="P54">
        <v>28</v>
      </c>
    </row>
    <row r="55" spans="1:16" x14ac:dyDescent="0.25">
      <c r="A55" s="1">
        <v>43887.75</v>
      </c>
      <c r="B55" s="2" t="s">
        <v>12</v>
      </c>
      <c r="C55">
        <v>14</v>
      </c>
      <c r="D55" s="2" t="s">
        <v>44</v>
      </c>
      <c r="E55">
        <v>4155774754</v>
      </c>
      <c r="F55">
        <v>1465916051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x14ac:dyDescent="0.25">
      <c r="A56" s="1">
        <v>43887.75</v>
      </c>
      <c r="B56" s="2" t="s">
        <v>12</v>
      </c>
      <c r="C56">
        <v>1</v>
      </c>
      <c r="D56" s="2" t="s">
        <v>45</v>
      </c>
      <c r="E56">
        <v>450732745</v>
      </c>
      <c r="F56">
        <v>7680687483</v>
      </c>
      <c r="G56">
        <v>2</v>
      </c>
      <c r="H56">
        <v>0</v>
      </c>
      <c r="I56">
        <v>2</v>
      </c>
      <c r="J56">
        <v>1</v>
      </c>
      <c r="K56">
        <v>3</v>
      </c>
      <c r="L56">
        <v>0</v>
      </c>
      <c r="M56">
        <v>0</v>
      </c>
      <c r="N56">
        <v>0</v>
      </c>
      <c r="O56">
        <v>3</v>
      </c>
      <c r="P56">
        <v>156</v>
      </c>
    </row>
    <row r="57" spans="1:16" x14ac:dyDescent="0.25">
      <c r="A57" s="1">
        <v>43887.75</v>
      </c>
      <c r="B57" s="2" t="s">
        <v>12</v>
      </c>
      <c r="C57">
        <v>16</v>
      </c>
      <c r="D57" s="2" t="s">
        <v>46</v>
      </c>
      <c r="E57">
        <v>4112559576</v>
      </c>
      <c r="F57">
        <v>1686736689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x14ac:dyDescent="0.25">
      <c r="A58" s="1">
        <v>43887.75</v>
      </c>
      <c r="B58" s="2" t="s">
        <v>12</v>
      </c>
      <c r="C58">
        <v>20</v>
      </c>
      <c r="D58" s="2" t="s">
        <v>47</v>
      </c>
      <c r="E58">
        <v>3921531192</v>
      </c>
      <c r="F58">
        <v>9110616306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</row>
    <row r="59" spans="1:16" x14ac:dyDescent="0.25">
      <c r="A59" s="1">
        <v>43887.75</v>
      </c>
      <c r="B59" s="2" t="s">
        <v>12</v>
      </c>
      <c r="C59">
        <v>19</v>
      </c>
      <c r="D59" s="2" t="s">
        <v>48</v>
      </c>
      <c r="E59">
        <v>3811569725</v>
      </c>
      <c r="F59">
        <v>133623567</v>
      </c>
      <c r="G59">
        <v>1</v>
      </c>
      <c r="H59">
        <v>0</v>
      </c>
      <c r="I59">
        <v>1</v>
      </c>
      <c r="J59">
        <v>2</v>
      </c>
      <c r="K59">
        <v>3</v>
      </c>
      <c r="L59">
        <v>0</v>
      </c>
      <c r="M59">
        <v>0</v>
      </c>
      <c r="N59">
        <v>0</v>
      </c>
      <c r="O59">
        <v>3</v>
      </c>
      <c r="P59">
        <v>5</v>
      </c>
    </row>
    <row r="60" spans="1:16" x14ac:dyDescent="0.25">
      <c r="A60" s="1">
        <v>43887.75</v>
      </c>
      <c r="B60" s="2" t="s">
        <v>12</v>
      </c>
      <c r="C60">
        <v>9</v>
      </c>
      <c r="D60" s="2" t="s">
        <v>49</v>
      </c>
      <c r="E60">
        <v>4376923077</v>
      </c>
      <c r="F60">
        <v>1125588885</v>
      </c>
      <c r="G60">
        <v>2</v>
      </c>
      <c r="H60">
        <v>0</v>
      </c>
      <c r="I60">
        <v>2</v>
      </c>
      <c r="J60">
        <v>0</v>
      </c>
      <c r="K60">
        <v>2</v>
      </c>
      <c r="L60">
        <v>0</v>
      </c>
      <c r="M60">
        <v>0</v>
      </c>
      <c r="N60">
        <v>0</v>
      </c>
      <c r="O60">
        <v>2</v>
      </c>
      <c r="P60">
        <v>363</v>
      </c>
    </row>
    <row r="61" spans="1:16" x14ac:dyDescent="0.25">
      <c r="A61" s="1">
        <v>43887.75</v>
      </c>
      <c r="B61" s="2" t="s">
        <v>12</v>
      </c>
      <c r="C61">
        <v>4</v>
      </c>
      <c r="D61" s="2" t="s">
        <v>50</v>
      </c>
      <c r="E61">
        <v>4606893511</v>
      </c>
      <c r="F61">
        <v>1112123097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3</v>
      </c>
    </row>
    <row r="62" spans="1:16" x14ac:dyDescent="0.25">
      <c r="A62" s="1">
        <v>43887.75</v>
      </c>
      <c r="B62" s="2" t="s">
        <v>12</v>
      </c>
      <c r="C62">
        <v>10</v>
      </c>
      <c r="D62" s="2" t="s">
        <v>51</v>
      </c>
      <c r="E62">
        <v>4310675841</v>
      </c>
      <c r="F62">
        <v>1238824698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8</v>
      </c>
    </row>
    <row r="63" spans="1:16" x14ac:dyDescent="0.25">
      <c r="A63" s="1">
        <v>43887.75</v>
      </c>
      <c r="B63" s="2" t="s">
        <v>12</v>
      </c>
      <c r="C63">
        <v>2</v>
      </c>
      <c r="D63" s="2" t="s">
        <v>52</v>
      </c>
      <c r="E63">
        <v>4573750286</v>
      </c>
      <c r="F63">
        <v>7320149366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7</v>
      </c>
    </row>
    <row r="64" spans="1:16" x14ac:dyDescent="0.25">
      <c r="A64" s="1">
        <v>43887.75</v>
      </c>
      <c r="B64" s="2" t="s">
        <v>12</v>
      </c>
      <c r="C64">
        <v>5</v>
      </c>
      <c r="D64" s="2" t="s">
        <v>53</v>
      </c>
      <c r="E64">
        <v>4543490485</v>
      </c>
      <c r="F64">
        <v>1233845213</v>
      </c>
      <c r="G64">
        <v>16</v>
      </c>
      <c r="H64">
        <v>8</v>
      </c>
      <c r="I64">
        <v>24</v>
      </c>
      <c r="J64">
        <v>45</v>
      </c>
      <c r="K64">
        <v>69</v>
      </c>
      <c r="L64">
        <v>27</v>
      </c>
      <c r="M64">
        <v>0</v>
      </c>
      <c r="N64">
        <v>2</v>
      </c>
      <c r="O64">
        <v>71</v>
      </c>
      <c r="P64">
        <v>4900</v>
      </c>
    </row>
    <row r="65" spans="1:16" x14ac:dyDescent="0.25">
      <c r="A65" s="1">
        <v>43888.75</v>
      </c>
      <c r="B65" s="2" t="s">
        <v>12</v>
      </c>
      <c r="C65">
        <v>13</v>
      </c>
      <c r="D65" s="2" t="s">
        <v>33</v>
      </c>
      <c r="E65">
        <v>4235122196</v>
      </c>
      <c r="F65">
        <v>1339843823</v>
      </c>
      <c r="G65">
        <v>1</v>
      </c>
      <c r="H65">
        <v>0</v>
      </c>
      <c r="I65">
        <v>1</v>
      </c>
      <c r="J65">
        <v>0</v>
      </c>
      <c r="K65">
        <v>1</v>
      </c>
      <c r="L65">
        <v>1</v>
      </c>
      <c r="M65">
        <v>0</v>
      </c>
      <c r="N65">
        <v>0</v>
      </c>
      <c r="O65">
        <v>1</v>
      </c>
      <c r="P65">
        <v>33</v>
      </c>
    </row>
    <row r="66" spans="1:16" x14ac:dyDescent="0.25">
      <c r="A66" s="1">
        <v>43888.75</v>
      </c>
      <c r="B66" s="2" t="s">
        <v>12</v>
      </c>
      <c r="C66">
        <v>17</v>
      </c>
      <c r="D66" s="2" t="s">
        <v>34</v>
      </c>
      <c r="E66">
        <v>4063947052</v>
      </c>
      <c r="F66">
        <v>1580514834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x14ac:dyDescent="0.25">
      <c r="A67" s="1">
        <v>43888.75</v>
      </c>
      <c r="B67" s="2" t="s">
        <v>12</v>
      </c>
      <c r="C67">
        <v>4</v>
      </c>
      <c r="D67" s="2" t="s">
        <v>35</v>
      </c>
      <c r="E67">
        <v>4649933453</v>
      </c>
      <c r="F67">
        <v>1135662422</v>
      </c>
      <c r="G67">
        <v>1</v>
      </c>
      <c r="H67">
        <v>0</v>
      </c>
      <c r="I67">
        <v>1</v>
      </c>
      <c r="J67">
        <v>0</v>
      </c>
      <c r="K67">
        <v>1</v>
      </c>
      <c r="L67">
        <v>0</v>
      </c>
      <c r="M67">
        <v>0</v>
      </c>
      <c r="N67">
        <v>0</v>
      </c>
      <c r="O67">
        <v>1</v>
      </c>
      <c r="P67">
        <v>2</v>
      </c>
    </row>
    <row r="68" spans="1:16" x14ac:dyDescent="0.25">
      <c r="A68" s="1">
        <v>43888.75</v>
      </c>
      <c r="B68" s="2" t="s">
        <v>12</v>
      </c>
      <c r="C68">
        <v>18</v>
      </c>
      <c r="D68" s="2" t="s">
        <v>36</v>
      </c>
      <c r="E68">
        <v>3890597598</v>
      </c>
      <c r="F68">
        <v>1659440194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14</v>
      </c>
    </row>
    <row r="69" spans="1:16" x14ac:dyDescent="0.25">
      <c r="A69" s="1">
        <v>43888.75</v>
      </c>
      <c r="B69" s="2" t="s">
        <v>12</v>
      </c>
      <c r="C69">
        <v>15</v>
      </c>
      <c r="D69" s="2" t="s">
        <v>37</v>
      </c>
      <c r="E69">
        <v>4083956555</v>
      </c>
      <c r="F69">
        <v>1425084984</v>
      </c>
      <c r="G69">
        <v>2</v>
      </c>
      <c r="H69">
        <v>0</v>
      </c>
      <c r="I69">
        <v>2</v>
      </c>
      <c r="J69">
        <v>1</v>
      </c>
      <c r="K69">
        <v>3</v>
      </c>
      <c r="L69">
        <v>3</v>
      </c>
      <c r="M69">
        <v>0</v>
      </c>
      <c r="N69">
        <v>0</v>
      </c>
      <c r="O69">
        <v>3</v>
      </c>
      <c r="P69">
        <v>10</v>
      </c>
    </row>
    <row r="70" spans="1:16" x14ac:dyDescent="0.25">
      <c r="A70" s="1">
        <v>43888.75</v>
      </c>
      <c r="B70" s="2" t="s">
        <v>12</v>
      </c>
      <c r="C70">
        <v>8</v>
      </c>
      <c r="D70" s="2" t="s">
        <v>38</v>
      </c>
      <c r="E70">
        <v>4449436681</v>
      </c>
      <c r="F70">
        <v>113417208</v>
      </c>
      <c r="G70">
        <v>36</v>
      </c>
      <c r="H70">
        <v>6</v>
      </c>
      <c r="I70">
        <v>42</v>
      </c>
      <c r="J70">
        <v>54</v>
      </c>
      <c r="K70">
        <v>96</v>
      </c>
      <c r="L70">
        <v>50</v>
      </c>
      <c r="M70">
        <v>0</v>
      </c>
      <c r="N70">
        <v>1</v>
      </c>
      <c r="O70">
        <v>97</v>
      </c>
      <c r="P70">
        <v>1033</v>
      </c>
    </row>
    <row r="71" spans="1:16" x14ac:dyDescent="0.25">
      <c r="A71" s="1">
        <v>43888.75</v>
      </c>
      <c r="B71" s="2" t="s">
        <v>12</v>
      </c>
      <c r="C71">
        <v>6</v>
      </c>
      <c r="D71" s="2" t="s">
        <v>39</v>
      </c>
      <c r="E71">
        <v>456494354</v>
      </c>
      <c r="F71">
        <v>1376813649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141</v>
      </c>
    </row>
    <row r="72" spans="1:16" x14ac:dyDescent="0.25">
      <c r="A72" s="1">
        <v>43888.75</v>
      </c>
      <c r="B72" s="2" t="s">
        <v>12</v>
      </c>
      <c r="C72">
        <v>12</v>
      </c>
      <c r="D72" s="2" t="s">
        <v>40</v>
      </c>
      <c r="E72">
        <v>4189277044</v>
      </c>
      <c r="F72">
        <v>1248366722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3</v>
      </c>
      <c r="N72">
        <v>0</v>
      </c>
      <c r="O72">
        <v>3</v>
      </c>
      <c r="P72">
        <v>552</v>
      </c>
    </row>
    <row r="73" spans="1:16" x14ac:dyDescent="0.25">
      <c r="A73" s="1">
        <v>43888.75</v>
      </c>
      <c r="B73" s="2" t="s">
        <v>12</v>
      </c>
      <c r="C73">
        <v>7</v>
      </c>
      <c r="D73" s="2" t="s">
        <v>41</v>
      </c>
      <c r="E73">
        <v>4441149315</v>
      </c>
      <c r="F73">
        <v>89326992</v>
      </c>
      <c r="G73">
        <v>9</v>
      </c>
      <c r="H73">
        <v>0</v>
      </c>
      <c r="I73">
        <v>9</v>
      </c>
      <c r="J73">
        <v>10</v>
      </c>
      <c r="K73">
        <v>19</v>
      </c>
      <c r="L73">
        <v>8</v>
      </c>
      <c r="M73">
        <v>0</v>
      </c>
      <c r="N73">
        <v>0</v>
      </c>
      <c r="O73">
        <v>19</v>
      </c>
      <c r="P73">
        <v>78</v>
      </c>
    </row>
    <row r="74" spans="1:16" x14ac:dyDescent="0.25">
      <c r="A74" s="1">
        <v>43888.75</v>
      </c>
      <c r="B74" s="2" t="s">
        <v>12</v>
      </c>
      <c r="C74">
        <v>3</v>
      </c>
      <c r="D74" s="2" t="s">
        <v>42</v>
      </c>
      <c r="E74">
        <v>4546679409</v>
      </c>
      <c r="F74">
        <v>9190347404</v>
      </c>
      <c r="G74">
        <v>172</v>
      </c>
      <c r="H74">
        <v>41</v>
      </c>
      <c r="I74">
        <v>213</v>
      </c>
      <c r="J74">
        <v>136</v>
      </c>
      <c r="K74">
        <v>349</v>
      </c>
      <c r="L74">
        <v>100</v>
      </c>
      <c r="M74">
        <v>40</v>
      </c>
      <c r="N74">
        <v>14</v>
      </c>
      <c r="O74">
        <v>403</v>
      </c>
      <c r="P74">
        <v>3320</v>
      </c>
    </row>
    <row r="75" spans="1:16" x14ac:dyDescent="0.25">
      <c r="A75" s="1">
        <v>43888.75</v>
      </c>
      <c r="B75" s="2" t="s">
        <v>12</v>
      </c>
      <c r="C75">
        <v>11</v>
      </c>
      <c r="D75" s="2" t="s">
        <v>43</v>
      </c>
      <c r="E75">
        <v>4361675973</v>
      </c>
      <c r="F75">
        <v>135188753</v>
      </c>
      <c r="G75">
        <v>2</v>
      </c>
      <c r="H75">
        <v>1</v>
      </c>
      <c r="I75">
        <v>3</v>
      </c>
      <c r="J75">
        <v>0</v>
      </c>
      <c r="K75">
        <v>3</v>
      </c>
      <c r="L75">
        <v>2</v>
      </c>
      <c r="M75">
        <v>0</v>
      </c>
      <c r="N75">
        <v>0</v>
      </c>
      <c r="O75">
        <v>3</v>
      </c>
      <c r="P75">
        <v>46</v>
      </c>
    </row>
    <row r="76" spans="1:16" x14ac:dyDescent="0.25">
      <c r="A76" s="1">
        <v>43888.75</v>
      </c>
      <c r="B76" s="2" t="s">
        <v>12</v>
      </c>
      <c r="C76">
        <v>14</v>
      </c>
      <c r="D76" s="2" t="s">
        <v>44</v>
      </c>
      <c r="E76">
        <v>4155774754</v>
      </c>
      <c r="F76">
        <v>1465916051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x14ac:dyDescent="0.25">
      <c r="A77" s="1">
        <v>43888.75</v>
      </c>
      <c r="B77" s="2" t="s">
        <v>12</v>
      </c>
      <c r="C77">
        <v>1</v>
      </c>
      <c r="D77" s="2" t="s">
        <v>45</v>
      </c>
      <c r="E77">
        <v>450732745</v>
      </c>
      <c r="F77">
        <v>7680687483</v>
      </c>
      <c r="G77">
        <v>2</v>
      </c>
      <c r="H77">
        <v>0</v>
      </c>
      <c r="I77">
        <v>2</v>
      </c>
      <c r="J77">
        <v>0</v>
      </c>
      <c r="K77">
        <v>2</v>
      </c>
      <c r="L77">
        <v>-1</v>
      </c>
      <c r="M77">
        <v>0</v>
      </c>
      <c r="N77">
        <v>0</v>
      </c>
      <c r="O77">
        <v>2</v>
      </c>
      <c r="P77">
        <v>156</v>
      </c>
    </row>
    <row r="78" spans="1:16" x14ac:dyDescent="0.25">
      <c r="A78" s="1">
        <v>43888.75</v>
      </c>
      <c r="B78" s="2" t="s">
        <v>12</v>
      </c>
      <c r="C78">
        <v>16</v>
      </c>
      <c r="D78" s="2" t="s">
        <v>46</v>
      </c>
      <c r="E78">
        <v>4112559576</v>
      </c>
      <c r="F78">
        <v>1686736689</v>
      </c>
      <c r="G78">
        <v>1</v>
      </c>
      <c r="H78">
        <v>0</v>
      </c>
      <c r="I78">
        <v>1</v>
      </c>
      <c r="J78">
        <v>0</v>
      </c>
      <c r="K78">
        <v>1</v>
      </c>
      <c r="L78">
        <v>1</v>
      </c>
      <c r="M78">
        <v>0</v>
      </c>
      <c r="N78">
        <v>0</v>
      </c>
      <c r="O78">
        <v>1</v>
      </c>
      <c r="P78">
        <v>0</v>
      </c>
    </row>
    <row r="79" spans="1:16" x14ac:dyDescent="0.25">
      <c r="A79" s="1">
        <v>43888.75</v>
      </c>
      <c r="B79" s="2" t="s">
        <v>12</v>
      </c>
      <c r="C79">
        <v>20</v>
      </c>
      <c r="D79" s="2" t="s">
        <v>47</v>
      </c>
      <c r="E79">
        <v>3921531192</v>
      </c>
      <c r="F79">
        <v>9110616306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</row>
    <row r="80" spans="1:16" x14ac:dyDescent="0.25">
      <c r="A80" s="1">
        <v>43888.75</v>
      </c>
      <c r="B80" s="2" t="s">
        <v>12</v>
      </c>
      <c r="C80">
        <v>19</v>
      </c>
      <c r="D80" s="2" t="s">
        <v>48</v>
      </c>
      <c r="E80">
        <v>3811569725</v>
      </c>
      <c r="F80">
        <v>133623567</v>
      </c>
      <c r="G80">
        <v>1</v>
      </c>
      <c r="H80">
        <v>0</v>
      </c>
      <c r="I80">
        <v>1</v>
      </c>
      <c r="J80">
        <v>1</v>
      </c>
      <c r="K80">
        <v>2</v>
      </c>
      <c r="L80">
        <v>-1</v>
      </c>
      <c r="M80">
        <v>2</v>
      </c>
      <c r="N80">
        <v>0</v>
      </c>
      <c r="O80">
        <v>4</v>
      </c>
      <c r="P80">
        <v>5</v>
      </c>
    </row>
    <row r="81" spans="1:16" x14ac:dyDescent="0.25">
      <c r="A81" s="1">
        <v>43888.75</v>
      </c>
      <c r="B81" s="2" t="s">
        <v>12</v>
      </c>
      <c r="C81">
        <v>9</v>
      </c>
      <c r="D81" s="2" t="s">
        <v>49</v>
      </c>
      <c r="E81">
        <v>4376923077</v>
      </c>
      <c r="F81">
        <v>1125588885</v>
      </c>
      <c r="G81">
        <v>2</v>
      </c>
      <c r="H81">
        <v>0</v>
      </c>
      <c r="I81">
        <v>2</v>
      </c>
      <c r="J81">
        <v>0</v>
      </c>
      <c r="K81">
        <v>2</v>
      </c>
      <c r="L81">
        <v>0</v>
      </c>
      <c r="M81">
        <v>0</v>
      </c>
      <c r="N81">
        <v>0</v>
      </c>
      <c r="O81">
        <v>2</v>
      </c>
      <c r="P81">
        <v>410</v>
      </c>
    </row>
    <row r="82" spans="1:16" x14ac:dyDescent="0.25">
      <c r="A82" s="1">
        <v>43888.75</v>
      </c>
      <c r="B82" s="2" t="s">
        <v>12</v>
      </c>
      <c r="C82">
        <v>4</v>
      </c>
      <c r="D82" s="2" t="s">
        <v>50</v>
      </c>
      <c r="E82">
        <v>4606893511</v>
      </c>
      <c r="F82">
        <v>1112123097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32</v>
      </c>
    </row>
    <row r="83" spans="1:16" x14ac:dyDescent="0.25">
      <c r="A83" s="1">
        <v>43888.75</v>
      </c>
      <c r="B83" s="2" t="s">
        <v>12</v>
      </c>
      <c r="C83">
        <v>10</v>
      </c>
      <c r="D83" s="2" t="s">
        <v>51</v>
      </c>
      <c r="E83">
        <v>4310675841</v>
      </c>
      <c r="F83">
        <v>1238824698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8</v>
      </c>
    </row>
    <row r="84" spans="1:16" x14ac:dyDescent="0.25">
      <c r="A84" s="1">
        <v>43888.75</v>
      </c>
      <c r="B84" s="2" t="s">
        <v>12</v>
      </c>
      <c r="C84">
        <v>2</v>
      </c>
      <c r="D84" s="2" t="s">
        <v>52</v>
      </c>
      <c r="E84">
        <v>4573750286</v>
      </c>
      <c r="F84">
        <v>7320149366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9</v>
      </c>
    </row>
    <row r="85" spans="1:16" x14ac:dyDescent="0.25">
      <c r="A85" s="1">
        <v>43888.75</v>
      </c>
      <c r="B85" s="2" t="s">
        <v>12</v>
      </c>
      <c r="C85">
        <v>5</v>
      </c>
      <c r="D85" s="2" t="s">
        <v>53</v>
      </c>
      <c r="E85">
        <v>4543490485</v>
      </c>
      <c r="F85">
        <v>1233845213</v>
      </c>
      <c r="G85">
        <v>19</v>
      </c>
      <c r="H85">
        <v>8</v>
      </c>
      <c r="I85">
        <v>27</v>
      </c>
      <c r="J85">
        <v>82</v>
      </c>
      <c r="K85">
        <v>109</v>
      </c>
      <c r="L85">
        <v>40</v>
      </c>
      <c r="M85">
        <v>0</v>
      </c>
      <c r="N85">
        <v>2</v>
      </c>
      <c r="O85">
        <v>111</v>
      </c>
      <c r="P85">
        <v>6164</v>
      </c>
    </row>
    <row r="86" spans="1:16" x14ac:dyDescent="0.25">
      <c r="A86" s="1">
        <v>43889.75</v>
      </c>
      <c r="B86" s="2" t="s">
        <v>12</v>
      </c>
      <c r="C86">
        <v>13</v>
      </c>
      <c r="D86" s="2" t="s">
        <v>33</v>
      </c>
      <c r="E86">
        <v>4235122196</v>
      </c>
      <c r="F86">
        <v>1339843823</v>
      </c>
      <c r="G86">
        <v>1</v>
      </c>
      <c r="H86">
        <v>0</v>
      </c>
      <c r="I86">
        <v>1</v>
      </c>
      <c r="J86">
        <v>0</v>
      </c>
      <c r="K86">
        <v>1</v>
      </c>
      <c r="L86">
        <v>0</v>
      </c>
      <c r="M86">
        <v>0</v>
      </c>
      <c r="N86">
        <v>0</v>
      </c>
      <c r="O86">
        <v>1</v>
      </c>
      <c r="P86">
        <v>33</v>
      </c>
    </row>
    <row r="87" spans="1:16" x14ac:dyDescent="0.25">
      <c r="A87" s="1">
        <v>43889.75</v>
      </c>
      <c r="B87" s="2" t="s">
        <v>12</v>
      </c>
      <c r="C87">
        <v>17</v>
      </c>
      <c r="D87" s="2" t="s">
        <v>34</v>
      </c>
      <c r="E87">
        <v>4063947052</v>
      </c>
      <c r="F87">
        <v>1580514834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x14ac:dyDescent="0.25">
      <c r="A88" s="1">
        <v>43889.75</v>
      </c>
      <c r="B88" s="2" t="s">
        <v>12</v>
      </c>
      <c r="C88">
        <v>4</v>
      </c>
      <c r="D88" s="2" t="s">
        <v>35</v>
      </c>
      <c r="E88">
        <v>4649933453</v>
      </c>
      <c r="F88">
        <v>1135662422</v>
      </c>
      <c r="G88">
        <v>1</v>
      </c>
      <c r="H88">
        <v>0</v>
      </c>
      <c r="I88">
        <v>1</v>
      </c>
      <c r="J88">
        <v>0</v>
      </c>
      <c r="K88">
        <v>1</v>
      </c>
      <c r="L88">
        <v>0</v>
      </c>
      <c r="M88">
        <v>0</v>
      </c>
      <c r="N88">
        <v>0</v>
      </c>
      <c r="O88">
        <v>1</v>
      </c>
      <c r="P88">
        <v>2</v>
      </c>
    </row>
    <row r="89" spans="1:16" x14ac:dyDescent="0.25">
      <c r="A89" s="1">
        <v>43889.75</v>
      </c>
      <c r="B89" s="2" t="s">
        <v>12</v>
      </c>
      <c r="C89">
        <v>18</v>
      </c>
      <c r="D89" s="2" t="s">
        <v>36</v>
      </c>
      <c r="E89">
        <v>3890597598</v>
      </c>
      <c r="F89">
        <v>1659440194</v>
      </c>
      <c r="G89">
        <v>0</v>
      </c>
      <c r="H89">
        <v>0</v>
      </c>
      <c r="I89">
        <v>0</v>
      </c>
      <c r="J89">
        <v>1</v>
      </c>
      <c r="K89">
        <v>1</v>
      </c>
      <c r="L89">
        <v>1</v>
      </c>
      <c r="M89">
        <v>0</v>
      </c>
      <c r="N89">
        <v>0</v>
      </c>
      <c r="O89">
        <v>1</v>
      </c>
      <c r="P89">
        <v>21</v>
      </c>
    </row>
    <row r="90" spans="1:16" x14ac:dyDescent="0.25">
      <c r="A90" s="1">
        <v>43889.75</v>
      </c>
      <c r="B90" s="2" t="s">
        <v>12</v>
      </c>
      <c r="C90">
        <v>15</v>
      </c>
      <c r="D90" s="2" t="s">
        <v>37</v>
      </c>
      <c r="E90">
        <v>4083956555</v>
      </c>
      <c r="F90">
        <v>1425084984</v>
      </c>
      <c r="G90">
        <v>2</v>
      </c>
      <c r="H90">
        <v>0</v>
      </c>
      <c r="I90">
        <v>2</v>
      </c>
      <c r="J90">
        <v>2</v>
      </c>
      <c r="K90">
        <v>4</v>
      </c>
      <c r="L90">
        <v>1</v>
      </c>
      <c r="M90">
        <v>0</v>
      </c>
      <c r="N90">
        <v>0</v>
      </c>
      <c r="O90">
        <v>4</v>
      </c>
      <c r="P90">
        <v>213</v>
      </c>
    </row>
    <row r="91" spans="1:16" x14ac:dyDescent="0.25">
      <c r="A91" s="1">
        <v>43889.75</v>
      </c>
      <c r="B91" s="2" t="s">
        <v>12</v>
      </c>
      <c r="C91">
        <v>8</v>
      </c>
      <c r="D91" s="2" t="s">
        <v>38</v>
      </c>
      <c r="E91">
        <v>4449436681</v>
      </c>
      <c r="F91">
        <v>113417208</v>
      </c>
      <c r="G91">
        <v>56</v>
      </c>
      <c r="H91">
        <v>6</v>
      </c>
      <c r="I91">
        <v>62</v>
      </c>
      <c r="J91">
        <v>81</v>
      </c>
      <c r="K91">
        <v>143</v>
      </c>
      <c r="L91">
        <v>47</v>
      </c>
      <c r="M91">
        <v>0</v>
      </c>
      <c r="N91">
        <v>2</v>
      </c>
      <c r="O91">
        <v>145</v>
      </c>
      <c r="P91">
        <v>1277</v>
      </c>
    </row>
    <row r="92" spans="1:16" x14ac:dyDescent="0.25">
      <c r="A92" s="1">
        <v>43889.75</v>
      </c>
      <c r="B92" s="2" t="s">
        <v>12</v>
      </c>
      <c r="C92">
        <v>6</v>
      </c>
      <c r="D92" s="2" t="s">
        <v>39</v>
      </c>
      <c r="E92">
        <v>456494354</v>
      </c>
      <c r="F92">
        <v>1376813649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169</v>
      </c>
    </row>
    <row r="93" spans="1:16" x14ac:dyDescent="0.25">
      <c r="A93" s="1">
        <v>43889.75</v>
      </c>
      <c r="B93" s="2" t="s">
        <v>12</v>
      </c>
      <c r="C93">
        <v>12</v>
      </c>
      <c r="D93" s="2" t="s">
        <v>40</v>
      </c>
      <c r="E93">
        <v>4189277044</v>
      </c>
      <c r="F93">
        <v>1248366722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3</v>
      </c>
      <c r="N93">
        <v>0</v>
      </c>
      <c r="O93">
        <v>3</v>
      </c>
      <c r="P93">
        <v>611</v>
      </c>
    </row>
    <row r="94" spans="1:16" x14ac:dyDescent="0.25">
      <c r="A94" s="1">
        <v>43889.75</v>
      </c>
      <c r="B94" s="2" t="s">
        <v>12</v>
      </c>
      <c r="C94">
        <v>7</v>
      </c>
      <c r="D94" s="2" t="s">
        <v>41</v>
      </c>
      <c r="E94">
        <v>4441149315</v>
      </c>
      <c r="F94">
        <v>89326992</v>
      </c>
      <c r="G94">
        <v>9</v>
      </c>
      <c r="H94">
        <v>0</v>
      </c>
      <c r="I94">
        <v>9</v>
      </c>
      <c r="J94">
        <v>10</v>
      </c>
      <c r="K94">
        <v>19</v>
      </c>
      <c r="L94">
        <v>0</v>
      </c>
      <c r="M94">
        <v>0</v>
      </c>
      <c r="N94">
        <v>0</v>
      </c>
      <c r="O94">
        <v>19</v>
      </c>
      <c r="P94">
        <v>112</v>
      </c>
    </row>
    <row r="95" spans="1:16" x14ac:dyDescent="0.25">
      <c r="A95" s="1">
        <v>43889.75</v>
      </c>
      <c r="B95" s="2" t="s">
        <v>12</v>
      </c>
      <c r="C95">
        <v>3</v>
      </c>
      <c r="D95" s="2" t="s">
        <v>42</v>
      </c>
      <c r="E95">
        <v>4546679409</v>
      </c>
      <c r="F95">
        <v>9190347404</v>
      </c>
      <c r="G95">
        <v>235</v>
      </c>
      <c r="H95">
        <v>47</v>
      </c>
      <c r="I95">
        <v>282</v>
      </c>
      <c r="J95">
        <v>192</v>
      </c>
      <c r="K95">
        <v>474</v>
      </c>
      <c r="L95">
        <v>125</v>
      </c>
      <c r="M95">
        <v>40</v>
      </c>
      <c r="N95">
        <v>17</v>
      </c>
      <c r="O95">
        <v>531</v>
      </c>
      <c r="P95">
        <v>4835</v>
      </c>
    </row>
    <row r="96" spans="1:16" x14ac:dyDescent="0.25">
      <c r="A96" s="1">
        <v>43889.75</v>
      </c>
      <c r="B96" s="2" t="s">
        <v>12</v>
      </c>
      <c r="C96">
        <v>11</v>
      </c>
      <c r="D96" s="2" t="s">
        <v>43</v>
      </c>
      <c r="E96">
        <v>4361675973</v>
      </c>
      <c r="F96">
        <v>135188753</v>
      </c>
      <c r="G96">
        <v>3</v>
      </c>
      <c r="H96">
        <v>2</v>
      </c>
      <c r="I96">
        <v>5</v>
      </c>
      <c r="J96">
        <v>1</v>
      </c>
      <c r="K96">
        <v>6</v>
      </c>
      <c r="L96">
        <v>3</v>
      </c>
      <c r="M96">
        <v>0</v>
      </c>
      <c r="N96">
        <v>0</v>
      </c>
      <c r="O96">
        <v>6</v>
      </c>
      <c r="P96">
        <v>47</v>
      </c>
    </row>
    <row r="97" spans="1:16" x14ac:dyDescent="0.25">
      <c r="A97" s="1">
        <v>43889.75</v>
      </c>
      <c r="B97" s="2" t="s">
        <v>12</v>
      </c>
      <c r="C97">
        <v>14</v>
      </c>
      <c r="D97" s="2" t="s">
        <v>44</v>
      </c>
      <c r="E97">
        <v>4155774754</v>
      </c>
      <c r="F97">
        <v>1465916051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x14ac:dyDescent="0.25">
      <c r="A98" s="1">
        <v>43889.75</v>
      </c>
      <c r="B98" s="2" t="s">
        <v>12</v>
      </c>
      <c r="C98">
        <v>1</v>
      </c>
      <c r="D98" s="2" t="s">
        <v>45</v>
      </c>
      <c r="E98">
        <v>450732745</v>
      </c>
      <c r="F98">
        <v>7680687483</v>
      </c>
      <c r="G98">
        <v>7</v>
      </c>
      <c r="H98">
        <v>0</v>
      </c>
      <c r="I98">
        <v>7</v>
      </c>
      <c r="J98">
        <v>4</v>
      </c>
      <c r="K98">
        <v>11</v>
      </c>
      <c r="L98">
        <v>9</v>
      </c>
      <c r="M98">
        <v>0</v>
      </c>
      <c r="N98">
        <v>0</v>
      </c>
      <c r="O98">
        <v>11</v>
      </c>
      <c r="P98">
        <v>227</v>
      </c>
    </row>
    <row r="99" spans="1:16" x14ac:dyDescent="0.25">
      <c r="A99" s="1">
        <v>43889.75</v>
      </c>
      <c r="B99" s="2" t="s">
        <v>12</v>
      </c>
      <c r="C99">
        <v>16</v>
      </c>
      <c r="D99" s="2" t="s">
        <v>46</v>
      </c>
      <c r="E99">
        <v>4112559576</v>
      </c>
      <c r="F99">
        <v>1686736689</v>
      </c>
      <c r="G99">
        <v>1</v>
      </c>
      <c r="H99">
        <v>0</v>
      </c>
      <c r="I99">
        <v>1</v>
      </c>
      <c r="J99">
        <v>2</v>
      </c>
      <c r="K99">
        <v>3</v>
      </c>
      <c r="L99">
        <v>2</v>
      </c>
      <c r="M99">
        <v>0</v>
      </c>
      <c r="N99">
        <v>0</v>
      </c>
      <c r="O99">
        <v>3</v>
      </c>
      <c r="P99">
        <v>242</v>
      </c>
    </row>
    <row r="100" spans="1:16" x14ac:dyDescent="0.25">
      <c r="A100" s="1">
        <v>43889.75</v>
      </c>
      <c r="B100" s="2" t="s">
        <v>12</v>
      </c>
      <c r="C100">
        <v>20</v>
      </c>
      <c r="D100" s="2" t="s">
        <v>47</v>
      </c>
      <c r="E100">
        <v>3921531192</v>
      </c>
      <c r="F100">
        <v>9110616306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1</v>
      </c>
    </row>
    <row r="101" spans="1:16" x14ac:dyDescent="0.25">
      <c r="A101" s="1">
        <v>43889.75</v>
      </c>
      <c r="B101" s="2" t="s">
        <v>12</v>
      </c>
      <c r="C101">
        <v>19</v>
      </c>
      <c r="D101" s="2" t="s">
        <v>48</v>
      </c>
      <c r="E101">
        <v>3811569725</v>
      </c>
      <c r="F101">
        <v>133623567</v>
      </c>
      <c r="G101">
        <v>1</v>
      </c>
      <c r="H101">
        <v>0</v>
      </c>
      <c r="I101">
        <v>1</v>
      </c>
      <c r="J101">
        <v>1</v>
      </c>
      <c r="K101">
        <v>2</v>
      </c>
      <c r="L101">
        <v>0</v>
      </c>
      <c r="M101">
        <v>2</v>
      </c>
      <c r="N101">
        <v>0</v>
      </c>
      <c r="O101">
        <v>4</v>
      </c>
      <c r="P101">
        <v>5</v>
      </c>
    </row>
    <row r="102" spans="1:16" x14ac:dyDescent="0.25">
      <c r="A102" s="1">
        <v>43889.75</v>
      </c>
      <c r="B102" s="2" t="s">
        <v>12</v>
      </c>
      <c r="C102">
        <v>9</v>
      </c>
      <c r="D102" s="2" t="s">
        <v>49</v>
      </c>
      <c r="E102">
        <v>4376923077</v>
      </c>
      <c r="F102">
        <v>1125588885</v>
      </c>
      <c r="G102">
        <v>5</v>
      </c>
      <c r="H102">
        <v>0</v>
      </c>
      <c r="I102">
        <v>5</v>
      </c>
      <c r="J102">
        <v>2</v>
      </c>
      <c r="K102">
        <v>7</v>
      </c>
      <c r="L102">
        <v>5</v>
      </c>
      <c r="M102">
        <v>1</v>
      </c>
      <c r="N102">
        <v>0</v>
      </c>
      <c r="O102">
        <v>8</v>
      </c>
      <c r="P102">
        <v>437</v>
      </c>
    </row>
    <row r="103" spans="1:16" x14ac:dyDescent="0.25">
      <c r="A103" s="1">
        <v>43889.75</v>
      </c>
      <c r="B103" s="2" t="s">
        <v>12</v>
      </c>
      <c r="C103">
        <v>4</v>
      </c>
      <c r="D103" s="2" t="s">
        <v>50</v>
      </c>
      <c r="E103">
        <v>4606893511</v>
      </c>
      <c r="F103">
        <v>1112123097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32</v>
      </c>
    </row>
    <row r="104" spans="1:16" x14ac:dyDescent="0.25">
      <c r="A104" s="1">
        <v>43889.75</v>
      </c>
      <c r="B104" s="2" t="s">
        <v>12</v>
      </c>
      <c r="C104">
        <v>10</v>
      </c>
      <c r="D104" s="2" t="s">
        <v>51</v>
      </c>
      <c r="E104">
        <v>4310675841</v>
      </c>
      <c r="F104">
        <v>1238824698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8</v>
      </c>
    </row>
    <row r="105" spans="1:16" x14ac:dyDescent="0.25">
      <c r="A105" s="1">
        <v>43889.75</v>
      </c>
      <c r="B105" s="2" t="s">
        <v>12</v>
      </c>
      <c r="C105">
        <v>2</v>
      </c>
      <c r="D105" s="2" t="s">
        <v>52</v>
      </c>
      <c r="E105">
        <v>4573750286</v>
      </c>
      <c r="F105">
        <v>7320149366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9</v>
      </c>
    </row>
    <row r="106" spans="1:16" x14ac:dyDescent="0.25">
      <c r="A106" s="1">
        <v>43889.75</v>
      </c>
      <c r="B106" s="2" t="s">
        <v>12</v>
      </c>
      <c r="C106">
        <v>5</v>
      </c>
      <c r="D106" s="2" t="s">
        <v>53</v>
      </c>
      <c r="E106">
        <v>4543490485</v>
      </c>
      <c r="F106">
        <v>1233845213</v>
      </c>
      <c r="G106">
        <v>24</v>
      </c>
      <c r="H106">
        <v>9</v>
      </c>
      <c r="I106">
        <v>33</v>
      </c>
      <c r="J106">
        <v>116</v>
      </c>
      <c r="K106">
        <v>149</v>
      </c>
      <c r="L106">
        <v>40</v>
      </c>
      <c r="M106">
        <v>0</v>
      </c>
      <c r="N106">
        <v>2</v>
      </c>
      <c r="O106">
        <v>151</v>
      </c>
      <c r="P106">
        <v>7414</v>
      </c>
    </row>
    <row r="107" spans="1:16" x14ac:dyDescent="0.25">
      <c r="A107" s="1">
        <v>43890.708333333336</v>
      </c>
      <c r="B107" s="2" t="s">
        <v>12</v>
      </c>
      <c r="C107">
        <v>13</v>
      </c>
      <c r="D107" s="2" t="s">
        <v>33</v>
      </c>
      <c r="E107">
        <v>4235122196</v>
      </c>
      <c r="F107">
        <v>1339843823</v>
      </c>
      <c r="G107">
        <v>2</v>
      </c>
      <c r="H107">
        <v>0</v>
      </c>
      <c r="I107">
        <v>2</v>
      </c>
      <c r="J107">
        <v>0</v>
      </c>
      <c r="K107">
        <v>2</v>
      </c>
      <c r="L107">
        <v>1</v>
      </c>
      <c r="M107">
        <v>0</v>
      </c>
      <c r="N107">
        <v>0</v>
      </c>
      <c r="O107">
        <v>2</v>
      </c>
      <c r="P107">
        <v>43</v>
      </c>
    </row>
    <row r="108" spans="1:16" x14ac:dyDescent="0.25">
      <c r="A108" s="1">
        <v>43890.708333333336</v>
      </c>
      <c r="B108" s="2" t="s">
        <v>12</v>
      </c>
      <c r="C108">
        <v>17</v>
      </c>
      <c r="D108" s="2" t="s">
        <v>34</v>
      </c>
      <c r="E108">
        <v>4063947052</v>
      </c>
      <c r="F108">
        <v>1580514834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32</v>
      </c>
    </row>
    <row r="109" spans="1:16" x14ac:dyDescent="0.25">
      <c r="A109" s="1">
        <v>43890.708333333336</v>
      </c>
      <c r="B109" s="2" t="s">
        <v>12</v>
      </c>
      <c r="C109">
        <v>4</v>
      </c>
      <c r="D109" s="2" t="s">
        <v>35</v>
      </c>
      <c r="E109">
        <v>4649933453</v>
      </c>
      <c r="F109">
        <v>1135662422</v>
      </c>
      <c r="G109">
        <v>1</v>
      </c>
      <c r="H109">
        <v>0</v>
      </c>
      <c r="I109">
        <v>1</v>
      </c>
      <c r="J109">
        <v>0</v>
      </c>
      <c r="K109">
        <v>1</v>
      </c>
      <c r="L109">
        <v>0</v>
      </c>
      <c r="M109">
        <v>0</v>
      </c>
      <c r="N109">
        <v>0</v>
      </c>
      <c r="O109">
        <v>1</v>
      </c>
      <c r="P109">
        <v>16</v>
      </c>
    </row>
    <row r="110" spans="1:16" x14ac:dyDescent="0.25">
      <c r="A110" s="1">
        <v>43890.708333333336</v>
      </c>
      <c r="B110" s="2" t="s">
        <v>12</v>
      </c>
      <c r="C110">
        <v>18</v>
      </c>
      <c r="D110" s="2" t="s">
        <v>36</v>
      </c>
      <c r="E110">
        <v>3890597598</v>
      </c>
      <c r="F110">
        <v>1659440194</v>
      </c>
      <c r="G110">
        <v>0</v>
      </c>
      <c r="H110">
        <v>0</v>
      </c>
      <c r="I110">
        <v>0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1</v>
      </c>
      <c r="P110">
        <v>27</v>
      </c>
    </row>
    <row r="111" spans="1:16" x14ac:dyDescent="0.25">
      <c r="A111" s="1">
        <v>43890.708333333336</v>
      </c>
      <c r="B111" s="2" t="s">
        <v>12</v>
      </c>
      <c r="C111">
        <v>15</v>
      </c>
      <c r="D111" s="2" t="s">
        <v>37</v>
      </c>
      <c r="E111">
        <v>4083956555</v>
      </c>
      <c r="F111">
        <v>1425084984</v>
      </c>
      <c r="G111">
        <v>3</v>
      </c>
      <c r="H111">
        <v>0</v>
      </c>
      <c r="I111">
        <v>3</v>
      </c>
      <c r="J111">
        <v>10</v>
      </c>
      <c r="K111">
        <v>13</v>
      </c>
      <c r="L111">
        <v>9</v>
      </c>
      <c r="M111">
        <v>0</v>
      </c>
      <c r="N111">
        <v>0</v>
      </c>
      <c r="O111">
        <v>13</v>
      </c>
      <c r="P111">
        <v>373</v>
      </c>
    </row>
    <row r="112" spans="1:16" x14ac:dyDescent="0.25">
      <c r="A112" s="1">
        <v>43890.708333333336</v>
      </c>
      <c r="B112" s="2" t="s">
        <v>12</v>
      </c>
      <c r="C112">
        <v>8</v>
      </c>
      <c r="D112" s="2" t="s">
        <v>38</v>
      </c>
      <c r="E112">
        <v>4449436681</v>
      </c>
      <c r="F112">
        <v>113417208</v>
      </c>
      <c r="G112">
        <v>86</v>
      </c>
      <c r="H112">
        <v>11</v>
      </c>
      <c r="I112">
        <v>97</v>
      </c>
      <c r="J112">
        <v>116</v>
      </c>
      <c r="K112">
        <v>213</v>
      </c>
      <c r="L112">
        <v>70</v>
      </c>
      <c r="M112">
        <v>0</v>
      </c>
      <c r="N112">
        <v>4</v>
      </c>
      <c r="O112">
        <v>217</v>
      </c>
      <c r="P112">
        <v>1550</v>
      </c>
    </row>
    <row r="113" spans="1:16" x14ac:dyDescent="0.25">
      <c r="A113" s="1">
        <v>43890.708333333336</v>
      </c>
      <c r="B113" s="2" t="s">
        <v>12</v>
      </c>
      <c r="C113">
        <v>6</v>
      </c>
      <c r="D113" s="2" t="s">
        <v>39</v>
      </c>
      <c r="E113">
        <v>456494354</v>
      </c>
      <c r="F113">
        <v>1376813649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189</v>
      </c>
    </row>
    <row r="114" spans="1:16" x14ac:dyDescent="0.25">
      <c r="A114" s="1">
        <v>43890.708333333336</v>
      </c>
      <c r="B114" s="2" t="s">
        <v>12</v>
      </c>
      <c r="C114">
        <v>12</v>
      </c>
      <c r="D114" s="2" t="s">
        <v>40</v>
      </c>
      <c r="E114">
        <v>4189277044</v>
      </c>
      <c r="F114">
        <v>1248366722</v>
      </c>
      <c r="G114">
        <v>3</v>
      </c>
      <c r="H114">
        <v>0</v>
      </c>
      <c r="I114">
        <v>3</v>
      </c>
      <c r="J114">
        <v>0</v>
      </c>
      <c r="K114">
        <v>3</v>
      </c>
      <c r="L114">
        <v>3</v>
      </c>
      <c r="M114">
        <v>3</v>
      </c>
      <c r="N114">
        <v>0</v>
      </c>
      <c r="O114">
        <v>6</v>
      </c>
      <c r="P114">
        <v>679</v>
      </c>
    </row>
    <row r="115" spans="1:16" x14ac:dyDescent="0.25">
      <c r="A115" s="1">
        <v>43890.708333333336</v>
      </c>
      <c r="B115" s="2" t="s">
        <v>12</v>
      </c>
      <c r="C115">
        <v>7</v>
      </c>
      <c r="D115" s="2" t="s">
        <v>41</v>
      </c>
      <c r="E115">
        <v>4441149315</v>
      </c>
      <c r="F115">
        <v>89326992</v>
      </c>
      <c r="G115">
        <v>4</v>
      </c>
      <c r="H115">
        <v>1</v>
      </c>
      <c r="I115">
        <v>5</v>
      </c>
      <c r="J115">
        <v>33</v>
      </c>
      <c r="K115">
        <v>38</v>
      </c>
      <c r="L115">
        <v>19</v>
      </c>
      <c r="M115">
        <v>4</v>
      </c>
      <c r="N115">
        <v>0</v>
      </c>
      <c r="O115">
        <v>42</v>
      </c>
      <c r="P115">
        <v>121</v>
      </c>
    </row>
    <row r="116" spans="1:16" x14ac:dyDescent="0.25">
      <c r="A116" s="1">
        <v>43890.708333333336</v>
      </c>
      <c r="B116" s="2" t="s">
        <v>12</v>
      </c>
      <c r="C116">
        <v>3</v>
      </c>
      <c r="D116" s="2" t="s">
        <v>42</v>
      </c>
      <c r="E116">
        <v>4546679409</v>
      </c>
      <c r="F116">
        <v>9190347404</v>
      </c>
      <c r="G116">
        <v>256</v>
      </c>
      <c r="H116">
        <v>80</v>
      </c>
      <c r="I116">
        <v>336</v>
      </c>
      <c r="J116">
        <v>216</v>
      </c>
      <c r="K116">
        <v>552</v>
      </c>
      <c r="L116">
        <v>78</v>
      </c>
      <c r="M116">
        <v>40</v>
      </c>
      <c r="N116">
        <v>23</v>
      </c>
      <c r="O116">
        <v>615</v>
      </c>
      <c r="P116">
        <v>5723</v>
      </c>
    </row>
    <row r="117" spans="1:16" x14ac:dyDescent="0.25">
      <c r="A117" s="1">
        <v>43890.708333333336</v>
      </c>
      <c r="B117" s="2" t="s">
        <v>12</v>
      </c>
      <c r="C117">
        <v>11</v>
      </c>
      <c r="D117" s="2" t="s">
        <v>43</v>
      </c>
      <c r="E117">
        <v>4361675973</v>
      </c>
      <c r="F117">
        <v>135188753</v>
      </c>
      <c r="G117">
        <v>6</v>
      </c>
      <c r="H117">
        <v>2</v>
      </c>
      <c r="I117">
        <v>8</v>
      </c>
      <c r="J117">
        <v>3</v>
      </c>
      <c r="K117">
        <v>11</v>
      </c>
      <c r="L117">
        <v>5</v>
      </c>
      <c r="M117">
        <v>0</v>
      </c>
      <c r="N117">
        <v>0</v>
      </c>
      <c r="O117">
        <v>11</v>
      </c>
      <c r="P117">
        <v>68</v>
      </c>
    </row>
    <row r="118" spans="1:16" x14ac:dyDescent="0.25">
      <c r="A118" s="1">
        <v>43890.708333333336</v>
      </c>
      <c r="B118" s="2" t="s">
        <v>12</v>
      </c>
      <c r="C118">
        <v>14</v>
      </c>
      <c r="D118" s="2" t="s">
        <v>44</v>
      </c>
      <c r="E118">
        <v>4155774754</v>
      </c>
      <c r="F118">
        <v>1465916051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</row>
    <row r="119" spans="1:16" x14ac:dyDescent="0.25">
      <c r="A119" s="1">
        <v>43890.708333333336</v>
      </c>
      <c r="B119" s="2" t="s">
        <v>12</v>
      </c>
      <c r="C119">
        <v>1</v>
      </c>
      <c r="D119" s="2" t="s">
        <v>45</v>
      </c>
      <c r="E119">
        <v>450732745</v>
      </c>
      <c r="F119">
        <v>7680687483</v>
      </c>
      <c r="G119">
        <v>7</v>
      </c>
      <c r="H119">
        <v>0</v>
      </c>
      <c r="I119">
        <v>7</v>
      </c>
      <c r="J119">
        <v>4</v>
      </c>
      <c r="K119">
        <v>11</v>
      </c>
      <c r="L119">
        <v>0</v>
      </c>
      <c r="M119">
        <v>0</v>
      </c>
      <c r="N119">
        <v>0</v>
      </c>
      <c r="O119">
        <v>11</v>
      </c>
      <c r="P119">
        <v>308</v>
      </c>
    </row>
    <row r="120" spans="1:16" x14ac:dyDescent="0.25">
      <c r="A120" s="1">
        <v>43890.708333333336</v>
      </c>
      <c r="B120" s="2" t="s">
        <v>12</v>
      </c>
      <c r="C120">
        <v>16</v>
      </c>
      <c r="D120" s="2" t="s">
        <v>46</v>
      </c>
      <c r="E120">
        <v>4112559576</v>
      </c>
      <c r="F120">
        <v>1686736689</v>
      </c>
      <c r="G120">
        <v>1</v>
      </c>
      <c r="H120">
        <v>0</v>
      </c>
      <c r="I120">
        <v>1</v>
      </c>
      <c r="J120">
        <v>2</v>
      </c>
      <c r="K120">
        <v>3</v>
      </c>
      <c r="L120">
        <v>0</v>
      </c>
      <c r="M120">
        <v>0</v>
      </c>
      <c r="N120">
        <v>0</v>
      </c>
      <c r="O120">
        <v>3</v>
      </c>
      <c r="P120">
        <v>252</v>
      </c>
    </row>
    <row r="121" spans="1:16" x14ac:dyDescent="0.25">
      <c r="A121" s="1">
        <v>43890.708333333336</v>
      </c>
      <c r="B121" s="2" t="s">
        <v>12</v>
      </c>
      <c r="C121">
        <v>20</v>
      </c>
      <c r="D121" s="2" t="s">
        <v>47</v>
      </c>
      <c r="E121">
        <v>3921531192</v>
      </c>
      <c r="F121">
        <v>9110616306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</v>
      </c>
    </row>
    <row r="122" spans="1:16" x14ac:dyDescent="0.25">
      <c r="A122" s="1">
        <v>43890.708333333336</v>
      </c>
      <c r="B122" s="2" t="s">
        <v>12</v>
      </c>
      <c r="C122">
        <v>19</v>
      </c>
      <c r="D122" s="2" t="s">
        <v>48</v>
      </c>
      <c r="E122">
        <v>3811569725</v>
      </c>
      <c r="F122">
        <v>133623567</v>
      </c>
      <c r="G122">
        <v>1</v>
      </c>
      <c r="H122">
        <v>0</v>
      </c>
      <c r="I122">
        <v>1</v>
      </c>
      <c r="J122">
        <v>1</v>
      </c>
      <c r="K122">
        <v>2</v>
      </c>
      <c r="L122">
        <v>0</v>
      </c>
      <c r="M122">
        <v>2</v>
      </c>
      <c r="N122">
        <v>0</v>
      </c>
      <c r="O122">
        <v>4</v>
      </c>
      <c r="P122">
        <v>6</v>
      </c>
    </row>
    <row r="123" spans="1:16" x14ac:dyDescent="0.25">
      <c r="A123" s="1">
        <v>43890.708333333336</v>
      </c>
      <c r="B123" s="2" t="s">
        <v>12</v>
      </c>
      <c r="C123">
        <v>9</v>
      </c>
      <c r="D123" s="2" t="s">
        <v>49</v>
      </c>
      <c r="E123">
        <v>4376923077</v>
      </c>
      <c r="F123">
        <v>1125588885</v>
      </c>
      <c r="G123">
        <v>7</v>
      </c>
      <c r="H123">
        <v>0</v>
      </c>
      <c r="I123">
        <v>7</v>
      </c>
      <c r="J123">
        <v>3</v>
      </c>
      <c r="K123">
        <v>10</v>
      </c>
      <c r="L123">
        <v>3</v>
      </c>
      <c r="M123">
        <v>1</v>
      </c>
      <c r="N123">
        <v>0</v>
      </c>
      <c r="O123">
        <v>11</v>
      </c>
      <c r="P123">
        <v>531</v>
      </c>
    </row>
    <row r="124" spans="1:16" x14ac:dyDescent="0.25">
      <c r="A124" s="1">
        <v>43890.708333333336</v>
      </c>
      <c r="B124" s="2" t="s">
        <v>12</v>
      </c>
      <c r="C124">
        <v>4</v>
      </c>
      <c r="D124" s="2" t="s">
        <v>50</v>
      </c>
      <c r="E124">
        <v>4606893511</v>
      </c>
      <c r="F124">
        <v>1112123097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43</v>
      </c>
    </row>
    <row r="125" spans="1:16" x14ac:dyDescent="0.25">
      <c r="A125" s="1">
        <v>43890.708333333336</v>
      </c>
      <c r="B125" s="2" t="s">
        <v>12</v>
      </c>
      <c r="C125">
        <v>10</v>
      </c>
      <c r="D125" s="2" t="s">
        <v>51</v>
      </c>
      <c r="E125">
        <v>4310675841</v>
      </c>
      <c r="F125">
        <v>1238824698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31</v>
      </c>
    </row>
    <row r="126" spans="1:16" x14ac:dyDescent="0.25">
      <c r="A126" s="1">
        <v>43890.708333333336</v>
      </c>
      <c r="B126" s="2" t="s">
        <v>12</v>
      </c>
      <c r="C126">
        <v>2</v>
      </c>
      <c r="D126" s="2" t="s">
        <v>52</v>
      </c>
      <c r="E126">
        <v>4573750286</v>
      </c>
      <c r="F126">
        <v>7320149366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9</v>
      </c>
    </row>
    <row r="127" spans="1:16" x14ac:dyDescent="0.25">
      <c r="A127" s="1">
        <v>43890.708333333336</v>
      </c>
      <c r="B127" s="2" t="s">
        <v>12</v>
      </c>
      <c r="C127">
        <v>5</v>
      </c>
      <c r="D127" s="2" t="s">
        <v>53</v>
      </c>
      <c r="E127">
        <v>4543490485</v>
      </c>
      <c r="F127">
        <v>1233845213</v>
      </c>
      <c r="G127">
        <v>24</v>
      </c>
      <c r="H127">
        <v>11</v>
      </c>
      <c r="I127">
        <v>35</v>
      </c>
      <c r="J127">
        <v>154</v>
      </c>
      <c r="K127">
        <v>189</v>
      </c>
      <c r="L127">
        <v>40</v>
      </c>
      <c r="M127">
        <v>0</v>
      </c>
      <c r="N127">
        <v>2</v>
      </c>
      <c r="O127">
        <v>191</v>
      </c>
      <c r="P127">
        <v>8659</v>
      </c>
    </row>
    <row r="128" spans="1:16" x14ac:dyDescent="0.25">
      <c r="A128" s="1">
        <v>43891.708333333336</v>
      </c>
      <c r="B128" s="2" t="s">
        <v>12</v>
      </c>
      <c r="C128">
        <v>13</v>
      </c>
      <c r="D128" s="2" t="s">
        <v>33</v>
      </c>
      <c r="E128">
        <v>4235122196</v>
      </c>
      <c r="F128">
        <v>1339843823</v>
      </c>
      <c r="G128">
        <v>3</v>
      </c>
      <c r="H128">
        <v>0</v>
      </c>
      <c r="I128">
        <v>3</v>
      </c>
      <c r="J128">
        <v>2</v>
      </c>
      <c r="K128">
        <v>5</v>
      </c>
      <c r="L128">
        <v>3</v>
      </c>
      <c r="M128">
        <v>0</v>
      </c>
      <c r="N128">
        <v>0</v>
      </c>
      <c r="O128">
        <v>5</v>
      </c>
      <c r="P128">
        <v>52</v>
      </c>
    </row>
    <row r="129" spans="1:16" x14ac:dyDescent="0.25">
      <c r="A129" s="1">
        <v>43891.708333333336</v>
      </c>
      <c r="B129" s="2" t="s">
        <v>12</v>
      </c>
      <c r="C129">
        <v>17</v>
      </c>
      <c r="D129" s="2" t="s">
        <v>34</v>
      </c>
      <c r="E129">
        <v>4063947052</v>
      </c>
      <c r="F129">
        <v>1580514834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39</v>
      </c>
    </row>
    <row r="130" spans="1:16" x14ac:dyDescent="0.25">
      <c r="A130" s="1">
        <v>43891.708333333336</v>
      </c>
      <c r="B130" s="2" t="s">
        <v>12</v>
      </c>
      <c r="C130">
        <v>4</v>
      </c>
      <c r="D130" s="2" t="s">
        <v>35</v>
      </c>
      <c r="E130">
        <v>4649933453</v>
      </c>
      <c r="F130">
        <v>1135662422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  <c r="M130">
        <v>0</v>
      </c>
      <c r="N130">
        <v>0</v>
      </c>
      <c r="O130">
        <v>1</v>
      </c>
      <c r="P130">
        <v>20</v>
      </c>
    </row>
    <row r="131" spans="1:16" x14ac:dyDescent="0.25">
      <c r="A131" s="1">
        <v>43891.708333333336</v>
      </c>
      <c r="B131" s="2" t="s">
        <v>12</v>
      </c>
      <c r="C131">
        <v>18</v>
      </c>
      <c r="D131" s="2" t="s">
        <v>36</v>
      </c>
      <c r="E131">
        <v>3890597598</v>
      </c>
      <c r="F131">
        <v>1659440194</v>
      </c>
      <c r="G131">
        <v>0</v>
      </c>
      <c r="H131">
        <v>0</v>
      </c>
      <c r="I131">
        <v>0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1</v>
      </c>
      <c r="P131">
        <v>35</v>
      </c>
    </row>
    <row r="132" spans="1:16" x14ac:dyDescent="0.25">
      <c r="A132" s="1">
        <v>43891.708333333336</v>
      </c>
      <c r="B132" s="2" t="s">
        <v>12</v>
      </c>
      <c r="C132">
        <v>15</v>
      </c>
      <c r="D132" s="2" t="s">
        <v>37</v>
      </c>
      <c r="E132">
        <v>4083956555</v>
      </c>
      <c r="F132">
        <v>1425084984</v>
      </c>
      <c r="G132">
        <v>4</v>
      </c>
      <c r="H132">
        <v>0</v>
      </c>
      <c r="I132">
        <v>4</v>
      </c>
      <c r="J132">
        <v>13</v>
      </c>
      <c r="K132">
        <v>17</v>
      </c>
      <c r="L132">
        <v>4</v>
      </c>
      <c r="M132">
        <v>0</v>
      </c>
      <c r="N132">
        <v>0</v>
      </c>
      <c r="O132">
        <v>17</v>
      </c>
      <c r="P132">
        <v>373</v>
      </c>
    </row>
    <row r="133" spans="1:16" x14ac:dyDescent="0.25">
      <c r="A133" s="1">
        <v>43891.708333333336</v>
      </c>
      <c r="B133" s="2" t="s">
        <v>12</v>
      </c>
      <c r="C133">
        <v>8</v>
      </c>
      <c r="D133" s="2" t="s">
        <v>38</v>
      </c>
      <c r="E133">
        <v>4449436681</v>
      </c>
      <c r="F133">
        <v>113417208</v>
      </c>
      <c r="G133">
        <v>127</v>
      </c>
      <c r="H133">
        <v>13</v>
      </c>
      <c r="I133">
        <v>140</v>
      </c>
      <c r="J133">
        <v>137</v>
      </c>
      <c r="K133">
        <v>277</v>
      </c>
      <c r="L133">
        <v>64</v>
      </c>
      <c r="M133">
        <v>0</v>
      </c>
      <c r="N133">
        <v>8</v>
      </c>
      <c r="O133">
        <v>285</v>
      </c>
      <c r="P133">
        <v>1795</v>
      </c>
    </row>
    <row r="134" spans="1:16" x14ac:dyDescent="0.25">
      <c r="A134" s="1">
        <v>43891.708333333336</v>
      </c>
      <c r="B134" s="2" t="s">
        <v>12</v>
      </c>
      <c r="C134">
        <v>6</v>
      </c>
      <c r="D134" s="2" t="s">
        <v>39</v>
      </c>
      <c r="E134">
        <v>456494354</v>
      </c>
      <c r="F134">
        <v>1376813649</v>
      </c>
      <c r="G134">
        <v>0</v>
      </c>
      <c r="H134">
        <v>0</v>
      </c>
      <c r="I134">
        <v>0</v>
      </c>
      <c r="J134">
        <v>6</v>
      </c>
      <c r="K134">
        <v>6</v>
      </c>
      <c r="L134">
        <v>6</v>
      </c>
      <c r="M134">
        <v>0</v>
      </c>
      <c r="N134">
        <v>0</v>
      </c>
      <c r="O134">
        <v>6</v>
      </c>
      <c r="P134">
        <v>243</v>
      </c>
    </row>
    <row r="135" spans="1:16" x14ac:dyDescent="0.25">
      <c r="A135" s="1">
        <v>43891.708333333336</v>
      </c>
      <c r="B135" s="2" t="s">
        <v>12</v>
      </c>
      <c r="C135">
        <v>12</v>
      </c>
      <c r="D135" s="2" t="s">
        <v>40</v>
      </c>
      <c r="E135">
        <v>4189277044</v>
      </c>
      <c r="F135">
        <v>1248366722</v>
      </c>
      <c r="G135">
        <v>3</v>
      </c>
      <c r="H135">
        <v>0</v>
      </c>
      <c r="I135">
        <v>3</v>
      </c>
      <c r="J135">
        <v>0</v>
      </c>
      <c r="K135">
        <v>3</v>
      </c>
      <c r="L135">
        <v>0</v>
      </c>
      <c r="M135">
        <v>3</v>
      </c>
      <c r="N135">
        <v>0</v>
      </c>
      <c r="O135">
        <v>6</v>
      </c>
      <c r="P135">
        <v>724</v>
      </c>
    </row>
    <row r="136" spans="1:16" x14ac:dyDescent="0.25">
      <c r="A136" s="1">
        <v>43891.708333333336</v>
      </c>
      <c r="B136" s="2" t="s">
        <v>12</v>
      </c>
      <c r="C136">
        <v>7</v>
      </c>
      <c r="D136" s="2" t="s">
        <v>41</v>
      </c>
      <c r="E136">
        <v>4441149315</v>
      </c>
      <c r="F136">
        <v>89326992</v>
      </c>
      <c r="G136">
        <v>12</v>
      </c>
      <c r="H136">
        <v>1</v>
      </c>
      <c r="I136">
        <v>13</v>
      </c>
      <c r="J136">
        <v>8</v>
      </c>
      <c r="K136">
        <v>21</v>
      </c>
      <c r="L136">
        <v>-17</v>
      </c>
      <c r="M136">
        <v>4</v>
      </c>
      <c r="N136">
        <v>0</v>
      </c>
      <c r="O136">
        <v>25</v>
      </c>
      <c r="P136">
        <v>121</v>
      </c>
    </row>
    <row r="137" spans="1:16" x14ac:dyDescent="0.25">
      <c r="A137" s="1">
        <v>43891.708333333336</v>
      </c>
      <c r="B137" s="2" t="s">
        <v>12</v>
      </c>
      <c r="C137">
        <v>3</v>
      </c>
      <c r="D137" s="2" t="s">
        <v>42</v>
      </c>
      <c r="E137">
        <v>4546679409</v>
      </c>
      <c r="F137">
        <v>9190347404</v>
      </c>
      <c r="G137">
        <v>406</v>
      </c>
      <c r="H137">
        <v>106</v>
      </c>
      <c r="I137">
        <v>512</v>
      </c>
      <c r="J137">
        <v>375</v>
      </c>
      <c r="K137">
        <v>887</v>
      </c>
      <c r="L137">
        <v>335</v>
      </c>
      <c r="M137">
        <v>73</v>
      </c>
      <c r="N137">
        <v>24</v>
      </c>
      <c r="O137">
        <v>984</v>
      </c>
      <c r="P137">
        <v>6879</v>
      </c>
    </row>
    <row r="138" spans="1:16" x14ac:dyDescent="0.25">
      <c r="A138" s="1">
        <v>43891.708333333336</v>
      </c>
      <c r="B138" s="2" t="s">
        <v>12</v>
      </c>
      <c r="C138">
        <v>11</v>
      </c>
      <c r="D138" s="2" t="s">
        <v>43</v>
      </c>
      <c r="E138">
        <v>4361675973</v>
      </c>
      <c r="F138">
        <v>135188753</v>
      </c>
      <c r="G138">
        <v>12</v>
      </c>
      <c r="H138">
        <v>5</v>
      </c>
      <c r="I138">
        <v>17</v>
      </c>
      <c r="J138">
        <v>8</v>
      </c>
      <c r="K138">
        <v>25</v>
      </c>
      <c r="L138">
        <v>14</v>
      </c>
      <c r="M138">
        <v>0</v>
      </c>
      <c r="N138">
        <v>0</v>
      </c>
      <c r="O138">
        <v>25</v>
      </c>
      <c r="P138">
        <v>101</v>
      </c>
    </row>
    <row r="139" spans="1:16" x14ac:dyDescent="0.25">
      <c r="A139" s="1">
        <v>43891.708333333336</v>
      </c>
      <c r="B139" s="2" t="s">
        <v>12</v>
      </c>
      <c r="C139">
        <v>14</v>
      </c>
      <c r="D139" s="2" t="s">
        <v>44</v>
      </c>
      <c r="E139">
        <v>4155774754</v>
      </c>
      <c r="F139">
        <v>1465916051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6</v>
      </c>
    </row>
    <row r="140" spans="1:16" x14ac:dyDescent="0.25">
      <c r="A140" s="1">
        <v>43891.708333333336</v>
      </c>
      <c r="B140" s="2" t="s">
        <v>12</v>
      </c>
      <c r="C140">
        <v>1</v>
      </c>
      <c r="D140" s="2" t="s">
        <v>45</v>
      </c>
      <c r="E140">
        <v>450732745</v>
      </c>
      <c r="F140">
        <v>7680687483</v>
      </c>
      <c r="G140">
        <v>11</v>
      </c>
      <c r="H140">
        <v>2</v>
      </c>
      <c r="I140">
        <v>13</v>
      </c>
      <c r="J140">
        <v>36</v>
      </c>
      <c r="K140">
        <v>49</v>
      </c>
      <c r="L140">
        <v>38</v>
      </c>
      <c r="M140">
        <v>0</v>
      </c>
      <c r="N140">
        <v>0</v>
      </c>
      <c r="O140">
        <v>49</v>
      </c>
      <c r="P140">
        <v>362</v>
      </c>
    </row>
    <row r="141" spans="1:16" x14ac:dyDescent="0.25">
      <c r="A141" s="1">
        <v>43891.708333333336</v>
      </c>
      <c r="B141" s="2" t="s">
        <v>12</v>
      </c>
      <c r="C141">
        <v>16</v>
      </c>
      <c r="D141" s="2" t="s">
        <v>46</v>
      </c>
      <c r="E141">
        <v>4112559576</v>
      </c>
      <c r="F141">
        <v>1686736689</v>
      </c>
      <c r="G141">
        <v>1</v>
      </c>
      <c r="H141">
        <v>0</v>
      </c>
      <c r="I141">
        <v>1</v>
      </c>
      <c r="J141">
        <v>2</v>
      </c>
      <c r="K141">
        <v>3</v>
      </c>
      <c r="L141">
        <v>0</v>
      </c>
      <c r="M141">
        <v>0</v>
      </c>
      <c r="N141">
        <v>0</v>
      </c>
      <c r="O141">
        <v>3</v>
      </c>
      <c r="P141">
        <v>262</v>
      </c>
    </row>
    <row r="142" spans="1:16" x14ac:dyDescent="0.25">
      <c r="A142" s="1">
        <v>43891.708333333336</v>
      </c>
      <c r="B142" s="2" t="s">
        <v>12</v>
      </c>
      <c r="C142">
        <v>20</v>
      </c>
      <c r="D142" s="2" t="s">
        <v>47</v>
      </c>
      <c r="E142">
        <v>3921531192</v>
      </c>
      <c r="F142">
        <v>9110616306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29</v>
      </c>
    </row>
    <row r="143" spans="1:16" x14ac:dyDescent="0.25">
      <c r="A143" s="1">
        <v>43891.708333333336</v>
      </c>
      <c r="B143" s="2" t="s">
        <v>12</v>
      </c>
      <c r="C143">
        <v>19</v>
      </c>
      <c r="D143" s="2" t="s">
        <v>48</v>
      </c>
      <c r="E143">
        <v>3811569725</v>
      </c>
      <c r="F143">
        <v>133623567</v>
      </c>
      <c r="G143">
        <v>1</v>
      </c>
      <c r="H143">
        <v>0</v>
      </c>
      <c r="I143">
        <v>1</v>
      </c>
      <c r="J143">
        <v>6</v>
      </c>
      <c r="K143">
        <v>7</v>
      </c>
      <c r="L143">
        <v>5</v>
      </c>
      <c r="M143">
        <v>2</v>
      </c>
      <c r="N143">
        <v>0</v>
      </c>
      <c r="O143">
        <v>9</v>
      </c>
      <c r="P143">
        <v>291</v>
      </c>
    </row>
    <row r="144" spans="1:16" x14ac:dyDescent="0.25">
      <c r="A144" s="1">
        <v>43891.708333333336</v>
      </c>
      <c r="B144" s="2" t="s">
        <v>12</v>
      </c>
      <c r="C144">
        <v>9</v>
      </c>
      <c r="D144" s="2" t="s">
        <v>49</v>
      </c>
      <c r="E144">
        <v>4376923077</v>
      </c>
      <c r="F144">
        <v>1125588885</v>
      </c>
      <c r="G144">
        <v>7</v>
      </c>
      <c r="H144">
        <v>0</v>
      </c>
      <c r="I144">
        <v>7</v>
      </c>
      <c r="J144">
        <v>5</v>
      </c>
      <c r="K144">
        <v>12</v>
      </c>
      <c r="L144">
        <v>2</v>
      </c>
      <c r="M144">
        <v>1</v>
      </c>
      <c r="N144">
        <v>0</v>
      </c>
      <c r="O144">
        <v>13</v>
      </c>
      <c r="P144">
        <v>572</v>
      </c>
    </row>
    <row r="145" spans="1:16" x14ac:dyDescent="0.25">
      <c r="A145" s="1">
        <v>43891.708333333336</v>
      </c>
      <c r="B145" s="2" t="s">
        <v>12</v>
      </c>
      <c r="C145">
        <v>4</v>
      </c>
      <c r="D145" s="2" t="s">
        <v>50</v>
      </c>
      <c r="E145">
        <v>4606893511</v>
      </c>
      <c r="F145">
        <v>1112123097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122</v>
      </c>
    </row>
    <row r="146" spans="1:16" x14ac:dyDescent="0.25">
      <c r="A146" s="1">
        <v>43891.708333333336</v>
      </c>
      <c r="B146" s="2" t="s">
        <v>12</v>
      </c>
      <c r="C146">
        <v>10</v>
      </c>
      <c r="D146" s="2" t="s">
        <v>51</v>
      </c>
      <c r="E146">
        <v>4310675841</v>
      </c>
      <c r="F146">
        <v>1238824698</v>
      </c>
      <c r="G146">
        <v>0</v>
      </c>
      <c r="H146">
        <v>0</v>
      </c>
      <c r="I146">
        <v>0</v>
      </c>
      <c r="J146">
        <v>2</v>
      </c>
      <c r="K146">
        <v>2</v>
      </c>
      <c r="L146">
        <v>2</v>
      </c>
      <c r="M146">
        <v>0</v>
      </c>
      <c r="N146">
        <v>0</v>
      </c>
      <c r="O146">
        <v>2</v>
      </c>
      <c r="P146">
        <v>35</v>
      </c>
    </row>
    <row r="147" spans="1:16" x14ac:dyDescent="0.25">
      <c r="A147" s="1">
        <v>43891.708333333336</v>
      </c>
      <c r="B147" s="2" t="s">
        <v>12</v>
      </c>
      <c r="C147">
        <v>2</v>
      </c>
      <c r="D147" s="2" t="s">
        <v>52</v>
      </c>
      <c r="E147">
        <v>4573750286</v>
      </c>
      <c r="F147">
        <v>7320149366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10</v>
      </c>
    </row>
    <row r="148" spans="1:16" x14ac:dyDescent="0.25">
      <c r="A148" s="1">
        <v>43891.708333333336</v>
      </c>
      <c r="B148" s="2" t="s">
        <v>12</v>
      </c>
      <c r="C148">
        <v>5</v>
      </c>
      <c r="D148" s="2" t="s">
        <v>53</v>
      </c>
      <c r="E148">
        <v>4543490485</v>
      </c>
      <c r="F148">
        <v>1233845213</v>
      </c>
      <c r="G148">
        <v>51</v>
      </c>
      <c r="H148">
        <v>13</v>
      </c>
      <c r="I148">
        <v>64</v>
      </c>
      <c r="J148">
        <v>197</v>
      </c>
      <c r="K148">
        <v>261</v>
      </c>
      <c r="L148">
        <v>72</v>
      </c>
      <c r="M148">
        <v>0</v>
      </c>
      <c r="N148">
        <v>2</v>
      </c>
      <c r="O148">
        <v>263</v>
      </c>
      <c r="P148">
        <v>9056</v>
      </c>
    </row>
    <row r="149" spans="1:16" x14ac:dyDescent="0.25">
      <c r="A149" s="1">
        <v>43892.75</v>
      </c>
      <c r="B149" s="2" t="s">
        <v>12</v>
      </c>
      <c r="C149">
        <v>13</v>
      </c>
      <c r="D149" s="2" t="s">
        <v>33</v>
      </c>
      <c r="E149">
        <v>4235122196</v>
      </c>
      <c r="F149">
        <v>1339843823</v>
      </c>
      <c r="G149">
        <v>3</v>
      </c>
      <c r="H149">
        <v>0</v>
      </c>
      <c r="I149">
        <v>3</v>
      </c>
      <c r="J149">
        <v>2</v>
      </c>
      <c r="K149">
        <v>5</v>
      </c>
      <c r="L149">
        <v>0</v>
      </c>
      <c r="M149">
        <v>0</v>
      </c>
      <c r="N149">
        <v>0</v>
      </c>
      <c r="O149">
        <v>5</v>
      </c>
      <c r="P149">
        <v>52</v>
      </c>
    </row>
    <row r="150" spans="1:16" x14ac:dyDescent="0.25">
      <c r="A150" s="1">
        <v>43892.75</v>
      </c>
      <c r="B150" s="2" t="s">
        <v>12</v>
      </c>
      <c r="C150">
        <v>17</v>
      </c>
      <c r="D150" s="2" t="s">
        <v>34</v>
      </c>
      <c r="E150">
        <v>4063947052</v>
      </c>
      <c r="F150">
        <v>1580514834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39</v>
      </c>
    </row>
    <row r="151" spans="1:16" x14ac:dyDescent="0.25">
      <c r="A151" s="1">
        <v>43892.75</v>
      </c>
      <c r="B151" s="2" t="s">
        <v>12</v>
      </c>
      <c r="C151">
        <v>4</v>
      </c>
      <c r="D151" s="2" t="s">
        <v>35</v>
      </c>
      <c r="E151">
        <v>4649933453</v>
      </c>
      <c r="F151">
        <v>1135662422</v>
      </c>
      <c r="G151">
        <v>1</v>
      </c>
      <c r="H151">
        <v>0</v>
      </c>
      <c r="I151">
        <v>1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1</v>
      </c>
      <c r="P151">
        <v>20</v>
      </c>
    </row>
    <row r="152" spans="1:16" x14ac:dyDescent="0.25">
      <c r="A152" s="1">
        <v>43892.75</v>
      </c>
      <c r="B152" s="2" t="s">
        <v>12</v>
      </c>
      <c r="C152">
        <v>18</v>
      </c>
      <c r="D152" s="2" t="s">
        <v>36</v>
      </c>
      <c r="E152">
        <v>3890597598</v>
      </c>
      <c r="F152">
        <v>1659440194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0</v>
      </c>
      <c r="M152">
        <v>0</v>
      </c>
      <c r="N152">
        <v>0</v>
      </c>
      <c r="O152">
        <v>1</v>
      </c>
      <c r="P152">
        <v>39</v>
      </c>
    </row>
    <row r="153" spans="1:16" x14ac:dyDescent="0.25">
      <c r="A153" s="1">
        <v>43892.75</v>
      </c>
      <c r="B153" s="2" t="s">
        <v>12</v>
      </c>
      <c r="C153">
        <v>15</v>
      </c>
      <c r="D153" s="2" t="s">
        <v>37</v>
      </c>
      <c r="E153">
        <v>4083956555</v>
      </c>
      <c r="F153">
        <v>1425084984</v>
      </c>
      <c r="G153">
        <v>4</v>
      </c>
      <c r="H153">
        <v>0</v>
      </c>
      <c r="I153">
        <v>4</v>
      </c>
      <c r="J153">
        <v>13</v>
      </c>
      <c r="K153">
        <v>17</v>
      </c>
      <c r="L153">
        <v>0</v>
      </c>
      <c r="M153">
        <v>0</v>
      </c>
      <c r="N153">
        <v>0</v>
      </c>
      <c r="O153">
        <v>17</v>
      </c>
      <c r="P153">
        <v>373</v>
      </c>
    </row>
    <row r="154" spans="1:16" x14ac:dyDescent="0.25">
      <c r="A154" s="1">
        <v>43892.75</v>
      </c>
      <c r="B154" s="2" t="s">
        <v>12</v>
      </c>
      <c r="C154">
        <v>8</v>
      </c>
      <c r="D154" s="2" t="s">
        <v>38</v>
      </c>
      <c r="E154">
        <v>4449436681</v>
      </c>
      <c r="F154">
        <v>113417208</v>
      </c>
      <c r="G154">
        <v>148</v>
      </c>
      <c r="H154">
        <v>16</v>
      </c>
      <c r="I154">
        <v>164</v>
      </c>
      <c r="J154">
        <v>160</v>
      </c>
      <c r="K154">
        <v>324</v>
      </c>
      <c r="L154">
        <v>47</v>
      </c>
      <c r="M154">
        <v>0</v>
      </c>
      <c r="N154">
        <v>11</v>
      </c>
      <c r="O154">
        <v>335</v>
      </c>
      <c r="P154">
        <v>1973</v>
      </c>
    </row>
    <row r="155" spans="1:16" x14ac:dyDescent="0.25">
      <c r="A155" s="1">
        <v>43892.75</v>
      </c>
      <c r="B155" s="2" t="s">
        <v>12</v>
      </c>
      <c r="C155">
        <v>6</v>
      </c>
      <c r="D155" s="2" t="s">
        <v>39</v>
      </c>
      <c r="E155">
        <v>456494354</v>
      </c>
      <c r="F155">
        <v>1376813649</v>
      </c>
      <c r="G155">
        <v>0</v>
      </c>
      <c r="H155">
        <v>0</v>
      </c>
      <c r="I155">
        <v>0</v>
      </c>
      <c r="J155">
        <v>9</v>
      </c>
      <c r="K155">
        <v>9</v>
      </c>
      <c r="L155">
        <v>3</v>
      </c>
      <c r="M155">
        <v>0</v>
      </c>
      <c r="N155">
        <v>0</v>
      </c>
      <c r="O155">
        <v>9</v>
      </c>
      <c r="P155">
        <v>269</v>
      </c>
    </row>
    <row r="156" spans="1:16" x14ac:dyDescent="0.25">
      <c r="A156" s="1">
        <v>43892.75</v>
      </c>
      <c r="B156" s="2" t="s">
        <v>12</v>
      </c>
      <c r="C156">
        <v>12</v>
      </c>
      <c r="D156" s="2" t="s">
        <v>40</v>
      </c>
      <c r="E156">
        <v>4189277044</v>
      </c>
      <c r="F156">
        <v>1248366722</v>
      </c>
      <c r="G156">
        <v>3</v>
      </c>
      <c r="H156">
        <v>0</v>
      </c>
      <c r="I156">
        <v>3</v>
      </c>
      <c r="J156">
        <v>1</v>
      </c>
      <c r="K156">
        <v>4</v>
      </c>
      <c r="L156">
        <v>1</v>
      </c>
      <c r="M156">
        <v>3</v>
      </c>
      <c r="N156">
        <v>0</v>
      </c>
      <c r="O156">
        <v>7</v>
      </c>
      <c r="P156">
        <v>773</v>
      </c>
    </row>
    <row r="157" spans="1:16" x14ac:dyDescent="0.25">
      <c r="A157" s="1">
        <v>43892.75</v>
      </c>
      <c r="B157" s="2" t="s">
        <v>12</v>
      </c>
      <c r="C157">
        <v>7</v>
      </c>
      <c r="D157" s="2" t="s">
        <v>41</v>
      </c>
      <c r="E157">
        <v>4441149315</v>
      </c>
      <c r="F157">
        <v>89326992</v>
      </c>
      <c r="G157">
        <v>12</v>
      </c>
      <c r="H157">
        <v>1</v>
      </c>
      <c r="I157">
        <v>13</v>
      </c>
      <c r="J157">
        <v>5</v>
      </c>
      <c r="K157">
        <v>18</v>
      </c>
      <c r="L157">
        <v>-3</v>
      </c>
      <c r="M157">
        <v>4</v>
      </c>
      <c r="N157">
        <v>0</v>
      </c>
      <c r="O157">
        <v>22</v>
      </c>
      <c r="P157">
        <v>121</v>
      </c>
    </row>
    <row r="158" spans="1:16" x14ac:dyDescent="0.25">
      <c r="A158" s="1">
        <v>43892.75</v>
      </c>
      <c r="B158" s="2" t="s">
        <v>12</v>
      </c>
      <c r="C158">
        <v>3</v>
      </c>
      <c r="D158" s="2" t="s">
        <v>42</v>
      </c>
      <c r="E158">
        <v>4546679409</v>
      </c>
      <c r="F158">
        <v>9190347404</v>
      </c>
      <c r="G158">
        <v>478</v>
      </c>
      <c r="H158">
        <v>127</v>
      </c>
      <c r="I158">
        <v>605</v>
      </c>
      <c r="J158">
        <v>472</v>
      </c>
      <c r="K158">
        <v>1077</v>
      </c>
      <c r="L158">
        <v>190</v>
      </c>
      <c r="M158">
        <v>139</v>
      </c>
      <c r="N158">
        <v>38</v>
      </c>
      <c r="O158">
        <v>1254</v>
      </c>
      <c r="P158">
        <v>7925</v>
      </c>
    </row>
    <row r="159" spans="1:16" x14ac:dyDescent="0.25">
      <c r="A159" s="1">
        <v>43892.75</v>
      </c>
      <c r="B159" s="2" t="s">
        <v>12</v>
      </c>
      <c r="C159">
        <v>11</v>
      </c>
      <c r="D159" s="2" t="s">
        <v>43</v>
      </c>
      <c r="E159">
        <v>4361675973</v>
      </c>
      <c r="F159">
        <v>135188753</v>
      </c>
      <c r="G159">
        <v>17</v>
      </c>
      <c r="H159">
        <v>6</v>
      </c>
      <c r="I159">
        <v>23</v>
      </c>
      <c r="J159">
        <v>11</v>
      </c>
      <c r="K159">
        <v>34</v>
      </c>
      <c r="L159">
        <v>9</v>
      </c>
      <c r="M159">
        <v>0</v>
      </c>
      <c r="N159">
        <v>1</v>
      </c>
      <c r="O159">
        <v>35</v>
      </c>
      <c r="P159">
        <v>137</v>
      </c>
    </row>
    <row r="160" spans="1:16" x14ac:dyDescent="0.25">
      <c r="A160" s="1">
        <v>43892.75</v>
      </c>
      <c r="B160" s="2" t="s">
        <v>12</v>
      </c>
      <c r="C160">
        <v>14</v>
      </c>
      <c r="D160" s="2" t="s">
        <v>44</v>
      </c>
      <c r="E160">
        <v>4155774754</v>
      </c>
      <c r="F160">
        <v>1465916051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13</v>
      </c>
    </row>
    <row r="161" spans="1:16" x14ac:dyDescent="0.25">
      <c r="A161" s="1">
        <v>43892.75</v>
      </c>
      <c r="B161" s="2" t="s">
        <v>12</v>
      </c>
      <c r="C161">
        <v>1</v>
      </c>
      <c r="D161" s="2" t="s">
        <v>45</v>
      </c>
      <c r="E161">
        <v>450732745</v>
      </c>
      <c r="F161">
        <v>7680687483</v>
      </c>
      <c r="G161">
        <v>12</v>
      </c>
      <c r="H161">
        <v>2</v>
      </c>
      <c r="I161">
        <v>14</v>
      </c>
      <c r="J161">
        <v>37</v>
      </c>
      <c r="K161">
        <v>51</v>
      </c>
      <c r="L161">
        <v>2</v>
      </c>
      <c r="M161">
        <v>0</v>
      </c>
      <c r="N161">
        <v>0</v>
      </c>
      <c r="O161">
        <v>51</v>
      </c>
      <c r="P161">
        <v>434</v>
      </c>
    </row>
    <row r="162" spans="1:16" x14ac:dyDescent="0.25">
      <c r="A162" s="1">
        <v>43892.75</v>
      </c>
      <c r="B162" s="2" t="s">
        <v>12</v>
      </c>
      <c r="C162">
        <v>16</v>
      </c>
      <c r="D162" s="2" t="s">
        <v>46</v>
      </c>
      <c r="E162">
        <v>4112559576</v>
      </c>
      <c r="F162">
        <v>1686736689</v>
      </c>
      <c r="G162">
        <v>2</v>
      </c>
      <c r="H162">
        <v>0</v>
      </c>
      <c r="I162">
        <v>2</v>
      </c>
      <c r="J162">
        <v>2</v>
      </c>
      <c r="K162">
        <v>4</v>
      </c>
      <c r="L162">
        <v>1</v>
      </c>
      <c r="M162">
        <v>0</v>
      </c>
      <c r="N162">
        <v>0</v>
      </c>
      <c r="O162">
        <v>4</v>
      </c>
      <c r="P162">
        <v>278</v>
      </c>
    </row>
    <row r="163" spans="1:16" x14ac:dyDescent="0.25">
      <c r="A163" s="1">
        <v>43892.75</v>
      </c>
      <c r="B163" s="2" t="s">
        <v>12</v>
      </c>
      <c r="C163">
        <v>20</v>
      </c>
      <c r="D163" s="2" t="s">
        <v>47</v>
      </c>
      <c r="E163">
        <v>3921531192</v>
      </c>
      <c r="F163">
        <v>9110616306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29</v>
      </c>
    </row>
    <row r="164" spans="1:16" x14ac:dyDescent="0.25">
      <c r="A164" s="1">
        <v>43892.75</v>
      </c>
      <c r="B164" s="2" t="s">
        <v>12</v>
      </c>
      <c r="C164">
        <v>19</v>
      </c>
      <c r="D164" s="2" t="s">
        <v>48</v>
      </c>
      <c r="E164">
        <v>3811569725</v>
      </c>
      <c r="F164">
        <v>133623567</v>
      </c>
      <c r="G164">
        <v>2</v>
      </c>
      <c r="H164">
        <v>0</v>
      </c>
      <c r="I164">
        <v>2</v>
      </c>
      <c r="J164">
        <v>3</v>
      </c>
      <c r="K164">
        <v>5</v>
      </c>
      <c r="L164">
        <v>-2</v>
      </c>
      <c r="M164">
        <v>2</v>
      </c>
      <c r="N164">
        <v>0</v>
      </c>
      <c r="O164">
        <v>7</v>
      </c>
      <c r="P164">
        <v>307</v>
      </c>
    </row>
    <row r="165" spans="1:16" x14ac:dyDescent="0.25">
      <c r="A165" s="1">
        <v>43892.75</v>
      </c>
      <c r="B165" s="2" t="s">
        <v>12</v>
      </c>
      <c r="C165">
        <v>9</v>
      </c>
      <c r="D165" s="2" t="s">
        <v>49</v>
      </c>
      <c r="E165">
        <v>4376923077</v>
      </c>
      <c r="F165">
        <v>1125588885</v>
      </c>
      <c r="G165">
        <v>7</v>
      </c>
      <c r="H165">
        <v>0</v>
      </c>
      <c r="I165">
        <v>7</v>
      </c>
      <c r="J165">
        <v>5</v>
      </c>
      <c r="K165">
        <v>12</v>
      </c>
      <c r="L165">
        <v>0</v>
      </c>
      <c r="M165">
        <v>1</v>
      </c>
      <c r="N165">
        <v>0</v>
      </c>
      <c r="O165">
        <v>13</v>
      </c>
      <c r="P165">
        <v>613</v>
      </c>
    </row>
    <row r="166" spans="1:16" x14ac:dyDescent="0.25">
      <c r="A166" s="1">
        <v>43892.75</v>
      </c>
      <c r="B166" s="2" t="s">
        <v>12</v>
      </c>
      <c r="C166">
        <v>4</v>
      </c>
      <c r="D166" s="2" t="s">
        <v>50</v>
      </c>
      <c r="E166">
        <v>4606893511</v>
      </c>
      <c r="F166">
        <v>1112123097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122</v>
      </c>
    </row>
    <row r="167" spans="1:16" x14ac:dyDescent="0.25">
      <c r="A167" s="1">
        <v>43892.75</v>
      </c>
      <c r="B167" s="2" t="s">
        <v>12</v>
      </c>
      <c r="C167">
        <v>10</v>
      </c>
      <c r="D167" s="2" t="s">
        <v>51</v>
      </c>
      <c r="E167">
        <v>4310675841</v>
      </c>
      <c r="F167">
        <v>1238824698</v>
      </c>
      <c r="G167">
        <v>0</v>
      </c>
      <c r="H167">
        <v>0</v>
      </c>
      <c r="I167">
        <v>0</v>
      </c>
      <c r="J167">
        <v>2</v>
      </c>
      <c r="K167">
        <v>2</v>
      </c>
      <c r="L167">
        <v>0</v>
      </c>
      <c r="M167">
        <v>0</v>
      </c>
      <c r="N167">
        <v>0</v>
      </c>
      <c r="O167">
        <v>2</v>
      </c>
      <c r="P167">
        <v>35</v>
      </c>
    </row>
    <row r="168" spans="1:16" x14ac:dyDescent="0.25">
      <c r="A168" s="1">
        <v>43892.75</v>
      </c>
      <c r="B168" s="2" t="s">
        <v>12</v>
      </c>
      <c r="C168">
        <v>2</v>
      </c>
      <c r="D168" s="2" t="s">
        <v>52</v>
      </c>
      <c r="E168">
        <v>4573750286</v>
      </c>
      <c r="F168">
        <v>7320149366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11</v>
      </c>
    </row>
    <row r="169" spans="1:16" x14ac:dyDescent="0.25">
      <c r="A169" s="1">
        <v>43892.75</v>
      </c>
      <c r="B169" s="2" t="s">
        <v>12</v>
      </c>
      <c r="C169">
        <v>5</v>
      </c>
      <c r="D169" s="2" t="s">
        <v>53</v>
      </c>
      <c r="E169">
        <v>4543490485</v>
      </c>
      <c r="F169">
        <v>1233845213</v>
      </c>
      <c r="G169">
        <v>53</v>
      </c>
      <c r="H169">
        <v>14</v>
      </c>
      <c r="I169">
        <v>67</v>
      </c>
      <c r="J169">
        <v>204</v>
      </c>
      <c r="K169">
        <v>271</v>
      </c>
      <c r="L169">
        <v>10</v>
      </c>
      <c r="M169">
        <v>0</v>
      </c>
      <c r="N169">
        <v>2</v>
      </c>
      <c r="O169">
        <v>273</v>
      </c>
      <c r="P169">
        <v>9782</v>
      </c>
    </row>
    <row r="170" spans="1:16" x14ac:dyDescent="0.25">
      <c r="A170" s="1">
        <v>43893.75</v>
      </c>
      <c r="B170" s="2" t="s">
        <v>12</v>
      </c>
      <c r="C170">
        <v>13</v>
      </c>
      <c r="D170" s="2" t="s">
        <v>33</v>
      </c>
      <c r="E170">
        <v>4235122196</v>
      </c>
      <c r="F170">
        <v>1339843823</v>
      </c>
      <c r="G170">
        <v>5</v>
      </c>
      <c r="H170">
        <v>0</v>
      </c>
      <c r="I170">
        <v>5</v>
      </c>
      <c r="J170">
        <v>1</v>
      </c>
      <c r="K170">
        <v>6</v>
      </c>
      <c r="L170">
        <v>1</v>
      </c>
      <c r="M170">
        <v>0</v>
      </c>
      <c r="N170">
        <v>0</v>
      </c>
      <c r="O170">
        <v>6</v>
      </c>
      <c r="P170">
        <v>52</v>
      </c>
    </row>
    <row r="171" spans="1:16" x14ac:dyDescent="0.25">
      <c r="A171" s="1">
        <v>43893.75</v>
      </c>
      <c r="B171" s="2" t="s">
        <v>12</v>
      </c>
      <c r="C171">
        <v>17</v>
      </c>
      <c r="D171" s="2" t="s">
        <v>34</v>
      </c>
      <c r="E171">
        <v>4063947052</v>
      </c>
      <c r="F171">
        <v>1580514834</v>
      </c>
      <c r="G171">
        <v>0</v>
      </c>
      <c r="H171">
        <v>0</v>
      </c>
      <c r="I171">
        <v>0</v>
      </c>
      <c r="J171">
        <v>1</v>
      </c>
      <c r="K171">
        <v>1</v>
      </c>
      <c r="L171">
        <v>1</v>
      </c>
      <c r="M171">
        <v>0</v>
      </c>
      <c r="N171">
        <v>0</v>
      </c>
      <c r="O171">
        <v>1</v>
      </c>
      <c r="P171">
        <v>42</v>
      </c>
    </row>
    <row r="172" spans="1:16" x14ac:dyDescent="0.25">
      <c r="A172" s="1">
        <v>43893.75</v>
      </c>
      <c r="B172" s="2" t="s">
        <v>12</v>
      </c>
      <c r="C172">
        <v>4</v>
      </c>
      <c r="D172" s="2" t="s">
        <v>35</v>
      </c>
      <c r="E172">
        <v>4649933453</v>
      </c>
      <c r="F172">
        <v>1135662422</v>
      </c>
      <c r="G172">
        <v>1</v>
      </c>
      <c r="H172">
        <v>0</v>
      </c>
      <c r="I172">
        <v>1</v>
      </c>
      <c r="J172">
        <v>0</v>
      </c>
      <c r="K172">
        <v>1</v>
      </c>
      <c r="L172">
        <v>0</v>
      </c>
      <c r="M172">
        <v>0</v>
      </c>
      <c r="N172">
        <v>0</v>
      </c>
      <c r="O172">
        <v>1</v>
      </c>
      <c r="P172">
        <v>20</v>
      </c>
    </row>
    <row r="173" spans="1:16" x14ac:dyDescent="0.25">
      <c r="A173" s="1">
        <v>43893.75</v>
      </c>
      <c r="B173" s="2" t="s">
        <v>12</v>
      </c>
      <c r="C173">
        <v>18</v>
      </c>
      <c r="D173" s="2" t="s">
        <v>36</v>
      </c>
      <c r="E173">
        <v>3890597598</v>
      </c>
      <c r="F173">
        <v>1659440194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0</v>
      </c>
      <c r="M173">
        <v>0</v>
      </c>
      <c r="N173">
        <v>0</v>
      </c>
      <c r="O173">
        <v>1</v>
      </c>
      <c r="P173">
        <v>39</v>
      </c>
    </row>
    <row r="174" spans="1:16" x14ac:dyDescent="0.25">
      <c r="A174" s="1">
        <v>43893.75</v>
      </c>
      <c r="B174" s="2" t="s">
        <v>12</v>
      </c>
      <c r="C174">
        <v>15</v>
      </c>
      <c r="D174" s="2" t="s">
        <v>37</v>
      </c>
      <c r="E174">
        <v>4083956555</v>
      </c>
      <c r="F174">
        <v>1425084984</v>
      </c>
      <c r="G174">
        <v>11</v>
      </c>
      <c r="H174">
        <v>0</v>
      </c>
      <c r="I174">
        <v>11</v>
      </c>
      <c r="J174">
        <v>19</v>
      </c>
      <c r="K174">
        <v>30</v>
      </c>
      <c r="L174">
        <v>13</v>
      </c>
      <c r="M174">
        <v>0</v>
      </c>
      <c r="N174">
        <v>0</v>
      </c>
      <c r="O174">
        <v>30</v>
      </c>
      <c r="P174">
        <v>405</v>
      </c>
    </row>
    <row r="175" spans="1:16" x14ac:dyDescent="0.25">
      <c r="A175" s="1">
        <v>43893.75</v>
      </c>
      <c r="B175" s="2" t="s">
        <v>12</v>
      </c>
      <c r="C175">
        <v>8</v>
      </c>
      <c r="D175" s="2" t="s">
        <v>38</v>
      </c>
      <c r="E175">
        <v>4449436681</v>
      </c>
      <c r="F175">
        <v>113417208</v>
      </c>
      <c r="G175">
        <v>187</v>
      </c>
      <c r="H175">
        <v>24</v>
      </c>
      <c r="I175">
        <v>211</v>
      </c>
      <c r="J175">
        <v>187</v>
      </c>
      <c r="K175">
        <v>398</v>
      </c>
      <c r="L175">
        <v>74</v>
      </c>
      <c r="M175">
        <v>4</v>
      </c>
      <c r="N175">
        <v>18</v>
      </c>
      <c r="O175">
        <v>420</v>
      </c>
      <c r="P175">
        <v>2012</v>
      </c>
    </row>
    <row r="176" spans="1:16" x14ac:dyDescent="0.25">
      <c r="A176" s="1">
        <v>43893.75</v>
      </c>
      <c r="B176" s="2" t="s">
        <v>12</v>
      </c>
      <c r="C176">
        <v>6</v>
      </c>
      <c r="D176" s="2" t="s">
        <v>39</v>
      </c>
      <c r="E176">
        <v>456494354</v>
      </c>
      <c r="F176">
        <v>1376813649</v>
      </c>
      <c r="G176">
        <v>1</v>
      </c>
      <c r="H176">
        <v>0</v>
      </c>
      <c r="I176">
        <v>1</v>
      </c>
      <c r="J176">
        <v>12</v>
      </c>
      <c r="K176">
        <v>13</v>
      </c>
      <c r="L176">
        <v>4</v>
      </c>
      <c r="M176">
        <v>0</v>
      </c>
      <c r="N176">
        <v>0</v>
      </c>
      <c r="O176">
        <v>13</v>
      </c>
      <c r="P176">
        <v>354</v>
      </c>
    </row>
    <row r="177" spans="1:16" x14ac:dyDescent="0.25">
      <c r="A177" s="1">
        <v>43893.75</v>
      </c>
      <c r="B177" s="2" t="s">
        <v>12</v>
      </c>
      <c r="C177">
        <v>12</v>
      </c>
      <c r="D177" s="2" t="s">
        <v>40</v>
      </c>
      <c r="E177">
        <v>4189277044</v>
      </c>
      <c r="F177">
        <v>1248366722</v>
      </c>
      <c r="G177">
        <v>10</v>
      </c>
      <c r="H177">
        <v>0</v>
      </c>
      <c r="I177">
        <v>10</v>
      </c>
      <c r="J177">
        <v>1</v>
      </c>
      <c r="K177">
        <v>11</v>
      </c>
      <c r="L177">
        <v>7</v>
      </c>
      <c r="M177">
        <v>3</v>
      </c>
      <c r="N177">
        <v>0</v>
      </c>
      <c r="O177">
        <v>14</v>
      </c>
      <c r="P177">
        <v>877</v>
      </c>
    </row>
    <row r="178" spans="1:16" x14ac:dyDescent="0.25">
      <c r="A178" s="1">
        <v>43893.75</v>
      </c>
      <c r="B178" s="2" t="s">
        <v>12</v>
      </c>
      <c r="C178">
        <v>7</v>
      </c>
      <c r="D178" s="2" t="s">
        <v>41</v>
      </c>
      <c r="E178">
        <v>4441149315</v>
      </c>
      <c r="F178">
        <v>89326992</v>
      </c>
      <c r="G178">
        <v>12</v>
      </c>
      <c r="H178">
        <v>2</v>
      </c>
      <c r="I178">
        <v>14</v>
      </c>
      <c r="J178">
        <v>5</v>
      </c>
      <c r="K178">
        <v>19</v>
      </c>
      <c r="L178">
        <v>1</v>
      </c>
      <c r="M178">
        <v>4</v>
      </c>
      <c r="N178">
        <v>1</v>
      </c>
      <c r="O178">
        <v>24</v>
      </c>
      <c r="P178">
        <v>121</v>
      </c>
    </row>
    <row r="179" spans="1:16" x14ac:dyDescent="0.25">
      <c r="A179" s="1">
        <v>43893.75</v>
      </c>
      <c r="B179" s="2" t="s">
        <v>12</v>
      </c>
      <c r="C179">
        <v>3</v>
      </c>
      <c r="D179" s="2" t="s">
        <v>42</v>
      </c>
      <c r="E179">
        <v>4546679409</v>
      </c>
      <c r="F179">
        <v>9190347404</v>
      </c>
      <c r="G179">
        <v>698</v>
      </c>
      <c r="H179">
        <v>167</v>
      </c>
      <c r="I179">
        <v>865</v>
      </c>
      <c r="J179">
        <v>461</v>
      </c>
      <c r="K179">
        <v>1326</v>
      </c>
      <c r="L179">
        <v>249</v>
      </c>
      <c r="M179">
        <v>139</v>
      </c>
      <c r="N179">
        <v>55</v>
      </c>
      <c r="O179">
        <v>1520</v>
      </c>
      <c r="P179">
        <v>9577</v>
      </c>
    </row>
    <row r="180" spans="1:16" x14ac:dyDescent="0.25">
      <c r="A180" s="1">
        <v>43893.75</v>
      </c>
      <c r="B180" s="2" t="s">
        <v>12</v>
      </c>
      <c r="C180">
        <v>11</v>
      </c>
      <c r="D180" s="2" t="s">
        <v>43</v>
      </c>
      <c r="E180">
        <v>4361675973</v>
      </c>
      <c r="F180">
        <v>135188753</v>
      </c>
      <c r="G180">
        <v>27</v>
      </c>
      <c r="H180">
        <v>13</v>
      </c>
      <c r="I180">
        <v>40</v>
      </c>
      <c r="J180">
        <v>19</v>
      </c>
      <c r="K180">
        <v>59</v>
      </c>
      <c r="L180">
        <v>25</v>
      </c>
      <c r="M180">
        <v>0</v>
      </c>
      <c r="N180">
        <v>2</v>
      </c>
      <c r="O180">
        <v>61</v>
      </c>
      <c r="P180">
        <v>200</v>
      </c>
    </row>
    <row r="181" spans="1:16" x14ac:dyDescent="0.25">
      <c r="A181" s="1">
        <v>43893.75</v>
      </c>
      <c r="B181" s="2" t="s">
        <v>12</v>
      </c>
      <c r="C181">
        <v>14</v>
      </c>
      <c r="D181" s="2" t="s">
        <v>44</v>
      </c>
      <c r="E181">
        <v>4155774754</v>
      </c>
      <c r="F181">
        <v>1465916051</v>
      </c>
      <c r="G181">
        <v>3</v>
      </c>
      <c r="H181">
        <v>0</v>
      </c>
      <c r="I181">
        <v>3</v>
      </c>
      <c r="J181">
        <v>0</v>
      </c>
      <c r="K181">
        <v>3</v>
      </c>
      <c r="L181">
        <v>3</v>
      </c>
      <c r="M181">
        <v>0</v>
      </c>
      <c r="N181">
        <v>0</v>
      </c>
      <c r="O181">
        <v>3</v>
      </c>
      <c r="P181">
        <v>13</v>
      </c>
    </row>
    <row r="182" spans="1:16" x14ac:dyDescent="0.25">
      <c r="A182" s="1">
        <v>43893.75</v>
      </c>
      <c r="B182" s="2" t="s">
        <v>12</v>
      </c>
      <c r="C182">
        <v>1</v>
      </c>
      <c r="D182" s="2" t="s">
        <v>45</v>
      </c>
      <c r="E182">
        <v>450732745</v>
      </c>
      <c r="F182">
        <v>7680687483</v>
      </c>
      <c r="G182">
        <v>13</v>
      </c>
      <c r="H182">
        <v>3</v>
      </c>
      <c r="I182">
        <v>16</v>
      </c>
      <c r="J182">
        <v>40</v>
      </c>
      <c r="K182">
        <v>56</v>
      </c>
      <c r="L182">
        <v>5</v>
      </c>
      <c r="M182">
        <v>0</v>
      </c>
      <c r="N182">
        <v>0</v>
      </c>
      <c r="O182">
        <v>56</v>
      </c>
      <c r="P182">
        <v>458</v>
      </c>
    </row>
    <row r="183" spans="1:16" x14ac:dyDescent="0.25">
      <c r="A183" s="1">
        <v>43893.75</v>
      </c>
      <c r="B183" s="2" t="s">
        <v>12</v>
      </c>
      <c r="C183">
        <v>16</v>
      </c>
      <c r="D183" s="2" t="s">
        <v>46</v>
      </c>
      <c r="E183">
        <v>4112559576</v>
      </c>
      <c r="F183">
        <v>1686736689</v>
      </c>
      <c r="G183">
        <v>2</v>
      </c>
      <c r="H183">
        <v>0</v>
      </c>
      <c r="I183">
        <v>2</v>
      </c>
      <c r="J183">
        <v>4</v>
      </c>
      <c r="K183">
        <v>6</v>
      </c>
      <c r="L183">
        <v>2</v>
      </c>
      <c r="M183">
        <v>0</v>
      </c>
      <c r="N183">
        <v>0</v>
      </c>
      <c r="O183">
        <v>6</v>
      </c>
      <c r="P183">
        <v>298</v>
      </c>
    </row>
    <row r="184" spans="1:16" x14ac:dyDescent="0.25">
      <c r="A184" s="1">
        <v>43893.75</v>
      </c>
      <c r="B184" s="2" t="s">
        <v>12</v>
      </c>
      <c r="C184">
        <v>20</v>
      </c>
      <c r="D184" s="2" t="s">
        <v>47</v>
      </c>
      <c r="E184">
        <v>3921531192</v>
      </c>
      <c r="F184">
        <v>9110616306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1</v>
      </c>
      <c r="P184">
        <v>29</v>
      </c>
    </row>
    <row r="185" spans="1:16" x14ac:dyDescent="0.25">
      <c r="A185" s="1">
        <v>43893.75</v>
      </c>
      <c r="B185" s="2" t="s">
        <v>12</v>
      </c>
      <c r="C185">
        <v>19</v>
      </c>
      <c r="D185" s="2" t="s">
        <v>48</v>
      </c>
      <c r="E185">
        <v>3811569725</v>
      </c>
      <c r="F185">
        <v>133623567</v>
      </c>
      <c r="G185">
        <v>2</v>
      </c>
      <c r="H185">
        <v>0</v>
      </c>
      <c r="I185">
        <v>2</v>
      </c>
      <c r="J185">
        <v>3</v>
      </c>
      <c r="K185">
        <v>5</v>
      </c>
      <c r="L185">
        <v>0</v>
      </c>
      <c r="M185">
        <v>2</v>
      </c>
      <c r="N185">
        <v>0</v>
      </c>
      <c r="O185">
        <v>7</v>
      </c>
      <c r="P185">
        <v>307</v>
      </c>
    </row>
    <row r="186" spans="1:16" x14ac:dyDescent="0.25">
      <c r="A186" s="1">
        <v>43893.75</v>
      </c>
      <c r="B186" s="2" t="s">
        <v>12</v>
      </c>
      <c r="C186">
        <v>9</v>
      </c>
      <c r="D186" s="2" t="s">
        <v>49</v>
      </c>
      <c r="E186">
        <v>4376923077</v>
      </c>
      <c r="F186">
        <v>1125588885</v>
      </c>
      <c r="G186">
        <v>10</v>
      </c>
      <c r="H186">
        <v>0</v>
      </c>
      <c r="I186">
        <v>10</v>
      </c>
      <c r="J186">
        <v>8</v>
      </c>
      <c r="K186">
        <v>18</v>
      </c>
      <c r="L186">
        <v>6</v>
      </c>
      <c r="M186">
        <v>1</v>
      </c>
      <c r="N186">
        <v>0</v>
      </c>
      <c r="O186">
        <v>19</v>
      </c>
      <c r="P186">
        <v>697</v>
      </c>
    </row>
    <row r="187" spans="1:16" x14ac:dyDescent="0.25">
      <c r="A187" s="1">
        <v>43893.75</v>
      </c>
      <c r="B187" s="2" t="s">
        <v>12</v>
      </c>
      <c r="C187">
        <v>4</v>
      </c>
      <c r="D187" s="2" t="s">
        <v>50</v>
      </c>
      <c r="E187">
        <v>4606893511</v>
      </c>
      <c r="F187">
        <v>1112123097</v>
      </c>
      <c r="G187">
        <v>1</v>
      </c>
      <c r="H187">
        <v>0</v>
      </c>
      <c r="I187">
        <v>1</v>
      </c>
      <c r="J187">
        <v>3</v>
      </c>
      <c r="K187">
        <v>4</v>
      </c>
      <c r="L187">
        <v>4</v>
      </c>
      <c r="M187">
        <v>0</v>
      </c>
      <c r="N187">
        <v>0</v>
      </c>
      <c r="O187">
        <v>4</v>
      </c>
      <c r="P187">
        <v>122</v>
      </c>
    </row>
    <row r="188" spans="1:16" x14ac:dyDescent="0.25">
      <c r="A188" s="1">
        <v>43893.75</v>
      </c>
      <c r="B188" s="2" t="s">
        <v>12</v>
      </c>
      <c r="C188">
        <v>10</v>
      </c>
      <c r="D188" s="2" t="s">
        <v>51</v>
      </c>
      <c r="E188">
        <v>4310675841</v>
      </c>
      <c r="F188">
        <v>1238824698</v>
      </c>
      <c r="G188">
        <v>1</v>
      </c>
      <c r="H188">
        <v>1</v>
      </c>
      <c r="I188">
        <v>2</v>
      </c>
      <c r="J188">
        <v>6</v>
      </c>
      <c r="K188">
        <v>8</v>
      </c>
      <c r="L188">
        <v>6</v>
      </c>
      <c r="M188">
        <v>0</v>
      </c>
      <c r="N188">
        <v>0</v>
      </c>
      <c r="O188">
        <v>8</v>
      </c>
      <c r="P188">
        <v>45</v>
      </c>
    </row>
    <row r="189" spans="1:16" x14ac:dyDescent="0.25">
      <c r="A189" s="1">
        <v>43893.75</v>
      </c>
      <c r="B189" s="2" t="s">
        <v>12</v>
      </c>
      <c r="C189">
        <v>2</v>
      </c>
      <c r="D189" s="2" t="s">
        <v>52</v>
      </c>
      <c r="E189">
        <v>4573750286</v>
      </c>
      <c r="F189">
        <v>7320149366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12</v>
      </c>
    </row>
    <row r="190" spans="1:16" x14ac:dyDescent="0.25">
      <c r="A190" s="1">
        <v>43893.75</v>
      </c>
      <c r="B190" s="2" t="s">
        <v>12</v>
      </c>
      <c r="C190">
        <v>5</v>
      </c>
      <c r="D190" s="2" t="s">
        <v>53</v>
      </c>
      <c r="E190">
        <v>4543490485</v>
      </c>
      <c r="F190">
        <v>1233845213</v>
      </c>
      <c r="G190">
        <v>49</v>
      </c>
      <c r="H190">
        <v>19</v>
      </c>
      <c r="I190">
        <v>68</v>
      </c>
      <c r="J190">
        <v>229</v>
      </c>
      <c r="K190">
        <v>297</v>
      </c>
      <c r="L190">
        <v>26</v>
      </c>
      <c r="M190">
        <v>7</v>
      </c>
      <c r="N190">
        <v>3</v>
      </c>
      <c r="O190">
        <v>307</v>
      </c>
      <c r="P190">
        <v>10176</v>
      </c>
    </row>
    <row r="191" spans="1:16" x14ac:dyDescent="0.25">
      <c r="A191" s="1">
        <v>43894.708333333336</v>
      </c>
      <c r="B191" s="2" t="s">
        <v>12</v>
      </c>
      <c r="C191">
        <v>13</v>
      </c>
      <c r="D191" s="2" t="s">
        <v>33</v>
      </c>
      <c r="E191">
        <v>4235122196</v>
      </c>
      <c r="F191">
        <v>1339843823</v>
      </c>
      <c r="G191">
        <v>7</v>
      </c>
      <c r="H191">
        <v>0</v>
      </c>
      <c r="I191">
        <v>7</v>
      </c>
      <c r="J191">
        <v>0</v>
      </c>
      <c r="K191">
        <v>7</v>
      </c>
      <c r="L191">
        <v>1</v>
      </c>
      <c r="M191">
        <v>0</v>
      </c>
      <c r="N191">
        <v>0</v>
      </c>
      <c r="O191">
        <v>7</v>
      </c>
      <c r="P191">
        <v>85</v>
      </c>
    </row>
    <row r="192" spans="1:16" x14ac:dyDescent="0.25">
      <c r="A192" s="1">
        <v>43894.708333333336</v>
      </c>
      <c r="B192" s="2" t="s">
        <v>12</v>
      </c>
      <c r="C192">
        <v>17</v>
      </c>
      <c r="D192" s="2" t="s">
        <v>34</v>
      </c>
      <c r="E192">
        <v>4063947052</v>
      </c>
      <c r="F192">
        <v>1580514834</v>
      </c>
      <c r="G192">
        <v>0</v>
      </c>
      <c r="H192">
        <v>0</v>
      </c>
      <c r="I192">
        <v>0</v>
      </c>
      <c r="J192">
        <v>1</v>
      </c>
      <c r="K192">
        <v>1</v>
      </c>
      <c r="L192">
        <v>0</v>
      </c>
      <c r="M192">
        <v>0</v>
      </c>
      <c r="N192">
        <v>0</v>
      </c>
      <c r="O192">
        <v>1</v>
      </c>
      <c r="P192">
        <v>48</v>
      </c>
    </row>
    <row r="193" spans="1:16" x14ac:dyDescent="0.25">
      <c r="A193" s="1">
        <v>43894.708333333336</v>
      </c>
      <c r="B193" s="2" t="s">
        <v>12</v>
      </c>
      <c r="C193">
        <v>4</v>
      </c>
      <c r="D193" s="2" t="s">
        <v>35</v>
      </c>
      <c r="E193">
        <v>4649933453</v>
      </c>
      <c r="F193">
        <v>1135662422</v>
      </c>
      <c r="G193">
        <v>1</v>
      </c>
      <c r="H193">
        <v>0</v>
      </c>
      <c r="I193">
        <v>1</v>
      </c>
      <c r="J193">
        <v>0</v>
      </c>
      <c r="K193">
        <v>1</v>
      </c>
      <c r="L193">
        <v>0</v>
      </c>
      <c r="M193">
        <v>0</v>
      </c>
      <c r="N193">
        <v>0</v>
      </c>
      <c r="O193">
        <v>1</v>
      </c>
      <c r="P193">
        <v>20</v>
      </c>
    </row>
    <row r="194" spans="1:16" x14ac:dyDescent="0.25">
      <c r="A194" s="1">
        <v>43894.708333333336</v>
      </c>
      <c r="B194" s="2" t="s">
        <v>12</v>
      </c>
      <c r="C194">
        <v>18</v>
      </c>
      <c r="D194" s="2" t="s">
        <v>36</v>
      </c>
      <c r="E194">
        <v>3890597598</v>
      </c>
      <c r="F194">
        <v>1659440194</v>
      </c>
      <c r="G194">
        <v>0</v>
      </c>
      <c r="H194">
        <v>0</v>
      </c>
      <c r="I194">
        <v>0</v>
      </c>
      <c r="J194">
        <v>1</v>
      </c>
      <c r="K194">
        <v>1</v>
      </c>
      <c r="L194">
        <v>0</v>
      </c>
      <c r="M194">
        <v>0</v>
      </c>
      <c r="N194">
        <v>0</v>
      </c>
      <c r="O194">
        <v>1</v>
      </c>
      <c r="P194">
        <v>46</v>
      </c>
    </row>
    <row r="195" spans="1:16" x14ac:dyDescent="0.25">
      <c r="A195" s="1">
        <v>43894.708333333336</v>
      </c>
      <c r="B195" s="2" t="s">
        <v>12</v>
      </c>
      <c r="C195">
        <v>15</v>
      </c>
      <c r="D195" s="2" t="s">
        <v>37</v>
      </c>
      <c r="E195">
        <v>4083956555</v>
      </c>
      <c r="F195">
        <v>1425084984</v>
      </c>
      <c r="G195">
        <v>11</v>
      </c>
      <c r="H195">
        <v>0</v>
      </c>
      <c r="I195">
        <v>11</v>
      </c>
      <c r="J195">
        <v>20</v>
      </c>
      <c r="K195">
        <v>31</v>
      </c>
      <c r="L195">
        <v>1</v>
      </c>
      <c r="M195">
        <v>0</v>
      </c>
      <c r="N195">
        <v>0</v>
      </c>
      <c r="O195">
        <v>31</v>
      </c>
      <c r="P195">
        <v>429</v>
      </c>
    </row>
    <row r="196" spans="1:16" x14ac:dyDescent="0.25">
      <c r="A196" s="1">
        <v>43894.708333333336</v>
      </c>
      <c r="B196" s="2" t="s">
        <v>12</v>
      </c>
      <c r="C196">
        <v>8</v>
      </c>
      <c r="D196" s="2" t="s">
        <v>38</v>
      </c>
      <c r="E196">
        <v>4449436681</v>
      </c>
      <c r="F196">
        <v>113417208</v>
      </c>
      <c r="G196">
        <v>256</v>
      </c>
      <c r="H196">
        <v>26</v>
      </c>
      <c r="I196">
        <v>282</v>
      </c>
      <c r="J196">
        <v>234</v>
      </c>
      <c r="K196">
        <v>516</v>
      </c>
      <c r="L196">
        <v>118</v>
      </c>
      <c r="M196">
        <v>6</v>
      </c>
      <c r="N196">
        <v>22</v>
      </c>
      <c r="O196">
        <v>544</v>
      </c>
      <c r="P196">
        <v>2500</v>
      </c>
    </row>
    <row r="197" spans="1:16" x14ac:dyDescent="0.25">
      <c r="A197" s="1">
        <v>43894.708333333336</v>
      </c>
      <c r="B197" s="2" t="s">
        <v>12</v>
      </c>
      <c r="C197">
        <v>6</v>
      </c>
      <c r="D197" s="2" t="s">
        <v>39</v>
      </c>
      <c r="E197">
        <v>456494354</v>
      </c>
      <c r="F197">
        <v>1376813649</v>
      </c>
      <c r="G197">
        <v>3</v>
      </c>
      <c r="H197">
        <v>0</v>
      </c>
      <c r="I197">
        <v>3</v>
      </c>
      <c r="J197">
        <v>15</v>
      </c>
      <c r="K197">
        <v>18</v>
      </c>
      <c r="L197">
        <v>5</v>
      </c>
      <c r="M197">
        <v>0</v>
      </c>
      <c r="N197">
        <v>0</v>
      </c>
      <c r="O197">
        <v>18</v>
      </c>
      <c r="P197">
        <v>376</v>
      </c>
    </row>
    <row r="198" spans="1:16" x14ac:dyDescent="0.25">
      <c r="A198" s="1">
        <v>43894.708333333336</v>
      </c>
      <c r="B198" s="2" t="s">
        <v>12</v>
      </c>
      <c r="C198">
        <v>12</v>
      </c>
      <c r="D198" s="2" t="s">
        <v>40</v>
      </c>
      <c r="E198">
        <v>4189277044</v>
      </c>
      <c r="F198">
        <v>1248366722</v>
      </c>
      <c r="G198">
        <v>15</v>
      </c>
      <c r="H198">
        <v>3</v>
      </c>
      <c r="I198">
        <v>18</v>
      </c>
      <c r="J198">
        <v>9</v>
      </c>
      <c r="K198">
        <v>27</v>
      </c>
      <c r="L198">
        <v>16</v>
      </c>
      <c r="M198">
        <v>3</v>
      </c>
      <c r="N198">
        <v>0</v>
      </c>
      <c r="O198">
        <v>30</v>
      </c>
      <c r="P198">
        <v>995</v>
      </c>
    </row>
    <row r="199" spans="1:16" x14ac:dyDescent="0.25">
      <c r="A199" s="1">
        <v>43894.708333333336</v>
      </c>
      <c r="B199" s="2" t="s">
        <v>12</v>
      </c>
      <c r="C199">
        <v>7</v>
      </c>
      <c r="D199" s="2" t="s">
        <v>41</v>
      </c>
      <c r="E199">
        <v>4441149315</v>
      </c>
      <c r="F199">
        <v>89326992</v>
      </c>
      <c r="G199">
        <v>10</v>
      </c>
      <c r="H199">
        <v>3</v>
      </c>
      <c r="I199">
        <v>13</v>
      </c>
      <c r="J199">
        <v>8</v>
      </c>
      <c r="K199">
        <v>21</v>
      </c>
      <c r="L199">
        <v>2</v>
      </c>
      <c r="M199">
        <v>4</v>
      </c>
      <c r="N199">
        <v>1</v>
      </c>
      <c r="O199">
        <v>26</v>
      </c>
      <c r="P199">
        <v>133</v>
      </c>
    </row>
    <row r="200" spans="1:16" x14ac:dyDescent="0.25">
      <c r="A200" s="1">
        <v>43894.708333333336</v>
      </c>
      <c r="B200" s="2" t="s">
        <v>12</v>
      </c>
      <c r="C200">
        <v>3</v>
      </c>
      <c r="D200" s="2" t="s">
        <v>42</v>
      </c>
      <c r="E200">
        <v>4546679409</v>
      </c>
      <c r="F200">
        <v>9190347404</v>
      </c>
      <c r="G200">
        <v>877</v>
      </c>
      <c r="H200">
        <v>209</v>
      </c>
      <c r="I200">
        <v>1086</v>
      </c>
      <c r="J200">
        <v>411</v>
      </c>
      <c r="K200">
        <v>1497</v>
      </c>
      <c r="L200">
        <v>171</v>
      </c>
      <c r="M200">
        <v>250</v>
      </c>
      <c r="N200">
        <v>73</v>
      </c>
      <c r="O200">
        <v>1820</v>
      </c>
      <c r="P200">
        <v>12138</v>
      </c>
    </row>
    <row r="201" spans="1:16" x14ac:dyDescent="0.25">
      <c r="A201" s="1">
        <v>43894.708333333336</v>
      </c>
      <c r="B201" s="2" t="s">
        <v>12</v>
      </c>
      <c r="C201">
        <v>11</v>
      </c>
      <c r="D201" s="2" t="s">
        <v>43</v>
      </c>
      <c r="E201">
        <v>4361675973</v>
      </c>
      <c r="F201">
        <v>135188753</v>
      </c>
      <c r="G201">
        <v>34</v>
      </c>
      <c r="H201">
        <v>15</v>
      </c>
      <c r="I201">
        <v>49</v>
      </c>
      <c r="J201">
        <v>31</v>
      </c>
      <c r="K201">
        <v>80</v>
      </c>
      <c r="L201">
        <v>21</v>
      </c>
      <c r="M201">
        <v>0</v>
      </c>
      <c r="N201">
        <v>4</v>
      </c>
      <c r="O201">
        <v>84</v>
      </c>
      <c r="P201">
        <v>288</v>
      </c>
    </row>
    <row r="202" spans="1:16" x14ac:dyDescent="0.25">
      <c r="A202" s="1">
        <v>43894.708333333336</v>
      </c>
      <c r="B202" s="2" t="s">
        <v>12</v>
      </c>
      <c r="C202">
        <v>14</v>
      </c>
      <c r="D202" s="2" t="s">
        <v>44</v>
      </c>
      <c r="E202">
        <v>4155774754</v>
      </c>
      <c r="F202">
        <v>1465916051</v>
      </c>
      <c r="G202">
        <v>3</v>
      </c>
      <c r="H202">
        <v>0</v>
      </c>
      <c r="I202">
        <v>3</v>
      </c>
      <c r="J202">
        <v>0</v>
      </c>
      <c r="K202">
        <v>3</v>
      </c>
      <c r="L202">
        <v>0</v>
      </c>
      <c r="M202">
        <v>0</v>
      </c>
      <c r="N202">
        <v>0</v>
      </c>
      <c r="O202">
        <v>3</v>
      </c>
      <c r="P202">
        <v>19</v>
      </c>
    </row>
    <row r="203" spans="1:16" x14ac:dyDescent="0.25">
      <c r="A203" s="1">
        <v>43894.708333333336</v>
      </c>
      <c r="B203" s="2" t="s">
        <v>12</v>
      </c>
      <c r="C203">
        <v>1</v>
      </c>
      <c r="D203" s="2" t="s">
        <v>45</v>
      </c>
      <c r="E203">
        <v>450732745</v>
      </c>
      <c r="F203">
        <v>7680687483</v>
      </c>
      <c r="G203">
        <v>26</v>
      </c>
      <c r="H203">
        <v>13</v>
      </c>
      <c r="I203">
        <v>39</v>
      </c>
      <c r="J203">
        <v>43</v>
      </c>
      <c r="K203">
        <v>82</v>
      </c>
      <c r="L203">
        <v>26</v>
      </c>
      <c r="M203">
        <v>0</v>
      </c>
      <c r="N203">
        <v>0</v>
      </c>
      <c r="O203">
        <v>82</v>
      </c>
      <c r="P203">
        <v>543</v>
      </c>
    </row>
    <row r="204" spans="1:16" x14ac:dyDescent="0.25">
      <c r="A204" s="1">
        <v>43894.708333333336</v>
      </c>
      <c r="B204" s="2" t="s">
        <v>12</v>
      </c>
      <c r="C204">
        <v>16</v>
      </c>
      <c r="D204" s="2" t="s">
        <v>46</v>
      </c>
      <c r="E204">
        <v>4112559576</v>
      </c>
      <c r="F204">
        <v>1686736689</v>
      </c>
      <c r="G204">
        <v>4</v>
      </c>
      <c r="H204">
        <v>0</v>
      </c>
      <c r="I204">
        <v>4</v>
      </c>
      <c r="J204">
        <v>3</v>
      </c>
      <c r="K204">
        <v>7</v>
      </c>
      <c r="L204">
        <v>1</v>
      </c>
      <c r="M204">
        <v>1</v>
      </c>
      <c r="N204">
        <v>1</v>
      </c>
      <c r="O204">
        <v>9</v>
      </c>
      <c r="P204">
        <v>322</v>
      </c>
    </row>
    <row r="205" spans="1:16" x14ac:dyDescent="0.25">
      <c r="A205" s="1">
        <v>43894.708333333336</v>
      </c>
      <c r="B205" s="2" t="s">
        <v>12</v>
      </c>
      <c r="C205">
        <v>20</v>
      </c>
      <c r="D205" s="2" t="s">
        <v>47</v>
      </c>
      <c r="E205">
        <v>3921531192</v>
      </c>
      <c r="F205">
        <v>9110616306</v>
      </c>
      <c r="G205">
        <v>1</v>
      </c>
      <c r="H205">
        <v>0</v>
      </c>
      <c r="I205">
        <v>1</v>
      </c>
      <c r="J205">
        <v>1</v>
      </c>
      <c r="K205">
        <v>2</v>
      </c>
      <c r="L205">
        <v>1</v>
      </c>
      <c r="M205">
        <v>0</v>
      </c>
      <c r="N205">
        <v>0</v>
      </c>
      <c r="O205">
        <v>2</v>
      </c>
      <c r="P205">
        <v>42</v>
      </c>
    </row>
    <row r="206" spans="1:16" x14ac:dyDescent="0.25">
      <c r="A206" s="1">
        <v>43894.708333333336</v>
      </c>
      <c r="B206" s="2" t="s">
        <v>12</v>
      </c>
      <c r="C206">
        <v>19</v>
      </c>
      <c r="D206" s="2" t="s">
        <v>48</v>
      </c>
      <c r="E206">
        <v>3811569725</v>
      </c>
      <c r="F206">
        <v>133623567</v>
      </c>
      <c r="G206">
        <v>5</v>
      </c>
      <c r="H206">
        <v>0</v>
      </c>
      <c r="I206">
        <v>5</v>
      </c>
      <c r="J206">
        <v>11</v>
      </c>
      <c r="K206">
        <v>16</v>
      </c>
      <c r="L206">
        <v>11</v>
      </c>
      <c r="M206">
        <v>2</v>
      </c>
      <c r="N206">
        <v>0</v>
      </c>
      <c r="O206">
        <v>18</v>
      </c>
      <c r="P206">
        <v>367</v>
      </c>
    </row>
    <row r="207" spans="1:16" x14ac:dyDescent="0.25">
      <c r="A207" s="1">
        <v>43894.708333333336</v>
      </c>
      <c r="B207" s="2" t="s">
        <v>12</v>
      </c>
      <c r="C207">
        <v>9</v>
      </c>
      <c r="D207" s="2" t="s">
        <v>49</v>
      </c>
      <c r="E207">
        <v>4376923077</v>
      </c>
      <c r="F207">
        <v>1125588885</v>
      </c>
      <c r="G207">
        <v>15</v>
      </c>
      <c r="H207">
        <v>2</v>
      </c>
      <c r="I207">
        <v>17</v>
      </c>
      <c r="J207">
        <v>20</v>
      </c>
      <c r="K207">
        <v>37</v>
      </c>
      <c r="L207">
        <v>19</v>
      </c>
      <c r="M207">
        <v>1</v>
      </c>
      <c r="N207">
        <v>0</v>
      </c>
      <c r="O207">
        <v>38</v>
      </c>
      <c r="P207">
        <v>776</v>
      </c>
    </row>
    <row r="208" spans="1:16" x14ac:dyDescent="0.25">
      <c r="A208" s="1">
        <v>43894.708333333336</v>
      </c>
      <c r="B208" s="2" t="s">
        <v>12</v>
      </c>
      <c r="C208">
        <v>4</v>
      </c>
      <c r="D208" s="2" t="s">
        <v>50</v>
      </c>
      <c r="E208">
        <v>4606893511</v>
      </c>
      <c r="F208">
        <v>1112123097</v>
      </c>
      <c r="G208">
        <v>1</v>
      </c>
      <c r="H208">
        <v>0</v>
      </c>
      <c r="I208">
        <v>1</v>
      </c>
      <c r="J208">
        <v>4</v>
      </c>
      <c r="K208">
        <v>5</v>
      </c>
      <c r="L208">
        <v>1</v>
      </c>
      <c r="M208">
        <v>0</v>
      </c>
      <c r="N208">
        <v>0</v>
      </c>
      <c r="O208">
        <v>5</v>
      </c>
      <c r="P208">
        <v>122</v>
      </c>
    </row>
    <row r="209" spans="1:16" x14ac:dyDescent="0.25">
      <c r="A209" s="1">
        <v>43894.708333333336</v>
      </c>
      <c r="B209" s="2" t="s">
        <v>12</v>
      </c>
      <c r="C209">
        <v>10</v>
      </c>
      <c r="D209" s="2" t="s">
        <v>51</v>
      </c>
      <c r="E209">
        <v>4310675841</v>
      </c>
      <c r="F209">
        <v>1238824698</v>
      </c>
      <c r="G209">
        <v>1</v>
      </c>
      <c r="H209">
        <v>1</v>
      </c>
      <c r="I209">
        <v>2</v>
      </c>
      <c r="J209">
        <v>7</v>
      </c>
      <c r="K209">
        <v>9</v>
      </c>
      <c r="L209">
        <v>1</v>
      </c>
      <c r="M209">
        <v>0</v>
      </c>
      <c r="N209">
        <v>0</v>
      </c>
      <c r="O209">
        <v>9</v>
      </c>
      <c r="P209">
        <v>58</v>
      </c>
    </row>
    <row r="210" spans="1:16" x14ac:dyDescent="0.25">
      <c r="A210" s="1">
        <v>43894.708333333336</v>
      </c>
      <c r="B210" s="2" t="s">
        <v>12</v>
      </c>
      <c r="C210">
        <v>2</v>
      </c>
      <c r="D210" s="2" t="s">
        <v>52</v>
      </c>
      <c r="E210">
        <v>4573750286</v>
      </c>
      <c r="F210">
        <v>7320149366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15</v>
      </c>
    </row>
    <row r="211" spans="1:16" x14ac:dyDescent="0.25">
      <c r="A211" s="1">
        <v>43894.708333333336</v>
      </c>
      <c r="B211" s="2" t="s">
        <v>12</v>
      </c>
      <c r="C211">
        <v>5</v>
      </c>
      <c r="D211" s="2" t="s">
        <v>53</v>
      </c>
      <c r="E211">
        <v>4543490485</v>
      </c>
      <c r="F211">
        <v>1233845213</v>
      </c>
      <c r="G211">
        <v>76</v>
      </c>
      <c r="H211">
        <v>23</v>
      </c>
      <c r="I211">
        <v>99</v>
      </c>
      <c r="J211">
        <v>246</v>
      </c>
      <c r="K211">
        <v>345</v>
      </c>
      <c r="L211">
        <v>48</v>
      </c>
      <c r="M211">
        <v>9</v>
      </c>
      <c r="N211">
        <v>6</v>
      </c>
      <c r="O211">
        <v>360</v>
      </c>
      <c r="P211">
        <v>10515</v>
      </c>
    </row>
    <row r="212" spans="1:16" x14ac:dyDescent="0.25">
      <c r="A212" s="1">
        <v>43895.708333333336</v>
      </c>
      <c r="B212" s="2" t="s">
        <v>12</v>
      </c>
      <c r="C212">
        <v>13</v>
      </c>
      <c r="D212" s="2" t="s">
        <v>33</v>
      </c>
      <c r="E212">
        <v>4235122196</v>
      </c>
      <c r="F212">
        <v>1339843823</v>
      </c>
      <c r="G212">
        <v>8</v>
      </c>
      <c r="H212">
        <v>0</v>
      </c>
      <c r="I212">
        <v>8</v>
      </c>
      <c r="J212">
        <v>0</v>
      </c>
      <c r="K212">
        <v>8</v>
      </c>
      <c r="L212">
        <v>1</v>
      </c>
      <c r="M212">
        <v>0</v>
      </c>
      <c r="N212">
        <v>0</v>
      </c>
      <c r="O212">
        <v>8</v>
      </c>
      <c r="P212">
        <v>96</v>
      </c>
    </row>
    <row r="213" spans="1:16" x14ac:dyDescent="0.25">
      <c r="A213" s="1">
        <v>43895.708333333336</v>
      </c>
      <c r="B213" s="2" t="s">
        <v>12</v>
      </c>
      <c r="C213">
        <v>17</v>
      </c>
      <c r="D213" s="2" t="s">
        <v>34</v>
      </c>
      <c r="E213">
        <v>4063947052</v>
      </c>
      <c r="F213">
        <v>1580514834</v>
      </c>
      <c r="G213">
        <v>0</v>
      </c>
      <c r="H213">
        <v>0</v>
      </c>
      <c r="I213">
        <v>0</v>
      </c>
      <c r="J213">
        <v>1</v>
      </c>
      <c r="K213">
        <v>1</v>
      </c>
      <c r="L213">
        <v>0</v>
      </c>
      <c r="M213">
        <v>0</v>
      </c>
      <c r="N213">
        <v>0</v>
      </c>
      <c r="O213">
        <v>1</v>
      </c>
      <c r="P213">
        <v>54</v>
      </c>
    </row>
    <row r="214" spans="1:16" x14ac:dyDescent="0.25">
      <c r="A214" s="1">
        <v>43895.708333333336</v>
      </c>
      <c r="B214" s="2" t="s">
        <v>12</v>
      </c>
      <c r="C214">
        <v>4</v>
      </c>
      <c r="D214" s="2" t="s">
        <v>35</v>
      </c>
      <c r="E214">
        <v>4649933453</v>
      </c>
      <c r="F214">
        <v>1135662422</v>
      </c>
      <c r="G214">
        <v>1</v>
      </c>
      <c r="H214">
        <v>0</v>
      </c>
      <c r="I214">
        <v>1</v>
      </c>
      <c r="J214">
        <v>0</v>
      </c>
      <c r="K214">
        <v>1</v>
      </c>
      <c r="L214">
        <v>0</v>
      </c>
      <c r="M214">
        <v>0</v>
      </c>
      <c r="N214">
        <v>0</v>
      </c>
      <c r="O214">
        <v>1</v>
      </c>
      <c r="P214">
        <v>20</v>
      </c>
    </row>
    <row r="215" spans="1:16" x14ac:dyDescent="0.25">
      <c r="A215" s="1">
        <v>43895.708333333336</v>
      </c>
      <c r="B215" s="2" t="s">
        <v>12</v>
      </c>
      <c r="C215">
        <v>18</v>
      </c>
      <c r="D215" s="2" t="s">
        <v>36</v>
      </c>
      <c r="E215">
        <v>3890597598</v>
      </c>
      <c r="F215">
        <v>1659440194</v>
      </c>
      <c r="G215">
        <v>1</v>
      </c>
      <c r="H215">
        <v>0</v>
      </c>
      <c r="I215">
        <v>1</v>
      </c>
      <c r="J215">
        <v>1</v>
      </c>
      <c r="K215">
        <v>2</v>
      </c>
      <c r="L215">
        <v>1</v>
      </c>
      <c r="M215">
        <v>0</v>
      </c>
      <c r="N215">
        <v>0</v>
      </c>
      <c r="O215">
        <v>2</v>
      </c>
      <c r="P215">
        <v>53</v>
      </c>
    </row>
    <row r="216" spans="1:16" x14ac:dyDescent="0.25">
      <c r="A216" s="1">
        <v>43895.708333333336</v>
      </c>
      <c r="B216" s="2" t="s">
        <v>12</v>
      </c>
      <c r="C216">
        <v>15</v>
      </c>
      <c r="D216" s="2" t="s">
        <v>37</v>
      </c>
      <c r="E216">
        <v>4083956555</v>
      </c>
      <c r="F216">
        <v>1425084984</v>
      </c>
      <c r="G216">
        <v>12</v>
      </c>
      <c r="H216">
        <v>0</v>
      </c>
      <c r="I216">
        <v>12</v>
      </c>
      <c r="J216">
        <v>33</v>
      </c>
      <c r="K216">
        <v>45</v>
      </c>
      <c r="L216">
        <v>14</v>
      </c>
      <c r="M216">
        <v>0</v>
      </c>
      <c r="N216">
        <v>0</v>
      </c>
      <c r="O216">
        <v>45</v>
      </c>
      <c r="P216">
        <v>471</v>
      </c>
    </row>
    <row r="217" spans="1:16" x14ac:dyDescent="0.25">
      <c r="A217" s="1">
        <v>43895.708333333336</v>
      </c>
      <c r="B217" s="2" t="s">
        <v>12</v>
      </c>
      <c r="C217">
        <v>8</v>
      </c>
      <c r="D217" s="2" t="s">
        <v>38</v>
      </c>
      <c r="E217">
        <v>4449436681</v>
      </c>
      <c r="F217">
        <v>113417208</v>
      </c>
      <c r="G217">
        <v>327</v>
      </c>
      <c r="H217">
        <v>32</v>
      </c>
      <c r="I217">
        <v>359</v>
      </c>
      <c r="J217">
        <v>299</v>
      </c>
      <c r="K217">
        <v>658</v>
      </c>
      <c r="L217">
        <v>142</v>
      </c>
      <c r="M217">
        <v>10</v>
      </c>
      <c r="N217">
        <v>30</v>
      </c>
      <c r="O217">
        <v>698</v>
      </c>
      <c r="P217">
        <v>2884</v>
      </c>
    </row>
    <row r="218" spans="1:16" x14ac:dyDescent="0.25">
      <c r="A218" s="1">
        <v>43895.708333333336</v>
      </c>
      <c r="B218" s="2" t="s">
        <v>12</v>
      </c>
      <c r="C218">
        <v>6</v>
      </c>
      <c r="D218" s="2" t="s">
        <v>39</v>
      </c>
      <c r="E218">
        <v>456494354</v>
      </c>
      <c r="F218">
        <v>1376813649</v>
      </c>
      <c r="G218">
        <v>4</v>
      </c>
      <c r="H218">
        <v>0</v>
      </c>
      <c r="I218">
        <v>4</v>
      </c>
      <c r="J218">
        <v>17</v>
      </c>
      <c r="K218">
        <v>21</v>
      </c>
      <c r="L218">
        <v>3</v>
      </c>
      <c r="M218">
        <v>0</v>
      </c>
      <c r="N218">
        <v>0</v>
      </c>
      <c r="O218">
        <v>21</v>
      </c>
      <c r="P218">
        <v>397</v>
      </c>
    </row>
    <row r="219" spans="1:16" x14ac:dyDescent="0.25">
      <c r="A219" s="1">
        <v>43895.708333333336</v>
      </c>
      <c r="B219" s="2" t="s">
        <v>12</v>
      </c>
      <c r="C219">
        <v>12</v>
      </c>
      <c r="D219" s="2" t="s">
        <v>40</v>
      </c>
      <c r="E219">
        <v>4189277044</v>
      </c>
      <c r="F219">
        <v>1248366722</v>
      </c>
      <c r="G219">
        <v>20</v>
      </c>
      <c r="H219">
        <v>7</v>
      </c>
      <c r="I219">
        <v>27</v>
      </c>
      <c r="J219">
        <v>14</v>
      </c>
      <c r="K219">
        <v>41</v>
      </c>
      <c r="L219">
        <v>14</v>
      </c>
      <c r="M219">
        <v>3</v>
      </c>
      <c r="N219">
        <v>0</v>
      </c>
      <c r="O219">
        <v>44</v>
      </c>
      <c r="P219">
        <v>1175</v>
      </c>
    </row>
    <row r="220" spans="1:16" x14ac:dyDescent="0.25">
      <c r="A220" s="1">
        <v>43895.708333333336</v>
      </c>
      <c r="B220" s="2" t="s">
        <v>12</v>
      </c>
      <c r="C220">
        <v>7</v>
      </c>
      <c r="D220" s="2" t="s">
        <v>41</v>
      </c>
      <c r="E220">
        <v>4441149315</v>
      </c>
      <c r="F220">
        <v>89326992</v>
      </c>
      <c r="G220">
        <v>11</v>
      </c>
      <c r="H220">
        <v>3</v>
      </c>
      <c r="I220">
        <v>14</v>
      </c>
      <c r="J220">
        <v>7</v>
      </c>
      <c r="K220">
        <v>21</v>
      </c>
      <c r="L220">
        <v>0</v>
      </c>
      <c r="M220">
        <v>4</v>
      </c>
      <c r="N220">
        <v>3</v>
      </c>
      <c r="O220">
        <v>28</v>
      </c>
      <c r="P220">
        <v>146</v>
      </c>
    </row>
    <row r="221" spans="1:16" x14ac:dyDescent="0.25">
      <c r="A221" s="1">
        <v>43895.708333333336</v>
      </c>
      <c r="B221" s="2" t="s">
        <v>12</v>
      </c>
      <c r="C221">
        <v>3</v>
      </c>
      <c r="D221" s="2" t="s">
        <v>42</v>
      </c>
      <c r="E221">
        <v>4546679409</v>
      </c>
      <c r="F221">
        <v>9190347404</v>
      </c>
      <c r="G221">
        <v>1169</v>
      </c>
      <c r="H221">
        <v>244</v>
      </c>
      <c r="I221">
        <v>1413</v>
      </c>
      <c r="J221">
        <v>364</v>
      </c>
      <c r="K221">
        <v>1777</v>
      </c>
      <c r="L221">
        <v>280</v>
      </c>
      <c r="M221">
        <v>376</v>
      </c>
      <c r="N221">
        <v>98</v>
      </c>
      <c r="O221">
        <v>2251</v>
      </c>
      <c r="P221">
        <v>12354</v>
      </c>
    </row>
    <row r="222" spans="1:16" x14ac:dyDescent="0.25">
      <c r="A222" s="1">
        <v>43895.708333333336</v>
      </c>
      <c r="B222" s="2" t="s">
        <v>12</v>
      </c>
      <c r="C222">
        <v>11</v>
      </c>
      <c r="D222" s="2" t="s">
        <v>43</v>
      </c>
      <c r="E222">
        <v>4361675973</v>
      </c>
      <c r="F222">
        <v>135188753</v>
      </c>
      <c r="G222">
        <v>57</v>
      </c>
      <c r="H222">
        <v>19</v>
      </c>
      <c r="I222">
        <v>76</v>
      </c>
      <c r="J222">
        <v>44</v>
      </c>
      <c r="K222">
        <v>120</v>
      </c>
      <c r="L222">
        <v>40</v>
      </c>
      <c r="M222">
        <v>0</v>
      </c>
      <c r="N222">
        <v>4</v>
      </c>
      <c r="O222">
        <v>124</v>
      </c>
      <c r="P222">
        <v>413</v>
      </c>
    </row>
    <row r="223" spans="1:16" x14ac:dyDescent="0.25">
      <c r="A223" s="1">
        <v>43895.708333333336</v>
      </c>
      <c r="B223" s="2" t="s">
        <v>12</v>
      </c>
      <c r="C223">
        <v>14</v>
      </c>
      <c r="D223" s="2" t="s">
        <v>44</v>
      </c>
      <c r="E223">
        <v>4155774754</v>
      </c>
      <c r="F223">
        <v>1465916051</v>
      </c>
      <c r="G223">
        <v>4</v>
      </c>
      <c r="H223">
        <v>0</v>
      </c>
      <c r="I223">
        <v>4</v>
      </c>
      <c r="J223">
        <v>3</v>
      </c>
      <c r="K223">
        <v>7</v>
      </c>
      <c r="L223">
        <v>4</v>
      </c>
      <c r="M223">
        <v>0</v>
      </c>
      <c r="N223">
        <v>0</v>
      </c>
      <c r="O223">
        <v>7</v>
      </c>
      <c r="P223">
        <v>24</v>
      </c>
    </row>
    <row r="224" spans="1:16" x14ac:dyDescent="0.25">
      <c r="A224" s="1">
        <v>43895.708333333336</v>
      </c>
      <c r="B224" s="2" t="s">
        <v>12</v>
      </c>
      <c r="C224">
        <v>1</v>
      </c>
      <c r="D224" s="2" t="s">
        <v>45</v>
      </c>
      <c r="E224">
        <v>450732745</v>
      </c>
      <c r="F224">
        <v>7680687483</v>
      </c>
      <c r="G224">
        <v>43</v>
      </c>
      <c r="H224">
        <v>17</v>
      </c>
      <c r="I224">
        <v>60</v>
      </c>
      <c r="J224">
        <v>46</v>
      </c>
      <c r="K224">
        <v>106</v>
      </c>
      <c r="L224">
        <v>24</v>
      </c>
      <c r="M224">
        <v>0</v>
      </c>
      <c r="N224">
        <v>2</v>
      </c>
      <c r="O224">
        <v>108</v>
      </c>
      <c r="P224">
        <v>543</v>
      </c>
    </row>
    <row r="225" spans="1:16" x14ac:dyDescent="0.25">
      <c r="A225" s="1">
        <v>43895.708333333336</v>
      </c>
      <c r="B225" s="2" t="s">
        <v>12</v>
      </c>
      <c r="C225">
        <v>16</v>
      </c>
      <c r="D225" s="2" t="s">
        <v>46</v>
      </c>
      <c r="E225">
        <v>4112559576</v>
      </c>
      <c r="F225">
        <v>1686736689</v>
      </c>
      <c r="G225">
        <v>5</v>
      </c>
      <c r="H225">
        <v>1</v>
      </c>
      <c r="I225">
        <v>6</v>
      </c>
      <c r="J225">
        <v>6</v>
      </c>
      <c r="K225">
        <v>12</v>
      </c>
      <c r="L225">
        <v>5</v>
      </c>
      <c r="M225">
        <v>1</v>
      </c>
      <c r="N225">
        <v>1</v>
      </c>
      <c r="O225">
        <v>14</v>
      </c>
      <c r="P225">
        <v>359</v>
      </c>
    </row>
    <row r="226" spans="1:16" x14ac:dyDescent="0.25">
      <c r="A226" s="1">
        <v>43895.708333333336</v>
      </c>
      <c r="B226" s="2" t="s">
        <v>12</v>
      </c>
      <c r="C226">
        <v>20</v>
      </c>
      <c r="D226" s="2" t="s">
        <v>47</v>
      </c>
      <c r="E226">
        <v>3921531192</v>
      </c>
      <c r="F226">
        <v>9110616306</v>
      </c>
      <c r="G226">
        <v>2</v>
      </c>
      <c r="H226">
        <v>0</v>
      </c>
      <c r="I226">
        <v>2</v>
      </c>
      <c r="J226">
        <v>0</v>
      </c>
      <c r="K226">
        <v>2</v>
      </c>
      <c r="L226">
        <v>0</v>
      </c>
      <c r="M226">
        <v>0</v>
      </c>
      <c r="N226">
        <v>0</v>
      </c>
      <c r="O226">
        <v>2</v>
      </c>
      <c r="P226">
        <v>50</v>
      </c>
    </row>
    <row r="227" spans="1:16" x14ac:dyDescent="0.25">
      <c r="A227" s="1">
        <v>43895.708333333336</v>
      </c>
      <c r="B227" s="2" t="s">
        <v>12</v>
      </c>
      <c r="C227">
        <v>19</v>
      </c>
      <c r="D227" s="2" t="s">
        <v>48</v>
      </c>
      <c r="E227">
        <v>3811569725</v>
      </c>
      <c r="F227">
        <v>133623567</v>
      </c>
      <c r="G227">
        <v>5</v>
      </c>
      <c r="H227">
        <v>0</v>
      </c>
      <c r="I227">
        <v>5</v>
      </c>
      <c r="J227">
        <v>11</v>
      </c>
      <c r="K227">
        <v>16</v>
      </c>
      <c r="L227">
        <v>0</v>
      </c>
      <c r="M227">
        <v>2</v>
      </c>
      <c r="N227">
        <v>0</v>
      </c>
      <c r="O227">
        <v>18</v>
      </c>
      <c r="P227">
        <v>367</v>
      </c>
    </row>
    <row r="228" spans="1:16" x14ac:dyDescent="0.25">
      <c r="A228" s="1">
        <v>43895.708333333336</v>
      </c>
      <c r="B228" s="2" t="s">
        <v>12</v>
      </c>
      <c r="C228">
        <v>9</v>
      </c>
      <c r="D228" s="2" t="s">
        <v>49</v>
      </c>
      <c r="E228">
        <v>4376923077</v>
      </c>
      <c r="F228">
        <v>1125588885</v>
      </c>
      <c r="G228">
        <v>26</v>
      </c>
      <c r="H228">
        <v>3</v>
      </c>
      <c r="I228">
        <v>29</v>
      </c>
      <c r="J228">
        <v>31</v>
      </c>
      <c r="K228">
        <v>60</v>
      </c>
      <c r="L228">
        <v>23</v>
      </c>
      <c r="M228">
        <v>1</v>
      </c>
      <c r="N228">
        <v>0</v>
      </c>
      <c r="O228">
        <v>61</v>
      </c>
      <c r="P228">
        <v>776</v>
      </c>
    </row>
    <row r="229" spans="1:16" x14ac:dyDescent="0.25">
      <c r="A229" s="1">
        <v>43895.708333333336</v>
      </c>
      <c r="B229" s="2" t="s">
        <v>12</v>
      </c>
      <c r="C229">
        <v>4</v>
      </c>
      <c r="D229" s="2" t="s">
        <v>50</v>
      </c>
      <c r="E229">
        <v>4606893511</v>
      </c>
      <c r="F229">
        <v>1112123097</v>
      </c>
      <c r="G229">
        <v>2</v>
      </c>
      <c r="H229">
        <v>0</v>
      </c>
      <c r="I229">
        <v>2</v>
      </c>
      <c r="J229">
        <v>5</v>
      </c>
      <c r="K229">
        <v>7</v>
      </c>
      <c r="L229">
        <v>2</v>
      </c>
      <c r="M229">
        <v>0</v>
      </c>
      <c r="N229">
        <v>0</v>
      </c>
      <c r="O229">
        <v>7</v>
      </c>
      <c r="P229">
        <v>122</v>
      </c>
    </row>
    <row r="230" spans="1:16" x14ac:dyDescent="0.25">
      <c r="A230" s="1">
        <v>43895.708333333336</v>
      </c>
      <c r="B230" s="2" t="s">
        <v>12</v>
      </c>
      <c r="C230">
        <v>10</v>
      </c>
      <c r="D230" s="2" t="s">
        <v>51</v>
      </c>
      <c r="E230">
        <v>4310675841</v>
      </c>
      <c r="F230">
        <v>1238824698</v>
      </c>
      <c r="G230">
        <v>1</v>
      </c>
      <c r="H230">
        <v>1</v>
      </c>
      <c r="I230">
        <v>2</v>
      </c>
      <c r="J230">
        <v>7</v>
      </c>
      <c r="K230">
        <v>9</v>
      </c>
      <c r="L230">
        <v>0</v>
      </c>
      <c r="M230">
        <v>0</v>
      </c>
      <c r="N230">
        <v>0</v>
      </c>
      <c r="O230">
        <v>9</v>
      </c>
      <c r="P230">
        <v>88</v>
      </c>
    </row>
    <row r="231" spans="1:16" x14ac:dyDescent="0.25">
      <c r="A231" s="1">
        <v>43895.708333333336</v>
      </c>
      <c r="B231" s="2" t="s">
        <v>12</v>
      </c>
      <c r="C231">
        <v>2</v>
      </c>
      <c r="D231" s="2" t="s">
        <v>52</v>
      </c>
      <c r="E231">
        <v>4573750286</v>
      </c>
      <c r="F231">
        <v>7320149366</v>
      </c>
      <c r="G231">
        <v>0</v>
      </c>
      <c r="H231">
        <v>0</v>
      </c>
      <c r="I231">
        <v>0</v>
      </c>
      <c r="J231">
        <v>2</v>
      </c>
      <c r="K231">
        <v>2</v>
      </c>
      <c r="L231">
        <v>2</v>
      </c>
      <c r="M231">
        <v>0</v>
      </c>
      <c r="N231">
        <v>0</v>
      </c>
      <c r="O231">
        <v>2</v>
      </c>
      <c r="P231">
        <v>21</v>
      </c>
    </row>
    <row r="232" spans="1:16" x14ac:dyDescent="0.25">
      <c r="A232" s="1">
        <v>43895.708333333336</v>
      </c>
      <c r="B232" s="2" t="s">
        <v>12</v>
      </c>
      <c r="C232">
        <v>5</v>
      </c>
      <c r="D232" s="2" t="s">
        <v>53</v>
      </c>
      <c r="E232">
        <v>4543490485</v>
      </c>
      <c r="F232">
        <v>1233845213</v>
      </c>
      <c r="G232">
        <v>92</v>
      </c>
      <c r="H232">
        <v>24</v>
      </c>
      <c r="I232">
        <v>116</v>
      </c>
      <c r="J232">
        <v>264</v>
      </c>
      <c r="K232">
        <v>380</v>
      </c>
      <c r="L232">
        <v>35</v>
      </c>
      <c r="M232">
        <v>17</v>
      </c>
      <c r="N232">
        <v>10</v>
      </c>
      <c r="O232">
        <v>407</v>
      </c>
      <c r="P232">
        <v>11949</v>
      </c>
    </row>
    <row r="233" spans="1:16" x14ac:dyDescent="0.25">
      <c r="A233" s="1">
        <v>43896.708333333336</v>
      </c>
      <c r="B233" s="2" t="s">
        <v>12</v>
      </c>
      <c r="C233">
        <v>13</v>
      </c>
      <c r="D233" s="2" t="s">
        <v>33</v>
      </c>
      <c r="E233">
        <v>4235122196</v>
      </c>
      <c r="F233">
        <v>1339843823</v>
      </c>
      <c r="G233">
        <v>9</v>
      </c>
      <c r="H233">
        <v>0</v>
      </c>
      <c r="I233">
        <v>9</v>
      </c>
      <c r="J233">
        <v>0</v>
      </c>
      <c r="K233">
        <v>9</v>
      </c>
      <c r="L233">
        <v>1</v>
      </c>
      <c r="M233">
        <v>0</v>
      </c>
      <c r="N233">
        <v>0</v>
      </c>
      <c r="O233">
        <v>9</v>
      </c>
      <c r="P233">
        <v>96</v>
      </c>
    </row>
    <row r="234" spans="1:16" x14ac:dyDescent="0.25">
      <c r="A234" s="1">
        <v>43896.708333333336</v>
      </c>
      <c r="B234" s="2" t="s">
        <v>12</v>
      </c>
      <c r="C234">
        <v>17</v>
      </c>
      <c r="D234" s="2" t="s">
        <v>34</v>
      </c>
      <c r="E234">
        <v>4063947052</v>
      </c>
      <c r="F234">
        <v>1580514834</v>
      </c>
      <c r="G234">
        <v>1</v>
      </c>
      <c r="H234">
        <v>0</v>
      </c>
      <c r="I234">
        <v>1</v>
      </c>
      <c r="J234">
        <v>2</v>
      </c>
      <c r="K234">
        <v>3</v>
      </c>
      <c r="L234">
        <v>2</v>
      </c>
      <c r="M234">
        <v>0</v>
      </c>
      <c r="N234">
        <v>0</v>
      </c>
      <c r="O234">
        <v>3</v>
      </c>
      <c r="P234">
        <v>63</v>
      </c>
    </row>
    <row r="235" spans="1:16" x14ac:dyDescent="0.25">
      <c r="A235" s="1">
        <v>43896.708333333336</v>
      </c>
      <c r="B235" s="2" t="s">
        <v>12</v>
      </c>
      <c r="C235">
        <v>4</v>
      </c>
      <c r="D235" s="2" t="s">
        <v>35</v>
      </c>
      <c r="E235">
        <v>4649933453</v>
      </c>
      <c r="F235">
        <v>1135662422</v>
      </c>
      <c r="G235">
        <v>4</v>
      </c>
      <c r="H235">
        <v>0</v>
      </c>
      <c r="I235">
        <v>4</v>
      </c>
      <c r="J235">
        <v>0</v>
      </c>
      <c r="K235">
        <v>4</v>
      </c>
      <c r="L235">
        <v>3</v>
      </c>
      <c r="M235">
        <v>0</v>
      </c>
      <c r="N235">
        <v>0</v>
      </c>
      <c r="O235">
        <v>4</v>
      </c>
      <c r="P235">
        <v>36</v>
      </c>
    </row>
    <row r="236" spans="1:16" x14ac:dyDescent="0.25">
      <c r="A236" s="1">
        <v>43896.708333333336</v>
      </c>
      <c r="B236" s="2" t="s">
        <v>12</v>
      </c>
      <c r="C236">
        <v>18</v>
      </c>
      <c r="D236" s="2" t="s">
        <v>36</v>
      </c>
      <c r="E236">
        <v>3890597598</v>
      </c>
      <c r="F236">
        <v>1659440194</v>
      </c>
      <c r="G236">
        <v>2</v>
      </c>
      <c r="H236">
        <v>0</v>
      </c>
      <c r="I236">
        <v>2</v>
      </c>
      <c r="J236">
        <v>2</v>
      </c>
      <c r="K236">
        <v>4</v>
      </c>
      <c r="L236">
        <v>2</v>
      </c>
      <c r="M236">
        <v>0</v>
      </c>
      <c r="N236">
        <v>0</v>
      </c>
      <c r="O236">
        <v>4</v>
      </c>
      <c r="P236">
        <v>99</v>
      </c>
    </row>
    <row r="237" spans="1:16" x14ac:dyDescent="0.25">
      <c r="A237" s="1">
        <v>43896.708333333336</v>
      </c>
      <c r="B237" s="2" t="s">
        <v>12</v>
      </c>
      <c r="C237">
        <v>15</v>
      </c>
      <c r="D237" s="2" t="s">
        <v>37</v>
      </c>
      <c r="E237">
        <v>4083956555</v>
      </c>
      <c r="F237">
        <v>1425084984</v>
      </c>
      <c r="G237">
        <v>12</v>
      </c>
      <c r="H237">
        <v>0</v>
      </c>
      <c r="I237">
        <v>12</v>
      </c>
      <c r="J237">
        <v>45</v>
      </c>
      <c r="K237">
        <v>57</v>
      </c>
      <c r="L237">
        <v>12</v>
      </c>
      <c r="M237">
        <v>0</v>
      </c>
      <c r="N237">
        <v>0</v>
      </c>
      <c r="O237">
        <v>57</v>
      </c>
      <c r="P237">
        <v>471</v>
      </c>
    </row>
    <row r="238" spans="1:16" x14ac:dyDescent="0.25">
      <c r="A238" s="1">
        <v>43896.708333333336</v>
      </c>
      <c r="B238" s="2" t="s">
        <v>12</v>
      </c>
      <c r="C238">
        <v>8</v>
      </c>
      <c r="D238" s="2" t="s">
        <v>38</v>
      </c>
      <c r="E238">
        <v>4449436681</v>
      </c>
      <c r="F238">
        <v>113417208</v>
      </c>
      <c r="G238">
        <v>397</v>
      </c>
      <c r="H238">
        <v>53</v>
      </c>
      <c r="I238">
        <v>450</v>
      </c>
      <c r="J238">
        <v>366</v>
      </c>
      <c r="K238">
        <v>816</v>
      </c>
      <c r="L238">
        <v>158</v>
      </c>
      <c r="M238">
        <v>17</v>
      </c>
      <c r="N238">
        <v>37</v>
      </c>
      <c r="O238">
        <v>870</v>
      </c>
      <c r="P238">
        <v>3136</v>
      </c>
    </row>
    <row r="239" spans="1:16" x14ac:dyDescent="0.25">
      <c r="A239" s="1">
        <v>43896.708333333336</v>
      </c>
      <c r="B239" s="2" t="s">
        <v>12</v>
      </c>
      <c r="C239">
        <v>6</v>
      </c>
      <c r="D239" s="2" t="s">
        <v>39</v>
      </c>
      <c r="E239">
        <v>456494354</v>
      </c>
      <c r="F239">
        <v>1376813649</v>
      </c>
      <c r="G239">
        <v>4</v>
      </c>
      <c r="H239">
        <v>0</v>
      </c>
      <c r="I239">
        <v>4</v>
      </c>
      <c r="J239">
        <v>24</v>
      </c>
      <c r="K239">
        <v>28</v>
      </c>
      <c r="L239">
        <v>7</v>
      </c>
      <c r="M239">
        <v>3</v>
      </c>
      <c r="N239">
        <v>0</v>
      </c>
      <c r="O239">
        <v>31</v>
      </c>
      <c r="P239">
        <v>577</v>
      </c>
    </row>
    <row r="240" spans="1:16" x14ac:dyDescent="0.25">
      <c r="A240" s="1">
        <v>43896.708333333336</v>
      </c>
      <c r="B240" s="2" t="s">
        <v>12</v>
      </c>
      <c r="C240">
        <v>12</v>
      </c>
      <c r="D240" s="2" t="s">
        <v>40</v>
      </c>
      <c r="E240">
        <v>4189277044</v>
      </c>
      <c r="F240">
        <v>1248366722</v>
      </c>
      <c r="G240">
        <v>26</v>
      </c>
      <c r="H240">
        <v>8</v>
      </c>
      <c r="I240">
        <v>34</v>
      </c>
      <c r="J240">
        <v>16</v>
      </c>
      <c r="K240">
        <v>50</v>
      </c>
      <c r="L240">
        <v>9</v>
      </c>
      <c r="M240">
        <v>3</v>
      </c>
      <c r="N240">
        <v>1</v>
      </c>
      <c r="O240">
        <v>54</v>
      </c>
      <c r="P240">
        <v>1373</v>
      </c>
    </row>
    <row r="241" spans="1:16" x14ac:dyDescent="0.25">
      <c r="A241" s="1">
        <v>43896.708333333336</v>
      </c>
      <c r="B241" s="2" t="s">
        <v>12</v>
      </c>
      <c r="C241">
        <v>7</v>
      </c>
      <c r="D241" s="2" t="s">
        <v>41</v>
      </c>
      <c r="E241">
        <v>4441149315</v>
      </c>
      <c r="F241">
        <v>89326992</v>
      </c>
      <c r="G241">
        <v>12</v>
      </c>
      <c r="H241">
        <v>5</v>
      </c>
      <c r="I241">
        <v>17</v>
      </c>
      <c r="J241">
        <v>7</v>
      </c>
      <c r="K241">
        <v>24</v>
      </c>
      <c r="L241">
        <v>3</v>
      </c>
      <c r="M241">
        <v>5</v>
      </c>
      <c r="N241">
        <v>3</v>
      </c>
      <c r="O241">
        <v>32</v>
      </c>
      <c r="P241">
        <v>229</v>
      </c>
    </row>
    <row r="242" spans="1:16" x14ac:dyDescent="0.25">
      <c r="A242" s="1">
        <v>43896.708333333336</v>
      </c>
      <c r="B242" s="2" t="s">
        <v>12</v>
      </c>
      <c r="C242">
        <v>3</v>
      </c>
      <c r="D242" s="2" t="s">
        <v>42</v>
      </c>
      <c r="E242">
        <v>4546679409</v>
      </c>
      <c r="F242">
        <v>9190347404</v>
      </c>
      <c r="G242">
        <v>1622</v>
      </c>
      <c r="H242">
        <v>309</v>
      </c>
      <c r="I242">
        <v>1931</v>
      </c>
      <c r="J242">
        <v>77</v>
      </c>
      <c r="K242">
        <v>2008</v>
      </c>
      <c r="L242">
        <v>231</v>
      </c>
      <c r="M242">
        <v>469</v>
      </c>
      <c r="N242">
        <v>135</v>
      </c>
      <c r="O242">
        <v>2612</v>
      </c>
      <c r="P242">
        <v>13556</v>
      </c>
    </row>
    <row r="243" spans="1:16" x14ac:dyDescent="0.25">
      <c r="A243" s="1">
        <v>43896.708333333336</v>
      </c>
      <c r="B243" s="2" t="s">
        <v>12</v>
      </c>
      <c r="C243">
        <v>11</v>
      </c>
      <c r="D243" s="2" t="s">
        <v>43</v>
      </c>
      <c r="E243">
        <v>4361675973</v>
      </c>
      <c r="F243">
        <v>135188753</v>
      </c>
      <c r="G243">
        <v>73</v>
      </c>
      <c r="H243">
        <v>20</v>
      </c>
      <c r="I243">
        <v>93</v>
      </c>
      <c r="J243">
        <v>62</v>
      </c>
      <c r="K243">
        <v>155</v>
      </c>
      <c r="L243">
        <v>35</v>
      </c>
      <c r="M243">
        <v>0</v>
      </c>
      <c r="N243">
        <v>4</v>
      </c>
      <c r="O243">
        <v>159</v>
      </c>
      <c r="P243">
        <v>585</v>
      </c>
    </row>
    <row r="244" spans="1:16" x14ac:dyDescent="0.25">
      <c r="A244" s="1">
        <v>43896.708333333336</v>
      </c>
      <c r="B244" s="2" t="s">
        <v>12</v>
      </c>
      <c r="C244">
        <v>14</v>
      </c>
      <c r="D244" s="2" t="s">
        <v>44</v>
      </c>
      <c r="E244">
        <v>4155774754</v>
      </c>
      <c r="F244">
        <v>1465916051</v>
      </c>
      <c r="G244">
        <v>3</v>
      </c>
      <c r="H244">
        <v>2</v>
      </c>
      <c r="I244">
        <v>5</v>
      </c>
      <c r="J244">
        <v>7</v>
      </c>
      <c r="K244">
        <v>12</v>
      </c>
      <c r="L244">
        <v>5</v>
      </c>
      <c r="M244">
        <v>0</v>
      </c>
      <c r="N244">
        <v>0</v>
      </c>
      <c r="O244">
        <v>12</v>
      </c>
      <c r="P244">
        <v>104</v>
      </c>
    </row>
    <row r="245" spans="1:16" x14ac:dyDescent="0.25">
      <c r="A245" s="1">
        <v>43896.708333333336</v>
      </c>
      <c r="B245" s="2" t="s">
        <v>12</v>
      </c>
      <c r="C245">
        <v>1</v>
      </c>
      <c r="D245" s="2" t="s">
        <v>45</v>
      </c>
      <c r="E245">
        <v>450732745</v>
      </c>
      <c r="F245">
        <v>7680687483</v>
      </c>
      <c r="G245">
        <v>57</v>
      </c>
      <c r="H245">
        <v>30</v>
      </c>
      <c r="I245">
        <v>87</v>
      </c>
      <c r="J245">
        <v>52</v>
      </c>
      <c r="K245">
        <v>139</v>
      </c>
      <c r="L245">
        <v>33</v>
      </c>
      <c r="M245">
        <v>0</v>
      </c>
      <c r="N245">
        <v>4</v>
      </c>
      <c r="O245">
        <v>143</v>
      </c>
      <c r="P245">
        <v>793</v>
      </c>
    </row>
    <row r="246" spans="1:16" x14ac:dyDescent="0.25">
      <c r="A246" s="1">
        <v>43896.708333333336</v>
      </c>
      <c r="B246" s="2" t="s">
        <v>12</v>
      </c>
      <c r="C246">
        <v>16</v>
      </c>
      <c r="D246" s="2" t="s">
        <v>46</v>
      </c>
      <c r="E246">
        <v>4112559576</v>
      </c>
      <c r="F246">
        <v>1686736689</v>
      </c>
      <c r="G246">
        <v>5</v>
      </c>
      <c r="H246">
        <v>1</v>
      </c>
      <c r="I246">
        <v>6</v>
      </c>
      <c r="J246">
        <v>9</v>
      </c>
      <c r="K246">
        <v>15</v>
      </c>
      <c r="L246">
        <v>3</v>
      </c>
      <c r="M246">
        <v>1</v>
      </c>
      <c r="N246">
        <v>1</v>
      </c>
      <c r="O246">
        <v>17</v>
      </c>
      <c r="P246">
        <v>395</v>
      </c>
    </row>
    <row r="247" spans="1:16" x14ac:dyDescent="0.25">
      <c r="A247" s="1">
        <v>43896.708333333336</v>
      </c>
      <c r="B247" s="2" t="s">
        <v>12</v>
      </c>
      <c r="C247">
        <v>20</v>
      </c>
      <c r="D247" s="2" t="s">
        <v>47</v>
      </c>
      <c r="E247">
        <v>3921531192</v>
      </c>
      <c r="F247">
        <v>9110616306</v>
      </c>
      <c r="G247">
        <v>2</v>
      </c>
      <c r="H247">
        <v>0</v>
      </c>
      <c r="I247">
        <v>2</v>
      </c>
      <c r="J247">
        <v>3</v>
      </c>
      <c r="K247">
        <v>5</v>
      </c>
      <c r="L247">
        <v>3</v>
      </c>
      <c r="M247">
        <v>0</v>
      </c>
      <c r="N247">
        <v>0</v>
      </c>
      <c r="O247">
        <v>5</v>
      </c>
      <c r="P247">
        <v>99</v>
      </c>
    </row>
    <row r="248" spans="1:16" x14ac:dyDescent="0.25">
      <c r="A248" s="1">
        <v>43896.708333333336</v>
      </c>
      <c r="B248" s="2" t="s">
        <v>12</v>
      </c>
      <c r="C248">
        <v>19</v>
      </c>
      <c r="D248" s="2" t="s">
        <v>48</v>
      </c>
      <c r="E248">
        <v>3811569725</v>
      </c>
      <c r="F248">
        <v>133623567</v>
      </c>
      <c r="G248">
        <v>7</v>
      </c>
      <c r="H248">
        <v>0</v>
      </c>
      <c r="I248">
        <v>7</v>
      </c>
      <c r="J248">
        <v>15</v>
      </c>
      <c r="K248">
        <v>22</v>
      </c>
      <c r="L248">
        <v>6</v>
      </c>
      <c r="M248">
        <v>2</v>
      </c>
      <c r="N248">
        <v>0</v>
      </c>
      <c r="O248">
        <v>24</v>
      </c>
      <c r="P248">
        <v>367</v>
      </c>
    </row>
    <row r="249" spans="1:16" x14ac:dyDescent="0.25">
      <c r="A249" s="1">
        <v>43896.708333333336</v>
      </c>
      <c r="B249" s="2" t="s">
        <v>12</v>
      </c>
      <c r="C249">
        <v>9</v>
      </c>
      <c r="D249" s="2" t="s">
        <v>49</v>
      </c>
      <c r="E249">
        <v>4376923077</v>
      </c>
      <c r="F249">
        <v>1125588885</v>
      </c>
      <c r="G249">
        <v>35</v>
      </c>
      <c r="H249">
        <v>5</v>
      </c>
      <c r="I249">
        <v>40</v>
      </c>
      <c r="J249">
        <v>38</v>
      </c>
      <c r="K249">
        <v>78</v>
      </c>
      <c r="L249">
        <v>18</v>
      </c>
      <c r="M249">
        <v>1</v>
      </c>
      <c r="N249">
        <v>0</v>
      </c>
      <c r="O249">
        <v>79</v>
      </c>
      <c r="P249">
        <v>1097</v>
      </c>
    </row>
    <row r="250" spans="1:16" x14ac:dyDescent="0.25">
      <c r="A250" s="1">
        <v>43896.708333333336</v>
      </c>
      <c r="B250" s="2" t="s">
        <v>12</v>
      </c>
      <c r="C250">
        <v>4</v>
      </c>
      <c r="D250" s="2" t="s">
        <v>50</v>
      </c>
      <c r="E250">
        <v>4606893511</v>
      </c>
      <c r="F250">
        <v>1112123097</v>
      </c>
      <c r="G250">
        <v>4</v>
      </c>
      <c r="H250">
        <v>0</v>
      </c>
      <c r="I250">
        <v>4</v>
      </c>
      <c r="J250">
        <v>6</v>
      </c>
      <c r="K250">
        <v>10</v>
      </c>
      <c r="L250">
        <v>3</v>
      </c>
      <c r="M250">
        <v>0</v>
      </c>
      <c r="N250">
        <v>0</v>
      </c>
      <c r="O250">
        <v>10</v>
      </c>
      <c r="P250">
        <v>122</v>
      </c>
    </row>
    <row r="251" spans="1:16" x14ac:dyDescent="0.25">
      <c r="A251" s="1">
        <v>43896.708333333336</v>
      </c>
      <c r="B251" s="2" t="s">
        <v>12</v>
      </c>
      <c r="C251">
        <v>10</v>
      </c>
      <c r="D251" s="2" t="s">
        <v>51</v>
      </c>
      <c r="E251">
        <v>4310675841</v>
      </c>
      <c r="F251">
        <v>1238824698</v>
      </c>
      <c r="G251">
        <v>2</v>
      </c>
      <c r="H251">
        <v>2</v>
      </c>
      <c r="I251">
        <v>4</v>
      </c>
      <c r="J251">
        <v>12</v>
      </c>
      <c r="K251">
        <v>16</v>
      </c>
      <c r="L251">
        <v>7</v>
      </c>
      <c r="M251">
        <v>0</v>
      </c>
      <c r="N251">
        <v>0</v>
      </c>
      <c r="O251">
        <v>16</v>
      </c>
      <c r="P251">
        <v>110</v>
      </c>
    </row>
    <row r="252" spans="1:16" x14ac:dyDescent="0.25">
      <c r="A252" s="1">
        <v>43896.708333333336</v>
      </c>
      <c r="B252" s="2" t="s">
        <v>12</v>
      </c>
      <c r="C252">
        <v>2</v>
      </c>
      <c r="D252" s="2" t="s">
        <v>52</v>
      </c>
      <c r="E252">
        <v>4573750286</v>
      </c>
      <c r="F252">
        <v>7320149366</v>
      </c>
      <c r="G252">
        <v>0</v>
      </c>
      <c r="H252">
        <v>0</v>
      </c>
      <c r="I252">
        <v>0</v>
      </c>
      <c r="J252">
        <v>7</v>
      </c>
      <c r="K252">
        <v>7</v>
      </c>
      <c r="L252">
        <v>5</v>
      </c>
      <c r="M252">
        <v>0</v>
      </c>
      <c r="N252">
        <v>0</v>
      </c>
      <c r="O252">
        <v>7</v>
      </c>
      <c r="P252">
        <v>28</v>
      </c>
    </row>
    <row r="253" spans="1:16" x14ac:dyDescent="0.25">
      <c r="A253" s="1">
        <v>43896.708333333336</v>
      </c>
      <c r="B253" s="2" t="s">
        <v>12</v>
      </c>
      <c r="C253">
        <v>5</v>
      </c>
      <c r="D253" s="2" t="s">
        <v>53</v>
      </c>
      <c r="E253">
        <v>4543490485</v>
      </c>
      <c r="F253">
        <v>1233845213</v>
      </c>
      <c r="G253">
        <v>117</v>
      </c>
      <c r="H253">
        <v>27</v>
      </c>
      <c r="I253">
        <v>144</v>
      </c>
      <c r="J253">
        <v>310</v>
      </c>
      <c r="K253">
        <v>454</v>
      </c>
      <c r="L253">
        <v>74</v>
      </c>
      <c r="M253">
        <v>22</v>
      </c>
      <c r="N253">
        <v>12</v>
      </c>
      <c r="O253">
        <v>488</v>
      </c>
      <c r="P253">
        <v>13023</v>
      </c>
    </row>
    <row r="254" spans="1:16" x14ac:dyDescent="0.25">
      <c r="A254" s="1">
        <v>43897.75</v>
      </c>
      <c r="B254" s="2" t="s">
        <v>12</v>
      </c>
      <c r="C254">
        <v>13</v>
      </c>
      <c r="D254" s="2" t="s">
        <v>33</v>
      </c>
      <c r="E254">
        <v>4235122196</v>
      </c>
      <c r="F254">
        <v>1339843823</v>
      </c>
      <c r="G254">
        <v>11</v>
      </c>
      <c r="H254">
        <v>0</v>
      </c>
      <c r="I254">
        <v>11</v>
      </c>
      <c r="J254">
        <v>0</v>
      </c>
      <c r="K254">
        <v>11</v>
      </c>
      <c r="L254">
        <v>2</v>
      </c>
      <c r="M254">
        <v>0</v>
      </c>
      <c r="N254">
        <v>0</v>
      </c>
      <c r="O254">
        <v>11</v>
      </c>
      <c r="P254">
        <v>123</v>
      </c>
    </row>
    <row r="255" spans="1:16" x14ac:dyDescent="0.25">
      <c r="A255" s="1">
        <v>43897.75</v>
      </c>
      <c r="B255" s="2" t="s">
        <v>12</v>
      </c>
      <c r="C255">
        <v>17</v>
      </c>
      <c r="D255" s="2" t="s">
        <v>34</v>
      </c>
      <c r="E255">
        <v>4063947052</v>
      </c>
      <c r="F255">
        <v>1580514834</v>
      </c>
      <c r="G255">
        <v>1</v>
      </c>
      <c r="H255">
        <v>0</v>
      </c>
      <c r="I255">
        <v>1</v>
      </c>
      <c r="J255">
        <v>2</v>
      </c>
      <c r="K255">
        <v>3</v>
      </c>
      <c r="L255">
        <v>0</v>
      </c>
      <c r="M255">
        <v>0</v>
      </c>
      <c r="N255">
        <v>0</v>
      </c>
      <c r="O255">
        <v>3</v>
      </c>
      <c r="P255">
        <v>75</v>
      </c>
    </row>
    <row r="256" spans="1:16" x14ac:dyDescent="0.25">
      <c r="A256" s="1">
        <v>43897.75</v>
      </c>
      <c r="B256" s="2" t="s">
        <v>12</v>
      </c>
      <c r="C256">
        <v>4</v>
      </c>
      <c r="D256" s="2" t="s">
        <v>35</v>
      </c>
      <c r="E256">
        <v>4649933453</v>
      </c>
      <c r="F256">
        <v>1135662422</v>
      </c>
      <c r="G256">
        <v>8</v>
      </c>
      <c r="H256">
        <v>0</v>
      </c>
      <c r="I256">
        <v>8</v>
      </c>
      <c r="J256">
        <v>1</v>
      </c>
      <c r="K256">
        <v>9</v>
      </c>
      <c r="L256">
        <v>5</v>
      </c>
      <c r="M256">
        <v>0</v>
      </c>
      <c r="N256">
        <v>0</v>
      </c>
      <c r="O256">
        <v>9</v>
      </c>
      <c r="P256">
        <v>36</v>
      </c>
    </row>
    <row r="257" spans="1:16" x14ac:dyDescent="0.25">
      <c r="A257" s="1">
        <v>43897.75</v>
      </c>
      <c r="B257" s="2" t="s">
        <v>12</v>
      </c>
      <c r="C257">
        <v>18</v>
      </c>
      <c r="D257" s="2" t="s">
        <v>36</v>
      </c>
      <c r="E257">
        <v>3810922769</v>
      </c>
      <c r="F257">
        <v>156434527</v>
      </c>
      <c r="G257">
        <v>2</v>
      </c>
      <c r="H257">
        <v>0</v>
      </c>
      <c r="I257">
        <v>2</v>
      </c>
      <c r="J257">
        <v>2</v>
      </c>
      <c r="K257">
        <v>4</v>
      </c>
      <c r="L257">
        <v>0</v>
      </c>
      <c r="M257">
        <v>0</v>
      </c>
      <c r="N257">
        <v>0</v>
      </c>
      <c r="O257">
        <v>4</v>
      </c>
      <c r="P257">
        <v>113</v>
      </c>
    </row>
    <row r="258" spans="1:16" x14ac:dyDescent="0.25">
      <c r="A258" s="1">
        <v>43897.75</v>
      </c>
      <c r="B258" s="2" t="s">
        <v>12</v>
      </c>
      <c r="C258">
        <v>15</v>
      </c>
      <c r="D258" s="2" t="s">
        <v>37</v>
      </c>
      <c r="E258">
        <v>4083956555</v>
      </c>
      <c r="F258">
        <v>1425084984</v>
      </c>
      <c r="G258">
        <v>16</v>
      </c>
      <c r="H258">
        <v>0</v>
      </c>
      <c r="I258">
        <v>16</v>
      </c>
      <c r="J258">
        <v>45</v>
      </c>
      <c r="K258">
        <v>61</v>
      </c>
      <c r="L258">
        <v>4</v>
      </c>
      <c r="M258">
        <v>0</v>
      </c>
      <c r="N258">
        <v>0</v>
      </c>
      <c r="O258">
        <v>61</v>
      </c>
      <c r="P258">
        <v>612</v>
      </c>
    </row>
    <row r="259" spans="1:16" x14ac:dyDescent="0.25">
      <c r="A259" s="1">
        <v>43897.75</v>
      </c>
      <c r="B259" s="2" t="s">
        <v>12</v>
      </c>
      <c r="C259">
        <v>8</v>
      </c>
      <c r="D259" s="2" t="s">
        <v>38</v>
      </c>
      <c r="E259">
        <v>4449436681</v>
      </c>
      <c r="F259">
        <v>113417208</v>
      </c>
      <c r="G259">
        <v>464</v>
      </c>
      <c r="H259">
        <v>64</v>
      </c>
      <c r="I259">
        <v>528</v>
      </c>
      <c r="J259">
        <v>409</v>
      </c>
      <c r="K259">
        <v>937</v>
      </c>
      <c r="L259">
        <v>121</v>
      </c>
      <c r="M259">
        <v>25</v>
      </c>
      <c r="N259">
        <v>48</v>
      </c>
      <c r="O259">
        <v>1010</v>
      </c>
      <c r="P259">
        <v>3604</v>
      </c>
    </row>
    <row r="260" spans="1:16" x14ac:dyDescent="0.25">
      <c r="A260" s="1">
        <v>43897.75</v>
      </c>
      <c r="B260" s="2" t="s">
        <v>12</v>
      </c>
      <c r="C260">
        <v>6</v>
      </c>
      <c r="D260" s="2" t="s">
        <v>39</v>
      </c>
      <c r="E260">
        <v>456494354</v>
      </c>
      <c r="F260">
        <v>1376813649</v>
      </c>
      <c r="G260">
        <v>7</v>
      </c>
      <c r="H260">
        <v>1</v>
      </c>
      <c r="I260">
        <v>8</v>
      </c>
      <c r="J260">
        <v>31</v>
      </c>
      <c r="K260">
        <v>39</v>
      </c>
      <c r="L260">
        <v>11</v>
      </c>
      <c r="M260">
        <v>3</v>
      </c>
      <c r="N260">
        <v>0</v>
      </c>
      <c r="O260">
        <v>42</v>
      </c>
      <c r="P260">
        <v>577</v>
      </c>
    </row>
    <row r="261" spans="1:16" x14ac:dyDescent="0.25">
      <c r="A261" s="1">
        <v>43897.75</v>
      </c>
      <c r="B261" s="2" t="s">
        <v>12</v>
      </c>
      <c r="C261">
        <v>12</v>
      </c>
      <c r="D261" s="2" t="s">
        <v>40</v>
      </c>
      <c r="E261">
        <v>4189277044</v>
      </c>
      <c r="F261">
        <v>1248366722</v>
      </c>
      <c r="G261">
        <v>43</v>
      </c>
      <c r="H261">
        <v>8</v>
      </c>
      <c r="I261">
        <v>51</v>
      </c>
      <c r="J261">
        <v>21</v>
      </c>
      <c r="K261">
        <v>72</v>
      </c>
      <c r="L261">
        <v>22</v>
      </c>
      <c r="M261">
        <v>3</v>
      </c>
      <c r="N261">
        <v>1</v>
      </c>
      <c r="O261">
        <v>76</v>
      </c>
      <c r="P261">
        <v>1582</v>
      </c>
    </row>
    <row r="262" spans="1:16" x14ac:dyDescent="0.25">
      <c r="A262" s="1">
        <v>43897.75</v>
      </c>
      <c r="B262" s="2" t="s">
        <v>12</v>
      </c>
      <c r="C262">
        <v>7</v>
      </c>
      <c r="D262" s="2" t="s">
        <v>41</v>
      </c>
      <c r="E262">
        <v>4441149315</v>
      </c>
      <c r="F262">
        <v>89326992</v>
      </c>
      <c r="G262">
        <v>26</v>
      </c>
      <c r="H262">
        <v>6</v>
      </c>
      <c r="I262">
        <v>32</v>
      </c>
      <c r="J262">
        <v>10</v>
      </c>
      <c r="K262">
        <v>42</v>
      </c>
      <c r="L262">
        <v>18</v>
      </c>
      <c r="M262">
        <v>5</v>
      </c>
      <c r="N262">
        <v>4</v>
      </c>
      <c r="O262">
        <v>51</v>
      </c>
      <c r="P262">
        <v>331</v>
      </c>
    </row>
    <row r="263" spans="1:16" x14ac:dyDescent="0.25">
      <c r="A263" s="1">
        <v>43897.75</v>
      </c>
      <c r="B263" s="2" t="s">
        <v>12</v>
      </c>
      <c r="C263">
        <v>3</v>
      </c>
      <c r="D263" s="2" t="s">
        <v>42</v>
      </c>
      <c r="E263">
        <v>4546679409</v>
      </c>
      <c r="F263">
        <v>9190347404</v>
      </c>
      <c r="G263">
        <v>1661</v>
      </c>
      <c r="H263">
        <v>359</v>
      </c>
      <c r="I263">
        <v>2020</v>
      </c>
      <c r="J263">
        <v>722</v>
      </c>
      <c r="K263">
        <v>2742</v>
      </c>
      <c r="L263">
        <v>734</v>
      </c>
      <c r="M263">
        <v>524</v>
      </c>
      <c r="N263">
        <v>154</v>
      </c>
      <c r="O263">
        <v>3420</v>
      </c>
      <c r="P263">
        <v>15778</v>
      </c>
    </row>
    <row r="264" spans="1:16" x14ac:dyDescent="0.25">
      <c r="A264" s="1">
        <v>43897.75</v>
      </c>
      <c r="B264" s="2" t="s">
        <v>12</v>
      </c>
      <c r="C264">
        <v>11</v>
      </c>
      <c r="D264" s="2" t="s">
        <v>43</v>
      </c>
      <c r="E264">
        <v>4361675973</v>
      </c>
      <c r="F264">
        <v>135188753</v>
      </c>
      <c r="G264">
        <v>94</v>
      </c>
      <c r="H264">
        <v>36</v>
      </c>
      <c r="I264">
        <v>130</v>
      </c>
      <c r="J264">
        <v>71</v>
      </c>
      <c r="K264">
        <v>201</v>
      </c>
      <c r="L264">
        <v>46</v>
      </c>
      <c r="M264">
        <v>0</v>
      </c>
      <c r="N264">
        <v>6</v>
      </c>
      <c r="O264">
        <v>207</v>
      </c>
      <c r="P264">
        <v>816</v>
      </c>
    </row>
    <row r="265" spans="1:16" x14ac:dyDescent="0.25">
      <c r="A265" s="1">
        <v>43897.75</v>
      </c>
      <c r="B265" s="2" t="s">
        <v>12</v>
      </c>
      <c r="C265">
        <v>14</v>
      </c>
      <c r="D265" s="2" t="s">
        <v>44</v>
      </c>
      <c r="E265">
        <v>4155774754</v>
      </c>
      <c r="F265">
        <v>1465916051</v>
      </c>
      <c r="G265">
        <v>3</v>
      </c>
      <c r="H265">
        <v>2</v>
      </c>
      <c r="I265">
        <v>5</v>
      </c>
      <c r="J265">
        <v>9</v>
      </c>
      <c r="K265">
        <v>14</v>
      </c>
      <c r="L265">
        <v>2</v>
      </c>
      <c r="M265">
        <v>0</v>
      </c>
      <c r="N265">
        <v>0</v>
      </c>
      <c r="O265">
        <v>14</v>
      </c>
      <c r="P265">
        <v>112</v>
      </c>
    </row>
    <row r="266" spans="1:16" x14ac:dyDescent="0.25">
      <c r="A266" s="1">
        <v>43897.75</v>
      </c>
      <c r="B266" s="2" t="s">
        <v>12</v>
      </c>
      <c r="C266">
        <v>1</v>
      </c>
      <c r="D266" s="2" t="s">
        <v>45</v>
      </c>
      <c r="E266">
        <v>450732745</v>
      </c>
      <c r="F266">
        <v>7680687483</v>
      </c>
      <c r="G266">
        <v>110</v>
      </c>
      <c r="H266">
        <v>38</v>
      </c>
      <c r="I266">
        <v>148</v>
      </c>
      <c r="J266">
        <v>54</v>
      </c>
      <c r="K266">
        <v>202</v>
      </c>
      <c r="L266">
        <v>63</v>
      </c>
      <c r="M266">
        <v>0</v>
      </c>
      <c r="N266">
        <v>5</v>
      </c>
      <c r="O266">
        <v>207</v>
      </c>
      <c r="P266">
        <v>1046</v>
      </c>
    </row>
    <row r="267" spans="1:16" x14ac:dyDescent="0.25">
      <c r="A267" s="1">
        <v>43897.75</v>
      </c>
      <c r="B267" s="2" t="s">
        <v>12</v>
      </c>
      <c r="C267">
        <v>16</v>
      </c>
      <c r="D267" s="2" t="s">
        <v>46</v>
      </c>
      <c r="E267">
        <v>4112559576</v>
      </c>
      <c r="F267">
        <v>1686736689</v>
      </c>
      <c r="G267">
        <v>9</v>
      </c>
      <c r="H267">
        <v>2</v>
      </c>
      <c r="I267">
        <v>11</v>
      </c>
      <c r="J267">
        <v>12</v>
      </c>
      <c r="K267">
        <v>23</v>
      </c>
      <c r="L267">
        <v>8</v>
      </c>
      <c r="M267">
        <v>1</v>
      </c>
      <c r="N267">
        <v>2</v>
      </c>
      <c r="O267">
        <v>26</v>
      </c>
      <c r="P267">
        <v>395</v>
      </c>
    </row>
    <row r="268" spans="1:16" x14ac:dyDescent="0.25">
      <c r="A268" s="1">
        <v>43897.75</v>
      </c>
      <c r="B268" s="2" t="s">
        <v>12</v>
      </c>
      <c r="C268">
        <v>20</v>
      </c>
      <c r="D268" s="2" t="s">
        <v>47</v>
      </c>
      <c r="E268">
        <v>3921531192</v>
      </c>
      <c r="F268">
        <v>9110616306</v>
      </c>
      <c r="G268">
        <v>2</v>
      </c>
      <c r="H268">
        <v>0</v>
      </c>
      <c r="I268">
        <v>2</v>
      </c>
      <c r="J268">
        <v>3</v>
      </c>
      <c r="K268">
        <v>5</v>
      </c>
      <c r="L268">
        <v>0</v>
      </c>
      <c r="M268">
        <v>0</v>
      </c>
      <c r="N268">
        <v>0</v>
      </c>
      <c r="O268">
        <v>5</v>
      </c>
      <c r="P268">
        <v>99</v>
      </c>
    </row>
    <row r="269" spans="1:16" x14ac:dyDescent="0.25">
      <c r="A269" s="1">
        <v>43897.75</v>
      </c>
      <c r="B269" s="2" t="s">
        <v>12</v>
      </c>
      <c r="C269">
        <v>19</v>
      </c>
      <c r="D269" s="2" t="s">
        <v>48</v>
      </c>
      <c r="E269">
        <v>3811569725</v>
      </c>
      <c r="F269">
        <v>133623567</v>
      </c>
      <c r="G269">
        <v>8</v>
      </c>
      <c r="H269">
        <v>0</v>
      </c>
      <c r="I269">
        <v>8</v>
      </c>
      <c r="J269">
        <v>25</v>
      </c>
      <c r="K269">
        <v>33</v>
      </c>
      <c r="L269">
        <v>11</v>
      </c>
      <c r="M269">
        <v>2</v>
      </c>
      <c r="N269">
        <v>0</v>
      </c>
      <c r="O269">
        <v>35</v>
      </c>
      <c r="P269">
        <v>643</v>
      </c>
    </row>
    <row r="270" spans="1:16" x14ac:dyDescent="0.25">
      <c r="A270" s="1">
        <v>43897.75</v>
      </c>
      <c r="B270" s="2" t="s">
        <v>12</v>
      </c>
      <c r="C270">
        <v>9</v>
      </c>
      <c r="D270" s="2" t="s">
        <v>49</v>
      </c>
      <c r="E270">
        <v>4376923077</v>
      </c>
      <c r="F270">
        <v>1125588885</v>
      </c>
      <c r="G270">
        <v>54</v>
      </c>
      <c r="H270">
        <v>7</v>
      </c>
      <c r="I270">
        <v>61</v>
      </c>
      <c r="J270">
        <v>51</v>
      </c>
      <c r="K270">
        <v>112</v>
      </c>
      <c r="L270">
        <v>34</v>
      </c>
      <c r="M270">
        <v>1</v>
      </c>
      <c r="N270">
        <v>0</v>
      </c>
      <c r="O270">
        <v>113</v>
      </c>
      <c r="P270">
        <v>1331</v>
      </c>
    </row>
    <row r="271" spans="1:16" x14ac:dyDescent="0.25">
      <c r="A271" s="1">
        <v>43897.75</v>
      </c>
      <c r="B271" s="2" t="s">
        <v>12</v>
      </c>
      <c r="C271">
        <v>4</v>
      </c>
      <c r="D271" s="2" t="s">
        <v>50</v>
      </c>
      <c r="E271">
        <v>4606893511</v>
      </c>
      <c r="F271">
        <v>1112123097</v>
      </c>
      <c r="G271">
        <v>6</v>
      </c>
      <c r="H271">
        <v>1</v>
      </c>
      <c r="I271">
        <v>7</v>
      </c>
      <c r="J271">
        <v>7</v>
      </c>
      <c r="K271">
        <v>14</v>
      </c>
      <c r="L271">
        <v>4</v>
      </c>
      <c r="M271">
        <v>0</v>
      </c>
      <c r="N271">
        <v>0</v>
      </c>
      <c r="O271">
        <v>14</v>
      </c>
      <c r="P271">
        <v>194</v>
      </c>
    </row>
    <row r="272" spans="1:16" x14ac:dyDescent="0.25">
      <c r="A272" s="1">
        <v>43897.75</v>
      </c>
      <c r="B272" s="2" t="s">
        <v>12</v>
      </c>
      <c r="C272">
        <v>10</v>
      </c>
      <c r="D272" s="2" t="s">
        <v>51</v>
      </c>
      <c r="E272">
        <v>4310675841</v>
      </c>
      <c r="F272">
        <v>1238824698</v>
      </c>
      <c r="G272">
        <v>2</v>
      </c>
      <c r="H272">
        <v>2</v>
      </c>
      <c r="I272">
        <v>4</v>
      </c>
      <c r="J272">
        <v>20</v>
      </c>
      <c r="K272">
        <v>24</v>
      </c>
      <c r="L272">
        <v>8</v>
      </c>
      <c r="M272">
        <v>0</v>
      </c>
      <c r="N272">
        <v>0</v>
      </c>
      <c r="O272">
        <v>24</v>
      </c>
      <c r="P272">
        <v>134</v>
      </c>
    </row>
    <row r="273" spans="1:16" x14ac:dyDescent="0.25">
      <c r="A273" s="1">
        <v>43897.75</v>
      </c>
      <c r="B273" s="2" t="s">
        <v>12</v>
      </c>
      <c r="C273">
        <v>2</v>
      </c>
      <c r="D273" s="2" t="s">
        <v>52</v>
      </c>
      <c r="E273">
        <v>4573750286</v>
      </c>
      <c r="F273">
        <v>7320149366</v>
      </c>
      <c r="G273">
        <v>1</v>
      </c>
      <c r="H273">
        <v>0</v>
      </c>
      <c r="I273">
        <v>1</v>
      </c>
      <c r="J273">
        <v>7</v>
      </c>
      <c r="K273">
        <v>8</v>
      </c>
      <c r="L273">
        <v>1</v>
      </c>
      <c r="M273">
        <v>0</v>
      </c>
      <c r="N273">
        <v>0</v>
      </c>
      <c r="O273">
        <v>8</v>
      </c>
      <c r="P273">
        <v>32</v>
      </c>
    </row>
    <row r="274" spans="1:16" x14ac:dyDescent="0.25">
      <c r="A274" s="1">
        <v>43897.75</v>
      </c>
      <c r="B274" s="2" t="s">
        <v>12</v>
      </c>
      <c r="C274">
        <v>5</v>
      </c>
      <c r="D274" s="2" t="s">
        <v>53</v>
      </c>
      <c r="E274">
        <v>4543490485</v>
      </c>
      <c r="F274">
        <v>1233845213</v>
      </c>
      <c r="G274">
        <v>123</v>
      </c>
      <c r="H274">
        <v>41</v>
      </c>
      <c r="I274">
        <v>164</v>
      </c>
      <c r="J274">
        <v>341</v>
      </c>
      <c r="K274">
        <v>505</v>
      </c>
      <c r="L274">
        <v>51</v>
      </c>
      <c r="M274">
        <v>25</v>
      </c>
      <c r="N274">
        <v>13</v>
      </c>
      <c r="O274">
        <v>543</v>
      </c>
      <c r="P274">
        <v>14429</v>
      </c>
    </row>
    <row r="275" spans="1:16" x14ac:dyDescent="0.25">
      <c r="A275" s="1">
        <v>43898.75</v>
      </c>
      <c r="B275" s="2" t="s">
        <v>12</v>
      </c>
      <c r="C275">
        <v>13</v>
      </c>
      <c r="D275" s="2" t="s">
        <v>33</v>
      </c>
      <c r="E275">
        <v>4235122196</v>
      </c>
      <c r="F275">
        <v>1339843823</v>
      </c>
      <c r="G275">
        <v>14</v>
      </c>
      <c r="H275">
        <v>0</v>
      </c>
      <c r="I275">
        <v>14</v>
      </c>
      <c r="J275">
        <v>3</v>
      </c>
      <c r="K275">
        <v>17</v>
      </c>
      <c r="L275">
        <v>6</v>
      </c>
      <c r="M275">
        <v>0</v>
      </c>
      <c r="N275">
        <v>0</v>
      </c>
      <c r="O275">
        <v>17</v>
      </c>
      <c r="P275">
        <v>163</v>
      </c>
    </row>
    <row r="276" spans="1:16" x14ac:dyDescent="0.25">
      <c r="A276" s="1">
        <v>43898.75</v>
      </c>
      <c r="B276" s="2" t="s">
        <v>12</v>
      </c>
      <c r="C276">
        <v>17</v>
      </c>
      <c r="D276" s="2" t="s">
        <v>34</v>
      </c>
      <c r="E276">
        <v>4063947052</v>
      </c>
      <c r="F276">
        <v>1580514834</v>
      </c>
      <c r="G276">
        <v>2</v>
      </c>
      <c r="H276">
        <v>0</v>
      </c>
      <c r="I276">
        <v>2</v>
      </c>
      <c r="J276">
        <v>2</v>
      </c>
      <c r="K276">
        <v>4</v>
      </c>
      <c r="L276">
        <v>1</v>
      </c>
      <c r="M276">
        <v>0</v>
      </c>
      <c r="N276">
        <v>0</v>
      </c>
      <c r="O276">
        <v>4</v>
      </c>
      <c r="P276">
        <v>123</v>
      </c>
    </row>
    <row r="277" spans="1:16" x14ac:dyDescent="0.25">
      <c r="A277" s="1">
        <v>43898.75</v>
      </c>
      <c r="B277" s="2" t="s">
        <v>12</v>
      </c>
      <c r="C277">
        <v>4</v>
      </c>
      <c r="D277" s="2" t="s">
        <v>35</v>
      </c>
      <c r="E277">
        <v>4649933453</v>
      </c>
      <c r="F277">
        <v>1135662422</v>
      </c>
      <c r="G277">
        <v>8</v>
      </c>
      <c r="H277">
        <v>0</v>
      </c>
      <c r="I277">
        <v>8</v>
      </c>
      <c r="J277">
        <v>1</v>
      </c>
      <c r="K277">
        <v>9</v>
      </c>
      <c r="L277">
        <v>0</v>
      </c>
      <c r="M277">
        <v>0</v>
      </c>
      <c r="N277">
        <v>0</v>
      </c>
      <c r="O277">
        <v>9</v>
      </c>
      <c r="P277">
        <v>36</v>
      </c>
    </row>
    <row r="278" spans="1:16" x14ac:dyDescent="0.25">
      <c r="A278" s="1">
        <v>43898.75</v>
      </c>
      <c r="B278" s="2" t="s">
        <v>12</v>
      </c>
      <c r="C278">
        <v>18</v>
      </c>
      <c r="D278" s="2" t="s">
        <v>36</v>
      </c>
      <c r="E278">
        <v>3810922769</v>
      </c>
      <c r="F278">
        <v>156434527</v>
      </c>
      <c r="G278">
        <v>5</v>
      </c>
      <c r="H278">
        <v>0</v>
      </c>
      <c r="I278">
        <v>5</v>
      </c>
      <c r="J278">
        <v>4</v>
      </c>
      <c r="K278">
        <v>9</v>
      </c>
      <c r="L278">
        <v>5</v>
      </c>
      <c r="M278">
        <v>0</v>
      </c>
      <c r="N278">
        <v>0</v>
      </c>
      <c r="O278">
        <v>9</v>
      </c>
      <c r="P278">
        <v>113</v>
      </c>
    </row>
    <row r="279" spans="1:16" x14ac:dyDescent="0.25">
      <c r="A279" s="1">
        <v>43898.75</v>
      </c>
      <c r="B279" s="2" t="s">
        <v>12</v>
      </c>
      <c r="C279">
        <v>15</v>
      </c>
      <c r="D279" s="2" t="s">
        <v>37</v>
      </c>
      <c r="E279">
        <v>4083956555</v>
      </c>
      <c r="F279">
        <v>1425084984</v>
      </c>
      <c r="G279">
        <v>30</v>
      </c>
      <c r="H279">
        <v>7</v>
      </c>
      <c r="I279">
        <v>37</v>
      </c>
      <c r="J279">
        <v>63</v>
      </c>
      <c r="K279">
        <v>100</v>
      </c>
      <c r="L279">
        <v>39</v>
      </c>
      <c r="M279">
        <v>1</v>
      </c>
      <c r="N279">
        <v>0</v>
      </c>
      <c r="O279">
        <v>101</v>
      </c>
      <c r="P279">
        <v>980</v>
      </c>
    </row>
    <row r="280" spans="1:16" x14ac:dyDescent="0.25">
      <c r="A280" s="1">
        <v>43898.75</v>
      </c>
      <c r="B280" s="2" t="s">
        <v>12</v>
      </c>
      <c r="C280">
        <v>8</v>
      </c>
      <c r="D280" s="2" t="s">
        <v>38</v>
      </c>
      <c r="E280">
        <v>4449436681</v>
      </c>
      <c r="F280">
        <v>113417208</v>
      </c>
      <c r="G280">
        <v>542</v>
      </c>
      <c r="H280">
        <v>75</v>
      </c>
      <c r="I280">
        <v>617</v>
      </c>
      <c r="J280">
        <v>480</v>
      </c>
      <c r="K280">
        <v>1097</v>
      </c>
      <c r="L280">
        <v>160</v>
      </c>
      <c r="M280">
        <v>27</v>
      </c>
      <c r="N280">
        <v>56</v>
      </c>
      <c r="O280">
        <v>1180</v>
      </c>
      <c r="P280">
        <v>4344</v>
      </c>
    </row>
    <row r="281" spans="1:16" x14ac:dyDescent="0.25">
      <c r="A281" s="1">
        <v>43898.75</v>
      </c>
      <c r="B281" s="2" t="s">
        <v>12</v>
      </c>
      <c r="C281">
        <v>6</v>
      </c>
      <c r="D281" s="2" t="s">
        <v>39</v>
      </c>
      <c r="E281">
        <v>456494354</v>
      </c>
      <c r="F281">
        <v>1376813649</v>
      </c>
      <c r="G281">
        <v>7</v>
      </c>
      <c r="H281">
        <v>1</v>
      </c>
      <c r="I281">
        <v>8</v>
      </c>
      <c r="J281">
        <v>45</v>
      </c>
      <c r="K281">
        <v>53</v>
      </c>
      <c r="L281">
        <v>14</v>
      </c>
      <c r="M281">
        <v>3</v>
      </c>
      <c r="N281">
        <v>1</v>
      </c>
      <c r="O281">
        <v>57</v>
      </c>
      <c r="P281">
        <v>997</v>
      </c>
    </row>
    <row r="282" spans="1:16" x14ac:dyDescent="0.25">
      <c r="A282" s="1">
        <v>43898.75</v>
      </c>
      <c r="B282" s="2" t="s">
        <v>12</v>
      </c>
      <c r="C282">
        <v>12</v>
      </c>
      <c r="D282" s="2" t="s">
        <v>40</v>
      </c>
      <c r="E282">
        <v>4189277044</v>
      </c>
      <c r="F282">
        <v>1248366722</v>
      </c>
      <c r="G282">
        <v>47</v>
      </c>
      <c r="H282">
        <v>8</v>
      </c>
      <c r="I282">
        <v>55</v>
      </c>
      <c r="J282">
        <v>26</v>
      </c>
      <c r="K282">
        <v>81</v>
      </c>
      <c r="L282">
        <v>9</v>
      </c>
      <c r="M282">
        <v>3</v>
      </c>
      <c r="N282">
        <v>3</v>
      </c>
      <c r="O282">
        <v>87</v>
      </c>
      <c r="P282">
        <v>1929</v>
      </c>
    </row>
    <row r="283" spans="1:16" x14ac:dyDescent="0.25">
      <c r="A283" s="1">
        <v>43898.75</v>
      </c>
      <c r="B283" s="2" t="s">
        <v>12</v>
      </c>
      <c r="C283">
        <v>7</v>
      </c>
      <c r="D283" s="2" t="s">
        <v>41</v>
      </c>
      <c r="E283">
        <v>4441149315</v>
      </c>
      <c r="F283">
        <v>89326992</v>
      </c>
      <c r="G283">
        <v>39</v>
      </c>
      <c r="H283">
        <v>11</v>
      </c>
      <c r="I283">
        <v>50</v>
      </c>
      <c r="J283">
        <v>17</v>
      </c>
      <c r="K283">
        <v>67</v>
      </c>
      <c r="L283">
        <v>25</v>
      </c>
      <c r="M283">
        <v>5</v>
      </c>
      <c r="N283">
        <v>6</v>
      </c>
      <c r="O283">
        <v>78</v>
      </c>
      <c r="P283">
        <v>401</v>
      </c>
    </row>
    <row r="284" spans="1:16" x14ac:dyDescent="0.25">
      <c r="A284" s="1">
        <v>43898.75</v>
      </c>
      <c r="B284" s="2" t="s">
        <v>12</v>
      </c>
      <c r="C284">
        <v>3</v>
      </c>
      <c r="D284" s="2" t="s">
        <v>42</v>
      </c>
      <c r="E284">
        <v>4546679409</v>
      </c>
      <c r="F284">
        <v>9190347404</v>
      </c>
      <c r="G284">
        <v>2217</v>
      </c>
      <c r="H284">
        <v>399</v>
      </c>
      <c r="I284">
        <v>2616</v>
      </c>
      <c r="J284">
        <v>756</v>
      </c>
      <c r="K284">
        <v>3372</v>
      </c>
      <c r="L284">
        <v>630</v>
      </c>
      <c r="M284">
        <v>550</v>
      </c>
      <c r="N284">
        <v>267</v>
      </c>
      <c r="O284">
        <v>4189</v>
      </c>
      <c r="P284">
        <v>18534</v>
      </c>
    </row>
    <row r="285" spans="1:16" x14ac:dyDescent="0.25">
      <c r="A285" s="1">
        <v>43898.75</v>
      </c>
      <c r="B285" s="2" t="s">
        <v>12</v>
      </c>
      <c r="C285">
        <v>11</v>
      </c>
      <c r="D285" s="2" t="s">
        <v>43</v>
      </c>
      <c r="E285">
        <v>4361675973</v>
      </c>
      <c r="F285">
        <v>135188753</v>
      </c>
      <c r="G285">
        <v>110</v>
      </c>
      <c r="H285">
        <v>41</v>
      </c>
      <c r="I285">
        <v>151</v>
      </c>
      <c r="J285">
        <v>114</v>
      </c>
      <c r="K285">
        <v>265</v>
      </c>
      <c r="L285">
        <v>64</v>
      </c>
      <c r="M285">
        <v>0</v>
      </c>
      <c r="N285">
        <v>7</v>
      </c>
      <c r="O285">
        <v>272</v>
      </c>
      <c r="P285">
        <v>1025</v>
      </c>
    </row>
    <row r="286" spans="1:16" x14ac:dyDescent="0.25">
      <c r="A286" s="1">
        <v>43898.75</v>
      </c>
      <c r="B286" s="2" t="s">
        <v>12</v>
      </c>
      <c r="C286">
        <v>14</v>
      </c>
      <c r="D286" s="2" t="s">
        <v>44</v>
      </c>
      <c r="E286">
        <v>4155774754</v>
      </c>
      <c r="F286">
        <v>1465916051</v>
      </c>
      <c r="G286">
        <v>4</v>
      </c>
      <c r="H286">
        <v>2</v>
      </c>
      <c r="I286">
        <v>6</v>
      </c>
      <c r="J286">
        <v>8</v>
      </c>
      <c r="K286">
        <v>14</v>
      </c>
      <c r="L286">
        <v>0</v>
      </c>
      <c r="M286">
        <v>0</v>
      </c>
      <c r="N286">
        <v>0</v>
      </c>
      <c r="O286">
        <v>14</v>
      </c>
      <c r="P286">
        <v>116</v>
      </c>
    </row>
    <row r="287" spans="1:16" x14ac:dyDescent="0.25">
      <c r="A287" s="1">
        <v>43898.75</v>
      </c>
      <c r="B287" s="2" t="s">
        <v>12</v>
      </c>
      <c r="C287">
        <v>1</v>
      </c>
      <c r="D287" s="2" t="s">
        <v>45</v>
      </c>
      <c r="E287">
        <v>450732745</v>
      </c>
      <c r="F287">
        <v>7680687483</v>
      </c>
      <c r="G287">
        <v>245</v>
      </c>
      <c r="H287">
        <v>45</v>
      </c>
      <c r="I287">
        <v>290</v>
      </c>
      <c r="J287">
        <v>65</v>
      </c>
      <c r="K287">
        <v>355</v>
      </c>
      <c r="L287">
        <v>153</v>
      </c>
      <c r="M287">
        <v>0</v>
      </c>
      <c r="N287">
        <v>5</v>
      </c>
      <c r="O287">
        <v>360</v>
      </c>
      <c r="P287">
        <v>1636</v>
      </c>
    </row>
    <row r="288" spans="1:16" x14ac:dyDescent="0.25">
      <c r="A288" s="1">
        <v>43898.75</v>
      </c>
      <c r="B288" s="2" t="s">
        <v>12</v>
      </c>
      <c r="C288">
        <v>16</v>
      </c>
      <c r="D288" s="2" t="s">
        <v>46</v>
      </c>
      <c r="E288">
        <v>4112559576</v>
      </c>
      <c r="F288">
        <v>1686736689</v>
      </c>
      <c r="G288">
        <v>17</v>
      </c>
      <c r="H288">
        <v>3</v>
      </c>
      <c r="I288">
        <v>20</v>
      </c>
      <c r="J288">
        <v>16</v>
      </c>
      <c r="K288">
        <v>36</v>
      </c>
      <c r="L288">
        <v>13</v>
      </c>
      <c r="M288">
        <v>1</v>
      </c>
      <c r="N288">
        <v>3</v>
      </c>
      <c r="O288">
        <v>40</v>
      </c>
      <c r="P288">
        <v>627</v>
      </c>
    </row>
    <row r="289" spans="1:16" x14ac:dyDescent="0.25">
      <c r="A289" s="1">
        <v>43898.75</v>
      </c>
      <c r="B289" s="2" t="s">
        <v>12</v>
      </c>
      <c r="C289">
        <v>20</v>
      </c>
      <c r="D289" s="2" t="s">
        <v>47</v>
      </c>
      <c r="E289">
        <v>3921531192</v>
      </c>
      <c r="F289">
        <v>9110616306</v>
      </c>
      <c r="G289">
        <v>5</v>
      </c>
      <c r="H289">
        <v>0</v>
      </c>
      <c r="I289">
        <v>5</v>
      </c>
      <c r="J289">
        <v>6</v>
      </c>
      <c r="K289">
        <v>11</v>
      </c>
      <c r="L289">
        <v>6</v>
      </c>
      <c r="M289">
        <v>0</v>
      </c>
      <c r="N289">
        <v>0</v>
      </c>
      <c r="O289">
        <v>11</v>
      </c>
      <c r="P289">
        <v>149</v>
      </c>
    </row>
    <row r="290" spans="1:16" x14ac:dyDescent="0.25">
      <c r="A290" s="1">
        <v>43898.75</v>
      </c>
      <c r="B290" s="2" t="s">
        <v>12</v>
      </c>
      <c r="C290">
        <v>19</v>
      </c>
      <c r="D290" s="2" t="s">
        <v>48</v>
      </c>
      <c r="E290">
        <v>3811569725</v>
      </c>
      <c r="F290">
        <v>133623567</v>
      </c>
      <c r="G290">
        <v>18</v>
      </c>
      <c r="H290">
        <v>0</v>
      </c>
      <c r="I290">
        <v>18</v>
      </c>
      <c r="J290">
        <v>33</v>
      </c>
      <c r="K290">
        <v>51</v>
      </c>
      <c r="L290">
        <v>18</v>
      </c>
      <c r="M290">
        <v>2</v>
      </c>
      <c r="N290">
        <v>0</v>
      </c>
      <c r="O290">
        <v>53</v>
      </c>
      <c r="P290">
        <v>791</v>
      </c>
    </row>
    <row r="291" spans="1:16" x14ac:dyDescent="0.25">
      <c r="A291" s="1">
        <v>43898.75</v>
      </c>
      <c r="B291" s="2" t="s">
        <v>12</v>
      </c>
      <c r="C291">
        <v>9</v>
      </c>
      <c r="D291" s="2" t="s">
        <v>49</v>
      </c>
      <c r="E291">
        <v>4376923077</v>
      </c>
      <c r="F291">
        <v>1125588885</v>
      </c>
      <c r="G291">
        <v>91</v>
      </c>
      <c r="H291">
        <v>7</v>
      </c>
      <c r="I291">
        <v>98</v>
      </c>
      <c r="J291">
        <v>67</v>
      </c>
      <c r="K291">
        <v>165</v>
      </c>
      <c r="L291">
        <v>53</v>
      </c>
      <c r="M291">
        <v>1</v>
      </c>
      <c r="N291">
        <v>0</v>
      </c>
      <c r="O291">
        <v>166</v>
      </c>
      <c r="P291">
        <v>1618</v>
      </c>
    </row>
    <row r="292" spans="1:16" x14ac:dyDescent="0.25">
      <c r="A292" s="1">
        <v>43898.75</v>
      </c>
      <c r="B292" s="2" t="s">
        <v>12</v>
      </c>
      <c r="C292">
        <v>4</v>
      </c>
      <c r="D292" s="2" t="s">
        <v>50</v>
      </c>
      <c r="E292">
        <v>4606893511</v>
      </c>
      <c r="F292">
        <v>1112123097</v>
      </c>
      <c r="G292">
        <v>7</v>
      </c>
      <c r="H292">
        <v>2</v>
      </c>
      <c r="I292">
        <v>9</v>
      </c>
      <c r="J292">
        <v>14</v>
      </c>
      <c r="K292">
        <v>23</v>
      </c>
      <c r="L292">
        <v>9</v>
      </c>
      <c r="M292">
        <v>0</v>
      </c>
      <c r="N292">
        <v>0</v>
      </c>
      <c r="O292">
        <v>23</v>
      </c>
      <c r="P292">
        <v>228</v>
      </c>
    </row>
    <row r="293" spans="1:16" x14ac:dyDescent="0.25">
      <c r="A293" s="1">
        <v>43898.75</v>
      </c>
      <c r="B293" s="2" t="s">
        <v>12</v>
      </c>
      <c r="C293">
        <v>10</v>
      </c>
      <c r="D293" s="2" t="s">
        <v>51</v>
      </c>
      <c r="E293">
        <v>4310675841</v>
      </c>
      <c r="F293">
        <v>1238824698</v>
      </c>
      <c r="G293">
        <v>2</v>
      </c>
      <c r="H293">
        <v>2</v>
      </c>
      <c r="I293">
        <v>4</v>
      </c>
      <c r="J293">
        <v>22</v>
      </c>
      <c r="K293">
        <v>26</v>
      </c>
      <c r="L293">
        <v>2</v>
      </c>
      <c r="M293">
        <v>0</v>
      </c>
      <c r="N293">
        <v>0</v>
      </c>
      <c r="O293">
        <v>26</v>
      </c>
      <c r="P293">
        <v>168</v>
      </c>
    </row>
    <row r="294" spans="1:16" x14ac:dyDescent="0.25">
      <c r="A294" s="1">
        <v>43898.75</v>
      </c>
      <c r="B294" s="2" t="s">
        <v>12</v>
      </c>
      <c r="C294">
        <v>2</v>
      </c>
      <c r="D294" s="2" t="s">
        <v>52</v>
      </c>
      <c r="E294">
        <v>4573750286</v>
      </c>
      <c r="F294">
        <v>7320149366</v>
      </c>
      <c r="G294">
        <v>1</v>
      </c>
      <c r="H294">
        <v>0</v>
      </c>
      <c r="I294">
        <v>1</v>
      </c>
      <c r="J294">
        <v>8</v>
      </c>
      <c r="K294">
        <v>9</v>
      </c>
      <c r="L294">
        <v>1</v>
      </c>
      <c r="M294">
        <v>0</v>
      </c>
      <c r="N294">
        <v>0</v>
      </c>
      <c r="O294">
        <v>9</v>
      </c>
      <c r="P294">
        <v>41</v>
      </c>
    </row>
    <row r="295" spans="1:16" x14ac:dyDescent="0.25">
      <c r="A295" s="1">
        <v>43898.75</v>
      </c>
      <c r="B295" s="2" t="s">
        <v>12</v>
      </c>
      <c r="C295">
        <v>5</v>
      </c>
      <c r="D295" s="2" t="s">
        <v>53</v>
      </c>
      <c r="E295">
        <v>4543490485</v>
      </c>
      <c r="F295">
        <v>1233845213</v>
      </c>
      <c r="G295">
        <v>146</v>
      </c>
      <c r="H295">
        <v>47</v>
      </c>
      <c r="I295">
        <v>193</v>
      </c>
      <c r="J295">
        <v>430</v>
      </c>
      <c r="K295">
        <v>623</v>
      </c>
      <c r="L295">
        <v>118</v>
      </c>
      <c r="M295">
        <v>29</v>
      </c>
      <c r="N295">
        <v>18</v>
      </c>
      <c r="O295">
        <v>670</v>
      </c>
      <c r="P295">
        <v>15918</v>
      </c>
    </row>
    <row r="296" spans="1:16" x14ac:dyDescent="0.25">
      <c r="A296" s="1">
        <v>43899.75</v>
      </c>
      <c r="B296" s="2" t="s">
        <v>12</v>
      </c>
      <c r="C296">
        <v>13</v>
      </c>
      <c r="D296" s="2" t="s">
        <v>33</v>
      </c>
      <c r="E296">
        <v>4235122196</v>
      </c>
      <c r="F296">
        <v>1339843823</v>
      </c>
      <c r="G296">
        <v>25</v>
      </c>
      <c r="H296">
        <v>0</v>
      </c>
      <c r="I296">
        <v>25</v>
      </c>
      <c r="J296">
        <v>5</v>
      </c>
      <c r="K296">
        <v>30</v>
      </c>
      <c r="L296">
        <v>13</v>
      </c>
      <c r="M296">
        <v>0</v>
      </c>
      <c r="N296">
        <v>0</v>
      </c>
      <c r="O296">
        <v>30</v>
      </c>
      <c r="P296">
        <v>237</v>
      </c>
    </row>
    <row r="297" spans="1:16" x14ac:dyDescent="0.25">
      <c r="A297" s="1">
        <v>43899.75</v>
      </c>
      <c r="B297" s="2" t="s">
        <v>12</v>
      </c>
      <c r="C297">
        <v>17</v>
      </c>
      <c r="D297" s="2" t="s">
        <v>34</v>
      </c>
      <c r="E297">
        <v>4063947052</v>
      </c>
      <c r="F297">
        <v>1580514834</v>
      </c>
      <c r="G297">
        <v>2</v>
      </c>
      <c r="H297">
        <v>0</v>
      </c>
      <c r="I297">
        <v>2</v>
      </c>
      <c r="J297">
        <v>3</v>
      </c>
      <c r="K297">
        <v>5</v>
      </c>
      <c r="L297">
        <v>1</v>
      </c>
      <c r="M297">
        <v>0</v>
      </c>
      <c r="N297">
        <v>0</v>
      </c>
      <c r="O297">
        <v>5</v>
      </c>
      <c r="P297">
        <v>135</v>
      </c>
    </row>
    <row r="298" spans="1:16" x14ac:dyDescent="0.25">
      <c r="A298" s="1">
        <v>43899.75</v>
      </c>
      <c r="B298" s="2" t="s">
        <v>12</v>
      </c>
      <c r="C298">
        <v>4</v>
      </c>
      <c r="D298" s="2" t="s">
        <v>35</v>
      </c>
      <c r="E298">
        <v>4649933453</v>
      </c>
      <c r="F298">
        <v>1135662422</v>
      </c>
      <c r="G298">
        <v>8</v>
      </c>
      <c r="H298">
        <v>0</v>
      </c>
      <c r="I298">
        <v>8</v>
      </c>
      <c r="J298">
        <v>1</v>
      </c>
      <c r="K298">
        <v>9</v>
      </c>
      <c r="L298">
        <v>0</v>
      </c>
      <c r="M298">
        <v>0</v>
      </c>
      <c r="N298">
        <v>0</v>
      </c>
      <c r="O298">
        <v>9</v>
      </c>
      <c r="P298">
        <v>36</v>
      </c>
    </row>
    <row r="299" spans="1:16" x14ac:dyDescent="0.25">
      <c r="A299" s="1">
        <v>43899.75</v>
      </c>
      <c r="B299" s="2" t="s">
        <v>12</v>
      </c>
      <c r="C299">
        <v>18</v>
      </c>
      <c r="D299" s="2" t="s">
        <v>36</v>
      </c>
      <c r="E299">
        <v>3810922769</v>
      </c>
      <c r="F299">
        <v>156434527</v>
      </c>
      <c r="G299">
        <v>8</v>
      </c>
      <c r="H299">
        <v>0</v>
      </c>
      <c r="I299">
        <v>8</v>
      </c>
      <c r="J299">
        <v>1</v>
      </c>
      <c r="K299">
        <v>9</v>
      </c>
      <c r="L299">
        <v>0</v>
      </c>
      <c r="M299">
        <v>2</v>
      </c>
      <c r="N299">
        <v>0</v>
      </c>
      <c r="O299">
        <v>11</v>
      </c>
      <c r="P299">
        <v>173</v>
      </c>
    </row>
    <row r="300" spans="1:16" x14ac:dyDescent="0.25">
      <c r="A300" s="1">
        <v>43899.75</v>
      </c>
      <c r="B300" s="2" t="s">
        <v>12</v>
      </c>
      <c r="C300">
        <v>15</v>
      </c>
      <c r="D300" s="2" t="s">
        <v>37</v>
      </c>
      <c r="E300">
        <v>4083956555</v>
      </c>
      <c r="F300">
        <v>1425084984</v>
      </c>
      <c r="G300">
        <v>42</v>
      </c>
      <c r="H300">
        <v>8</v>
      </c>
      <c r="I300">
        <v>50</v>
      </c>
      <c r="J300">
        <v>69</v>
      </c>
      <c r="K300">
        <v>119</v>
      </c>
      <c r="L300">
        <v>19</v>
      </c>
      <c r="M300">
        <v>1</v>
      </c>
      <c r="N300">
        <v>0</v>
      </c>
      <c r="O300">
        <v>120</v>
      </c>
      <c r="P300">
        <v>980</v>
      </c>
    </row>
    <row r="301" spans="1:16" x14ac:dyDescent="0.25">
      <c r="A301" s="1">
        <v>43899.75</v>
      </c>
      <c r="B301" s="2" t="s">
        <v>12</v>
      </c>
      <c r="C301">
        <v>8</v>
      </c>
      <c r="D301" s="2" t="s">
        <v>38</v>
      </c>
      <c r="E301">
        <v>4449436681</v>
      </c>
      <c r="F301">
        <v>113417208</v>
      </c>
      <c r="G301">
        <v>576</v>
      </c>
      <c r="H301">
        <v>90</v>
      </c>
      <c r="I301">
        <v>666</v>
      </c>
      <c r="J301">
        <v>620</v>
      </c>
      <c r="K301">
        <v>1286</v>
      </c>
      <c r="L301">
        <v>189</v>
      </c>
      <c r="M301">
        <v>30</v>
      </c>
      <c r="N301">
        <v>70</v>
      </c>
      <c r="O301">
        <v>1386</v>
      </c>
      <c r="P301">
        <v>4906</v>
      </c>
    </row>
    <row r="302" spans="1:16" x14ac:dyDescent="0.25">
      <c r="A302" s="1">
        <v>43899.75</v>
      </c>
      <c r="B302" s="2" t="s">
        <v>12</v>
      </c>
      <c r="C302">
        <v>6</v>
      </c>
      <c r="D302" s="2" t="s">
        <v>39</v>
      </c>
      <c r="E302">
        <v>456494354</v>
      </c>
      <c r="F302">
        <v>1376813649</v>
      </c>
      <c r="G302">
        <v>18</v>
      </c>
      <c r="H302">
        <v>1</v>
      </c>
      <c r="I302">
        <v>19</v>
      </c>
      <c r="J302">
        <v>70</v>
      </c>
      <c r="K302">
        <v>89</v>
      </c>
      <c r="L302">
        <v>36</v>
      </c>
      <c r="M302">
        <v>3</v>
      </c>
      <c r="N302">
        <v>1</v>
      </c>
      <c r="O302">
        <v>93</v>
      </c>
      <c r="P302">
        <v>1344</v>
      </c>
    </row>
    <row r="303" spans="1:16" x14ac:dyDescent="0.25">
      <c r="A303" s="1">
        <v>43899.75</v>
      </c>
      <c r="B303" s="2" t="s">
        <v>12</v>
      </c>
      <c r="C303">
        <v>12</v>
      </c>
      <c r="D303" s="2" t="s">
        <v>40</v>
      </c>
      <c r="E303">
        <v>4189277044</v>
      </c>
      <c r="F303">
        <v>1248366722</v>
      </c>
      <c r="G303">
        <v>55</v>
      </c>
      <c r="H303">
        <v>8</v>
      </c>
      <c r="I303">
        <v>63</v>
      </c>
      <c r="J303">
        <v>31</v>
      </c>
      <c r="K303">
        <v>94</v>
      </c>
      <c r="L303">
        <v>13</v>
      </c>
      <c r="M303">
        <v>3</v>
      </c>
      <c r="N303">
        <v>5</v>
      </c>
      <c r="O303">
        <v>102</v>
      </c>
      <c r="P303">
        <v>1929</v>
      </c>
    </row>
    <row r="304" spans="1:16" x14ac:dyDescent="0.25">
      <c r="A304" s="1">
        <v>43899.75</v>
      </c>
      <c r="B304" s="2" t="s">
        <v>12</v>
      </c>
      <c r="C304">
        <v>7</v>
      </c>
      <c r="D304" s="2" t="s">
        <v>41</v>
      </c>
      <c r="E304">
        <v>4441149315</v>
      </c>
      <c r="F304">
        <v>89326992</v>
      </c>
      <c r="G304">
        <v>60</v>
      </c>
      <c r="H304">
        <v>17</v>
      </c>
      <c r="I304">
        <v>77</v>
      </c>
      <c r="J304">
        <v>20</v>
      </c>
      <c r="K304">
        <v>97</v>
      </c>
      <c r="L304">
        <v>30</v>
      </c>
      <c r="M304">
        <v>5</v>
      </c>
      <c r="N304">
        <v>7</v>
      </c>
      <c r="O304">
        <v>109</v>
      </c>
      <c r="P304">
        <v>611</v>
      </c>
    </row>
    <row r="305" spans="1:16" x14ac:dyDescent="0.25">
      <c r="A305" s="1">
        <v>43899.75</v>
      </c>
      <c r="B305" s="2" t="s">
        <v>12</v>
      </c>
      <c r="C305">
        <v>3</v>
      </c>
      <c r="D305" s="2" t="s">
        <v>42</v>
      </c>
      <c r="E305">
        <v>4546679409</v>
      </c>
      <c r="F305">
        <v>9190347404</v>
      </c>
      <c r="G305">
        <v>2802</v>
      </c>
      <c r="H305">
        <v>440</v>
      </c>
      <c r="I305">
        <v>3242</v>
      </c>
      <c r="J305">
        <v>1248</v>
      </c>
      <c r="K305">
        <v>4490</v>
      </c>
      <c r="L305">
        <v>1118</v>
      </c>
      <c r="M305">
        <v>646</v>
      </c>
      <c r="N305">
        <v>333</v>
      </c>
      <c r="O305">
        <v>5469</v>
      </c>
      <c r="P305">
        <v>20135</v>
      </c>
    </row>
    <row r="306" spans="1:16" x14ac:dyDescent="0.25">
      <c r="A306" s="1">
        <v>43899.75</v>
      </c>
      <c r="B306" s="2" t="s">
        <v>12</v>
      </c>
      <c r="C306">
        <v>11</v>
      </c>
      <c r="D306" s="2" t="s">
        <v>43</v>
      </c>
      <c r="E306">
        <v>4361675973</v>
      </c>
      <c r="F306">
        <v>135188753</v>
      </c>
      <c r="G306">
        <v>136</v>
      </c>
      <c r="H306">
        <v>47</v>
      </c>
      <c r="I306">
        <v>183</v>
      </c>
      <c r="J306">
        <v>130</v>
      </c>
      <c r="K306">
        <v>313</v>
      </c>
      <c r="L306">
        <v>48</v>
      </c>
      <c r="M306">
        <v>0</v>
      </c>
      <c r="N306">
        <v>10</v>
      </c>
      <c r="O306">
        <v>323</v>
      </c>
      <c r="P306">
        <v>1250</v>
      </c>
    </row>
    <row r="307" spans="1:16" x14ac:dyDescent="0.25">
      <c r="A307" s="1">
        <v>43899.75</v>
      </c>
      <c r="B307" s="2" t="s">
        <v>12</v>
      </c>
      <c r="C307">
        <v>14</v>
      </c>
      <c r="D307" s="2" t="s">
        <v>44</v>
      </c>
      <c r="E307">
        <v>4155774754</v>
      </c>
      <c r="F307">
        <v>1465916051</v>
      </c>
      <c r="G307">
        <v>4</v>
      </c>
      <c r="H307">
        <v>2</v>
      </c>
      <c r="I307">
        <v>6</v>
      </c>
      <c r="J307">
        <v>8</v>
      </c>
      <c r="K307">
        <v>14</v>
      </c>
      <c r="L307">
        <v>0</v>
      </c>
      <c r="M307">
        <v>0</v>
      </c>
      <c r="N307">
        <v>0</v>
      </c>
      <c r="O307">
        <v>14</v>
      </c>
      <c r="P307">
        <v>212</v>
      </c>
    </row>
    <row r="308" spans="1:16" x14ac:dyDescent="0.25">
      <c r="A308" s="1">
        <v>43899.75</v>
      </c>
      <c r="B308" s="2" t="s">
        <v>12</v>
      </c>
      <c r="C308">
        <v>1</v>
      </c>
      <c r="D308" s="2" t="s">
        <v>45</v>
      </c>
      <c r="E308">
        <v>450732745</v>
      </c>
      <c r="F308">
        <v>7680687483</v>
      </c>
      <c r="G308">
        <v>222</v>
      </c>
      <c r="H308">
        <v>50</v>
      </c>
      <c r="I308">
        <v>272</v>
      </c>
      <c r="J308">
        <v>65</v>
      </c>
      <c r="K308">
        <v>337</v>
      </c>
      <c r="L308">
        <v>-18</v>
      </c>
      <c r="M308">
        <v>0</v>
      </c>
      <c r="N308">
        <v>13</v>
      </c>
      <c r="O308">
        <v>350</v>
      </c>
      <c r="P308">
        <v>1681</v>
      </c>
    </row>
    <row r="309" spans="1:16" x14ac:dyDescent="0.25">
      <c r="A309" s="1">
        <v>43899.75</v>
      </c>
      <c r="B309" s="2" t="s">
        <v>12</v>
      </c>
      <c r="C309">
        <v>16</v>
      </c>
      <c r="D309" s="2" t="s">
        <v>46</v>
      </c>
      <c r="E309">
        <v>4112559576</v>
      </c>
      <c r="F309">
        <v>1686736689</v>
      </c>
      <c r="G309">
        <v>20</v>
      </c>
      <c r="H309">
        <v>6</v>
      </c>
      <c r="I309">
        <v>26</v>
      </c>
      <c r="J309">
        <v>20</v>
      </c>
      <c r="K309">
        <v>46</v>
      </c>
      <c r="L309">
        <v>10</v>
      </c>
      <c r="M309">
        <v>1</v>
      </c>
      <c r="N309">
        <v>3</v>
      </c>
      <c r="O309">
        <v>50</v>
      </c>
      <c r="P309">
        <v>685</v>
      </c>
    </row>
    <row r="310" spans="1:16" x14ac:dyDescent="0.25">
      <c r="A310" s="1">
        <v>43899.75</v>
      </c>
      <c r="B310" s="2" t="s">
        <v>12</v>
      </c>
      <c r="C310">
        <v>20</v>
      </c>
      <c r="D310" s="2" t="s">
        <v>47</v>
      </c>
      <c r="E310">
        <v>3921531192</v>
      </c>
      <c r="F310">
        <v>9110616306</v>
      </c>
      <c r="G310">
        <v>8</v>
      </c>
      <c r="H310">
        <v>0</v>
      </c>
      <c r="I310">
        <v>8</v>
      </c>
      <c r="J310">
        <v>11</v>
      </c>
      <c r="K310">
        <v>19</v>
      </c>
      <c r="L310">
        <v>8</v>
      </c>
      <c r="M310">
        <v>0</v>
      </c>
      <c r="N310">
        <v>0</v>
      </c>
      <c r="O310">
        <v>19</v>
      </c>
      <c r="P310">
        <v>185</v>
      </c>
    </row>
    <row r="311" spans="1:16" x14ac:dyDescent="0.25">
      <c r="A311" s="1">
        <v>43899.75</v>
      </c>
      <c r="B311" s="2" t="s">
        <v>12</v>
      </c>
      <c r="C311">
        <v>19</v>
      </c>
      <c r="D311" s="2" t="s">
        <v>48</v>
      </c>
      <c r="E311">
        <v>3811569725</v>
      </c>
      <c r="F311">
        <v>133623567</v>
      </c>
      <c r="G311">
        <v>19</v>
      </c>
      <c r="H311">
        <v>0</v>
      </c>
      <c r="I311">
        <v>19</v>
      </c>
      <c r="J311">
        <v>33</v>
      </c>
      <c r="K311">
        <v>52</v>
      </c>
      <c r="L311">
        <v>1</v>
      </c>
      <c r="M311">
        <v>2</v>
      </c>
      <c r="N311">
        <v>0</v>
      </c>
      <c r="O311">
        <v>54</v>
      </c>
      <c r="P311">
        <v>836</v>
      </c>
    </row>
    <row r="312" spans="1:16" x14ac:dyDescent="0.25">
      <c r="A312" s="1">
        <v>43899.75</v>
      </c>
      <c r="B312" s="2" t="s">
        <v>12</v>
      </c>
      <c r="C312">
        <v>9</v>
      </c>
      <c r="D312" s="2" t="s">
        <v>49</v>
      </c>
      <c r="E312">
        <v>4376923077</v>
      </c>
      <c r="F312">
        <v>1125588885</v>
      </c>
      <c r="G312">
        <v>107</v>
      </c>
      <c r="H312">
        <v>9</v>
      </c>
      <c r="I312">
        <v>116</v>
      </c>
      <c r="J312">
        <v>90</v>
      </c>
      <c r="K312">
        <v>206</v>
      </c>
      <c r="L312">
        <v>41</v>
      </c>
      <c r="M312">
        <v>1</v>
      </c>
      <c r="N312">
        <v>1</v>
      </c>
      <c r="O312">
        <v>208</v>
      </c>
      <c r="P312">
        <v>2018</v>
      </c>
    </row>
    <row r="313" spans="1:16" x14ac:dyDescent="0.25">
      <c r="A313" s="1">
        <v>43899.75</v>
      </c>
      <c r="B313" s="2" t="s">
        <v>12</v>
      </c>
      <c r="C313">
        <v>4</v>
      </c>
      <c r="D313" s="2" t="s">
        <v>50</v>
      </c>
      <c r="E313">
        <v>4606893511</v>
      </c>
      <c r="F313">
        <v>1112123097</v>
      </c>
      <c r="G313">
        <v>10</v>
      </c>
      <c r="H313">
        <v>2</v>
      </c>
      <c r="I313">
        <v>12</v>
      </c>
      <c r="J313">
        <v>21</v>
      </c>
      <c r="K313">
        <v>33</v>
      </c>
      <c r="L313">
        <v>10</v>
      </c>
      <c r="M313">
        <v>0</v>
      </c>
      <c r="N313">
        <v>0</v>
      </c>
      <c r="O313">
        <v>33</v>
      </c>
      <c r="P313">
        <v>267</v>
      </c>
    </row>
    <row r="314" spans="1:16" x14ac:dyDescent="0.25">
      <c r="A314" s="1">
        <v>43899.75</v>
      </c>
      <c r="B314" s="2" t="s">
        <v>12</v>
      </c>
      <c r="C314">
        <v>10</v>
      </c>
      <c r="D314" s="2" t="s">
        <v>51</v>
      </c>
      <c r="E314">
        <v>4310675841</v>
      </c>
      <c r="F314">
        <v>1238824698</v>
      </c>
      <c r="G314">
        <v>4</v>
      </c>
      <c r="H314">
        <v>2</v>
      </c>
      <c r="I314">
        <v>6</v>
      </c>
      <c r="J314">
        <v>22</v>
      </c>
      <c r="K314">
        <v>28</v>
      </c>
      <c r="L314">
        <v>2</v>
      </c>
      <c r="M314">
        <v>0</v>
      </c>
      <c r="N314">
        <v>0</v>
      </c>
      <c r="O314">
        <v>28</v>
      </c>
      <c r="P314">
        <v>183</v>
      </c>
    </row>
    <row r="315" spans="1:16" x14ac:dyDescent="0.25">
      <c r="A315" s="1">
        <v>43899.75</v>
      </c>
      <c r="B315" s="2" t="s">
        <v>12</v>
      </c>
      <c r="C315">
        <v>2</v>
      </c>
      <c r="D315" s="2" t="s">
        <v>52</v>
      </c>
      <c r="E315">
        <v>4573750286</v>
      </c>
      <c r="F315">
        <v>7320149366</v>
      </c>
      <c r="G315">
        <v>4</v>
      </c>
      <c r="H315">
        <v>0</v>
      </c>
      <c r="I315">
        <v>4</v>
      </c>
      <c r="J315">
        <v>11</v>
      </c>
      <c r="K315">
        <v>15</v>
      </c>
      <c r="L315">
        <v>6</v>
      </c>
      <c r="M315">
        <v>0</v>
      </c>
      <c r="N315">
        <v>0</v>
      </c>
      <c r="O315">
        <v>15</v>
      </c>
      <c r="P315">
        <v>67</v>
      </c>
    </row>
    <row r="316" spans="1:16" x14ac:dyDescent="0.25">
      <c r="A316" s="1">
        <v>43899.75</v>
      </c>
      <c r="B316" s="2" t="s">
        <v>12</v>
      </c>
      <c r="C316">
        <v>5</v>
      </c>
      <c r="D316" s="2" t="s">
        <v>53</v>
      </c>
      <c r="E316">
        <v>4543490485</v>
      </c>
      <c r="F316">
        <v>1233845213</v>
      </c>
      <c r="G316">
        <v>186</v>
      </c>
      <c r="H316">
        <v>51</v>
      </c>
      <c r="I316">
        <v>237</v>
      </c>
      <c r="J316">
        <v>457</v>
      </c>
      <c r="K316">
        <v>694</v>
      </c>
      <c r="L316">
        <v>71</v>
      </c>
      <c r="M316">
        <v>30</v>
      </c>
      <c r="N316">
        <v>20</v>
      </c>
      <c r="O316">
        <v>744</v>
      </c>
      <c r="P316">
        <v>15956</v>
      </c>
    </row>
    <row r="317" spans="1:16" x14ac:dyDescent="0.25">
      <c r="A317" s="1">
        <v>43900.75</v>
      </c>
      <c r="B317" s="2" t="s">
        <v>12</v>
      </c>
      <c r="C317">
        <v>13</v>
      </c>
      <c r="D317" s="2" t="s">
        <v>33</v>
      </c>
      <c r="E317">
        <v>4235122196</v>
      </c>
      <c r="F317">
        <v>1339843823</v>
      </c>
      <c r="G317">
        <v>17</v>
      </c>
      <c r="H317">
        <v>9</v>
      </c>
      <c r="I317">
        <v>26</v>
      </c>
      <c r="J317">
        <v>11</v>
      </c>
      <c r="K317">
        <v>37</v>
      </c>
      <c r="L317">
        <v>7</v>
      </c>
      <c r="M317">
        <v>0</v>
      </c>
      <c r="N317">
        <v>1</v>
      </c>
      <c r="O317">
        <v>38</v>
      </c>
      <c r="P317">
        <v>310</v>
      </c>
    </row>
    <row r="318" spans="1:16" x14ac:dyDescent="0.25">
      <c r="A318" s="1">
        <v>43900.75</v>
      </c>
      <c r="B318" s="2" t="s">
        <v>12</v>
      </c>
      <c r="C318">
        <v>17</v>
      </c>
      <c r="D318" s="2" t="s">
        <v>34</v>
      </c>
      <c r="E318">
        <v>4063947052</v>
      </c>
      <c r="F318">
        <v>1580514834</v>
      </c>
      <c r="G318">
        <v>2</v>
      </c>
      <c r="H318">
        <v>0</v>
      </c>
      <c r="I318">
        <v>2</v>
      </c>
      <c r="J318">
        <v>5</v>
      </c>
      <c r="K318">
        <v>7</v>
      </c>
      <c r="L318">
        <v>2</v>
      </c>
      <c r="M318">
        <v>0</v>
      </c>
      <c r="N318">
        <v>0</v>
      </c>
      <c r="O318">
        <v>7</v>
      </c>
      <c r="P318">
        <v>148</v>
      </c>
    </row>
    <row r="319" spans="1:16" x14ac:dyDescent="0.25">
      <c r="A319" s="1">
        <v>43900.75</v>
      </c>
      <c r="B319" s="2" t="s">
        <v>12</v>
      </c>
      <c r="C319">
        <v>4</v>
      </c>
      <c r="D319" s="2" t="s">
        <v>35</v>
      </c>
      <c r="E319">
        <v>4649933453</v>
      </c>
      <c r="F319">
        <v>1135662422</v>
      </c>
      <c r="G319">
        <v>17</v>
      </c>
      <c r="H319">
        <v>1</v>
      </c>
      <c r="I319">
        <v>18</v>
      </c>
      <c r="J319">
        <v>20</v>
      </c>
      <c r="K319">
        <v>38</v>
      </c>
      <c r="L319">
        <v>29</v>
      </c>
      <c r="M319">
        <v>0</v>
      </c>
      <c r="N319">
        <v>0</v>
      </c>
      <c r="O319">
        <v>38</v>
      </c>
      <c r="P319">
        <v>36</v>
      </c>
    </row>
    <row r="320" spans="1:16" x14ac:dyDescent="0.25">
      <c r="A320" s="1">
        <v>43900.75</v>
      </c>
      <c r="B320" s="2" t="s">
        <v>12</v>
      </c>
      <c r="C320">
        <v>18</v>
      </c>
      <c r="D320" s="2" t="s">
        <v>36</v>
      </c>
      <c r="E320">
        <v>3810922769</v>
      </c>
      <c r="F320">
        <v>156434527</v>
      </c>
      <c r="G320">
        <v>8</v>
      </c>
      <c r="H320">
        <v>2</v>
      </c>
      <c r="I320">
        <v>10</v>
      </c>
      <c r="J320">
        <v>1</v>
      </c>
      <c r="K320">
        <v>11</v>
      </c>
      <c r="L320">
        <v>2</v>
      </c>
      <c r="M320">
        <v>2</v>
      </c>
      <c r="N320">
        <v>0</v>
      </c>
      <c r="O320">
        <v>13</v>
      </c>
      <c r="P320">
        <v>360</v>
      </c>
    </row>
    <row r="321" spans="1:16" x14ac:dyDescent="0.25">
      <c r="A321" s="1">
        <v>43900.75</v>
      </c>
      <c r="B321" s="2" t="s">
        <v>12</v>
      </c>
      <c r="C321">
        <v>15</v>
      </c>
      <c r="D321" s="2" t="s">
        <v>37</v>
      </c>
      <c r="E321">
        <v>4083956555</v>
      </c>
      <c r="F321">
        <v>1425084984</v>
      </c>
      <c r="G321">
        <v>33</v>
      </c>
      <c r="H321">
        <v>8</v>
      </c>
      <c r="I321">
        <v>41</v>
      </c>
      <c r="J321">
        <v>85</v>
      </c>
      <c r="K321">
        <v>126</v>
      </c>
      <c r="L321">
        <v>7</v>
      </c>
      <c r="M321">
        <v>1</v>
      </c>
      <c r="N321">
        <v>0</v>
      </c>
      <c r="O321">
        <v>127</v>
      </c>
      <c r="P321">
        <v>1141</v>
      </c>
    </row>
    <row r="322" spans="1:16" x14ac:dyDescent="0.25">
      <c r="A322" s="1">
        <v>43900.75</v>
      </c>
      <c r="B322" s="2" t="s">
        <v>12</v>
      </c>
      <c r="C322">
        <v>8</v>
      </c>
      <c r="D322" s="2" t="s">
        <v>38</v>
      </c>
      <c r="E322">
        <v>4449436681</v>
      </c>
      <c r="F322">
        <v>113417208</v>
      </c>
      <c r="G322">
        <v>669</v>
      </c>
      <c r="H322">
        <v>98</v>
      </c>
      <c r="I322">
        <v>767</v>
      </c>
      <c r="J322">
        <v>650</v>
      </c>
      <c r="K322">
        <v>1417</v>
      </c>
      <c r="L322">
        <v>131</v>
      </c>
      <c r="M322">
        <v>31</v>
      </c>
      <c r="N322">
        <v>85</v>
      </c>
      <c r="O322">
        <v>1533</v>
      </c>
      <c r="P322">
        <v>5494</v>
      </c>
    </row>
    <row r="323" spans="1:16" x14ac:dyDescent="0.25">
      <c r="A323" s="1">
        <v>43900.75</v>
      </c>
      <c r="B323" s="2" t="s">
        <v>12</v>
      </c>
      <c r="C323">
        <v>6</v>
      </c>
      <c r="D323" s="2" t="s">
        <v>39</v>
      </c>
      <c r="E323">
        <v>456494354</v>
      </c>
      <c r="F323">
        <v>1376813649</v>
      </c>
      <c r="G323">
        <v>27</v>
      </c>
      <c r="H323">
        <v>6</v>
      </c>
      <c r="I323">
        <v>33</v>
      </c>
      <c r="J323">
        <v>77</v>
      </c>
      <c r="K323">
        <v>110</v>
      </c>
      <c r="L323">
        <v>21</v>
      </c>
      <c r="M323">
        <v>3</v>
      </c>
      <c r="N323">
        <v>3</v>
      </c>
      <c r="O323">
        <v>116</v>
      </c>
      <c r="P323">
        <v>1602</v>
      </c>
    </row>
    <row r="324" spans="1:16" x14ac:dyDescent="0.25">
      <c r="A324" s="1">
        <v>43900.75</v>
      </c>
      <c r="B324" s="2" t="s">
        <v>12</v>
      </c>
      <c r="C324">
        <v>12</v>
      </c>
      <c r="D324" s="2" t="s">
        <v>40</v>
      </c>
      <c r="E324">
        <v>4189277044</v>
      </c>
      <c r="F324">
        <v>1248366722</v>
      </c>
      <c r="G324">
        <v>50</v>
      </c>
      <c r="H324">
        <v>15</v>
      </c>
      <c r="I324">
        <v>65</v>
      </c>
      <c r="J324">
        <v>34</v>
      </c>
      <c r="K324">
        <v>99</v>
      </c>
      <c r="L324">
        <v>5</v>
      </c>
      <c r="M324">
        <v>11</v>
      </c>
      <c r="N324">
        <v>6</v>
      </c>
      <c r="O324">
        <v>116</v>
      </c>
      <c r="P324">
        <v>3591</v>
      </c>
    </row>
    <row r="325" spans="1:16" x14ac:dyDescent="0.25">
      <c r="A325" s="1">
        <v>43900.75</v>
      </c>
      <c r="B325" s="2" t="s">
        <v>12</v>
      </c>
      <c r="C325">
        <v>7</v>
      </c>
      <c r="D325" s="2" t="s">
        <v>41</v>
      </c>
      <c r="E325">
        <v>4441149315</v>
      </c>
      <c r="F325">
        <v>89326992</v>
      </c>
      <c r="G325">
        <v>57</v>
      </c>
      <c r="H325">
        <v>29</v>
      </c>
      <c r="I325">
        <v>86</v>
      </c>
      <c r="J325">
        <v>42</v>
      </c>
      <c r="K325">
        <v>128</v>
      </c>
      <c r="L325">
        <v>31</v>
      </c>
      <c r="M325">
        <v>5</v>
      </c>
      <c r="N325">
        <v>8</v>
      </c>
      <c r="O325">
        <v>141</v>
      </c>
      <c r="P325">
        <v>694</v>
      </c>
    </row>
    <row r="326" spans="1:16" x14ac:dyDescent="0.25">
      <c r="A326" s="1">
        <v>43900.75</v>
      </c>
      <c r="B326" s="2" t="s">
        <v>12</v>
      </c>
      <c r="C326">
        <v>3</v>
      </c>
      <c r="D326" s="2" t="s">
        <v>42</v>
      </c>
      <c r="E326">
        <v>4546679409</v>
      </c>
      <c r="F326">
        <v>9190347404</v>
      </c>
      <c r="G326">
        <v>3319</v>
      </c>
      <c r="H326">
        <v>466</v>
      </c>
      <c r="I326">
        <v>3785</v>
      </c>
      <c r="J326">
        <v>642</v>
      </c>
      <c r="K326">
        <v>4427</v>
      </c>
      <c r="L326">
        <v>-63</v>
      </c>
      <c r="M326">
        <v>896</v>
      </c>
      <c r="N326">
        <v>468</v>
      </c>
      <c r="O326">
        <v>5791</v>
      </c>
      <c r="P326">
        <v>21479</v>
      </c>
    </row>
    <row r="327" spans="1:16" x14ac:dyDescent="0.25">
      <c r="A327" s="1">
        <v>43900.75</v>
      </c>
      <c r="B327" s="2" t="s">
        <v>12</v>
      </c>
      <c r="C327">
        <v>11</v>
      </c>
      <c r="D327" s="2" t="s">
        <v>43</v>
      </c>
      <c r="E327">
        <v>4361675973</v>
      </c>
      <c r="F327">
        <v>135188753</v>
      </c>
      <c r="G327">
        <v>152</v>
      </c>
      <c r="H327">
        <v>54</v>
      </c>
      <c r="I327">
        <v>206</v>
      </c>
      <c r="J327">
        <v>175</v>
      </c>
      <c r="K327">
        <v>381</v>
      </c>
      <c r="L327">
        <v>68</v>
      </c>
      <c r="M327">
        <v>0</v>
      </c>
      <c r="N327">
        <v>13</v>
      </c>
      <c r="O327">
        <v>394</v>
      </c>
      <c r="P327">
        <v>1437</v>
      </c>
    </row>
    <row r="328" spans="1:16" x14ac:dyDescent="0.25">
      <c r="A328" s="1">
        <v>43900.75</v>
      </c>
      <c r="B328" s="2" t="s">
        <v>12</v>
      </c>
      <c r="C328">
        <v>14</v>
      </c>
      <c r="D328" s="2" t="s">
        <v>44</v>
      </c>
      <c r="E328">
        <v>4155774754</v>
      </c>
      <c r="F328">
        <v>1465916051</v>
      </c>
      <c r="G328">
        <v>3</v>
      </c>
      <c r="H328">
        <v>3</v>
      </c>
      <c r="I328">
        <v>6</v>
      </c>
      <c r="J328">
        <v>9</v>
      </c>
      <c r="K328">
        <v>15</v>
      </c>
      <c r="L328">
        <v>1</v>
      </c>
      <c r="M328">
        <v>0</v>
      </c>
      <c r="N328">
        <v>0</v>
      </c>
      <c r="O328">
        <v>15</v>
      </c>
      <c r="P328">
        <v>225</v>
      </c>
    </row>
    <row r="329" spans="1:16" x14ac:dyDescent="0.25">
      <c r="A329" s="1">
        <v>43900.75</v>
      </c>
      <c r="B329" s="2" t="s">
        <v>12</v>
      </c>
      <c r="C329">
        <v>1</v>
      </c>
      <c r="D329" s="2" t="s">
        <v>45</v>
      </c>
      <c r="E329">
        <v>450732745</v>
      </c>
      <c r="F329">
        <v>7680687483</v>
      </c>
      <c r="G329">
        <v>306</v>
      </c>
      <c r="H329">
        <v>66</v>
      </c>
      <c r="I329">
        <v>372</v>
      </c>
      <c r="J329">
        <v>64</v>
      </c>
      <c r="K329">
        <v>436</v>
      </c>
      <c r="L329">
        <v>99</v>
      </c>
      <c r="M329">
        <v>0</v>
      </c>
      <c r="N329">
        <v>17</v>
      </c>
      <c r="O329">
        <v>453</v>
      </c>
      <c r="P329">
        <v>2374</v>
      </c>
    </row>
    <row r="330" spans="1:16" x14ac:dyDescent="0.25">
      <c r="A330" s="1">
        <v>43900.75</v>
      </c>
      <c r="B330" s="2" t="s">
        <v>12</v>
      </c>
      <c r="C330">
        <v>16</v>
      </c>
      <c r="D330" s="2" t="s">
        <v>46</v>
      </c>
      <c r="E330">
        <v>4112559576</v>
      </c>
      <c r="F330">
        <v>1686736689</v>
      </c>
      <c r="G330">
        <v>28</v>
      </c>
      <c r="H330">
        <v>6</v>
      </c>
      <c r="I330">
        <v>34</v>
      </c>
      <c r="J330">
        <v>21</v>
      </c>
      <c r="K330">
        <v>55</v>
      </c>
      <c r="L330">
        <v>9</v>
      </c>
      <c r="M330">
        <v>1</v>
      </c>
      <c r="N330">
        <v>3</v>
      </c>
      <c r="O330">
        <v>59</v>
      </c>
      <c r="P330">
        <v>747</v>
      </c>
    </row>
    <row r="331" spans="1:16" x14ac:dyDescent="0.25">
      <c r="A331" s="1">
        <v>43900.75</v>
      </c>
      <c r="B331" s="2" t="s">
        <v>12</v>
      </c>
      <c r="C331">
        <v>20</v>
      </c>
      <c r="D331" s="2" t="s">
        <v>47</v>
      </c>
      <c r="E331">
        <v>3921531192</v>
      </c>
      <c r="F331">
        <v>9110616306</v>
      </c>
      <c r="G331">
        <v>9</v>
      </c>
      <c r="H331">
        <v>0</v>
      </c>
      <c r="I331">
        <v>9</v>
      </c>
      <c r="J331">
        <v>11</v>
      </c>
      <c r="K331">
        <v>20</v>
      </c>
      <c r="L331">
        <v>1</v>
      </c>
      <c r="M331">
        <v>0</v>
      </c>
      <c r="N331">
        <v>0</v>
      </c>
      <c r="O331">
        <v>20</v>
      </c>
      <c r="P331">
        <v>204</v>
      </c>
    </row>
    <row r="332" spans="1:16" x14ac:dyDescent="0.25">
      <c r="A332" s="1">
        <v>43900.75</v>
      </c>
      <c r="B332" s="2" t="s">
        <v>12</v>
      </c>
      <c r="C332">
        <v>19</v>
      </c>
      <c r="D332" s="2" t="s">
        <v>48</v>
      </c>
      <c r="E332">
        <v>3811569725</v>
      </c>
      <c r="F332">
        <v>133623567</v>
      </c>
      <c r="G332">
        <v>17</v>
      </c>
      <c r="H332">
        <v>2</v>
      </c>
      <c r="I332">
        <v>19</v>
      </c>
      <c r="J332">
        <v>41</v>
      </c>
      <c r="K332">
        <v>60</v>
      </c>
      <c r="L332">
        <v>8</v>
      </c>
      <c r="M332">
        <v>2</v>
      </c>
      <c r="N332">
        <v>0</v>
      </c>
      <c r="O332">
        <v>62</v>
      </c>
      <c r="P332">
        <v>955</v>
      </c>
    </row>
    <row r="333" spans="1:16" x14ac:dyDescent="0.25">
      <c r="A333" s="1">
        <v>43900.75</v>
      </c>
      <c r="B333" s="2" t="s">
        <v>12</v>
      </c>
      <c r="C333">
        <v>9</v>
      </c>
      <c r="D333" s="2" t="s">
        <v>49</v>
      </c>
      <c r="E333">
        <v>4376923077</v>
      </c>
      <c r="F333">
        <v>1125588885</v>
      </c>
      <c r="G333">
        <v>91</v>
      </c>
      <c r="H333">
        <v>40</v>
      </c>
      <c r="I333">
        <v>131</v>
      </c>
      <c r="J333">
        <v>129</v>
      </c>
      <c r="K333">
        <v>260</v>
      </c>
      <c r="L333">
        <v>54</v>
      </c>
      <c r="M333">
        <v>3</v>
      </c>
      <c r="N333">
        <v>1</v>
      </c>
      <c r="O333">
        <v>264</v>
      </c>
      <c r="P333">
        <v>2573</v>
      </c>
    </row>
    <row r="334" spans="1:16" x14ac:dyDescent="0.25">
      <c r="A334" s="1">
        <v>43900.75</v>
      </c>
      <c r="B334" s="2" t="s">
        <v>12</v>
      </c>
      <c r="C334">
        <v>4</v>
      </c>
      <c r="D334" s="2" t="s">
        <v>50</v>
      </c>
      <c r="E334">
        <v>4606893511</v>
      </c>
      <c r="F334">
        <v>1112123097</v>
      </c>
      <c r="G334">
        <v>19</v>
      </c>
      <c r="H334">
        <v>3</v>
      </c>
      <c r="I334">
        <v>22</v>
      </c>
      <c r="J334">
        <v>28</v>
      </c>
      <c r="K334">
        <v>50</v>
      </c>
      <c r="L334">
        <v>17</v>
      </c>
      <c r="M334">
        <v>2</v>
      </c>
      <c r="N334">
        <v>0</v>
      </c>
      <c r="O334">
        <v>52</v>
      </c>
      <c r="P334">
        <v>399</v>
      </c>
    </row>
    <row r="335" spans="1:16" x14ac:dyDescent="0.25">
      <c r="A335" s="1">
        <v>43900.75</v>
      </c>
      <c r="B335" s="2" t="s">
        <v>12</v>
      </c>
      <c r="C335">
        <v>10</v>
      </c>
      <c r="D335" s="2" t="s">
        <v>51</v>
      </c>
      <c r="E335">
        <v>4310675841</v>
      </c>
      <c r="F335">
        <v>1238824698</v>
      </c>
      <c r="G335">
        <v>8</v>
      </c>
      <c r="H335">
        <v>2</v>
      </c>
      <c r="I335">
        <v>10</v>
      </c>
      <c r="J335">
        <v>27</v>
      </c>
      <c r="K335">
        <v>37</v>
      </c>
      <c r="L335">
        <v>9</v>
      </c>
      <c r="M335">
        <v>0</v>
      </c>
      <c r="N335">
        <v>0</v>
      </c>
      <c r="O335">
        <v>37</v>
      </c>
      <c r="P335">
        <v>260</v>
      </c>
    </row>
    <row r="336" spans="1:16" x14ac:dyDescent="0.25">
      <c r="A336" s="1">
        <v>43900.75</v>
      </c>
      <c r="B336" s="2" t="s">
        <v>12</v>
      </c>
      <c r="C336">
        <v>2</v>
      </c>
      <c r="D336" s="2" t="s">
        <v>52</v>
      </c>
      <c r="E336">
        <v>4573750286</v>
      </c>
      <c r="F336">
        <v>7320149366</v>
      </c>
      <c r="G336">
        <v>2</v>
      </c>
      <c r="H336">
        <v>0</v>
      </c>
      <c r="I336">
        <v>2</v>
      </c>
      <c r="J336">
        <v>15</v>
      </c>
      <c r="K336">
        <v>17</v>
      </c>
      <c r="L336">
        <v>2</v>
      </c>
      <c r="M336">
        <v>0</v>
      </c>
      <c r="N336">
        <v>0</v>
      </c>
      <c r="O336">
        <v>17</v>
      </c>
      <c r="P336">
        <v>89</v>
      </c>
    </row>
    <row r="337" spans="1:16" x14ac:dyDescent="0.25">
      <c r="A337" s="1">
        <v>43900.75</v>
      </c>
      <c r="B337" s="2" t="s">
        <v>12</v>
      </c>
      <c r="C337">
        <v>5</v>
      </c>
      <c r="D337" s="2" t="s">
        <v>53</v>
      </c>
      <c r="E337">
        <v>4543490485</v>
      </c>
      <c r="F337">
        <v>1233845213</v>
      </c>
      <c r="G337">
        <v>204</v>
      </c>
      <c r="H337">
        <v>67</v>
      </c>
      <c r="I337">
        <v>271</v>
      </c>
      <c r="J337">
        <v>512</v>
      </c>
      <c r="K337">
        <v>783</v>
      </c>
      <c r="L337">
        <v>89</v>
      </c>
      <c r="M337">
        <v>47</v>
      </c>
      <c r="N337">
        <v>26</v>
      </c>
      <c r="O337">
        <v>856</v>
      </c>
      <c r="P337">
        <v>16643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9B689-4B85-4885-AD7A-5721550C2697}">
  <dimension ref="A2:Q48"/>
  <sheetViews>
    <sheetView topLeftCell="A20" workbookViewId="0">
      <selection activeCell="F29" sqref="F29:F48"/>
    </sheetView>
  </sheetViews>
  <sheetFormatPr defaultRowHeight="15" x14ac:dyDescent="0.25"/>
  <cols>
    <col min="1" max="1" width="16.5703125" customWidth="1"/>
    <col min="2" max="2" width="19" bestFit="1" customWidth="1"/>
    <col min="3" max="3" width="21.5703125" bestFit="1" customWidth="1"/>
    <col min="4" max="4" width="25.7109375" bestFit="1" customWidth="1"/>
    <col min="5" max="5" width="19.7109375" bestFit="1" customWidth="1"/>
    <col min="6" max="6" width="37.28515625" bestFit="1" customWidth="1"/>
    <col min="7" max="7" width="12" bestFit="1" customWidth="1"/>
    <col min="8" max="8" width="8.42578125" bestFit="1" customWidth="1"/>
    <col min="9" max="9" width="9.7109375" bestFit="1" customWidth="1"/>
    <col min="10" max="10" width="21.140625" bestFit="1" customWidth="1"/>
    <col min="11" max="11" width="17.28515625" bestFit="1" customWidth="1"/>
    <col min="12" max="12" width="11.5703125" bestFit="1" customWidth="1"/>
    <col min="13" max="13" width="21.140625" bestFit="1" customWidth="1"/>
    <col min="14" max="14" width="17.28515625" bestFit="1" customWidth="1"/>
    <col min="15" max="15" width="18.7109375" bestFit="1" customWidth="1"/>
    <col min="16" max="16" width="14.5703125" bestFit="1" customWidth="1"/>
    <col min="17" max="17" width="12.7109375" bestFit="1" customWidth="1"/>
    <col min="18" max="30" width="15.85546875" bestFit="1" customWidth="1"/>
    <col min="31" max="31" width="18.28515625" bestFit="1" customWidth="1"/>
  </cols>
  <sheetData>
    <row r="2" spans="1:17" x14ac:dyDescent="0.25">
      <c r="B2" t="s">
        <v>16</v>
      </c>
      <c r="D2" t="s">
        <v>23</v>
      </c>
      <c r="F2" t="s">
        <v>24</v>
      </c>
      <c r="H2" t="s">
        <v>15</v>
      </c>
    </row>
    <row r="3" spans="1:17" x14ac:dyDescent="0.25">
      <c r="A3" s="2"/>
      <c r="B3" s="2">
        <v>10149</v>
      </c>
      <c r="D3" s="2">
        <v>1004</v>
      </c>
      <c r="F3" s="2">
        <v>631</v>
      </c>
      <c r="H3" s="2">
        <v>8514</v>
      </c>
    </row>
    <row r="4" spans="1:17" x14ac:dyDescent="0.25">
      <c r="A4" s="2"/>
    </row>
    <row r="5" spans="1:17" x14ac:dyDescent="0.25">
      <c r="A5" s="2"/>
      <c r="B5" s="3" t="s">
        <v>13</v>
      </c>
      <c r="C5" t="s">
        <v>16</v>
      </c>
      <c r="F5" s="8" t="s">
        <v>13</v>
      </c>
      <c r="G5" t="s">
        <v>60</v>
      </c>
      <c r="H5" t="s">
        <v>25</v>
      </c>
      <c r="I5" t="s">
        <v>14</v>
      </c>
      <c r="K5" s="8" t="s">
        <v>13</v>
      </c>
      <c r="L5" t="s">
        <v>61</v>
      </c>
      <c r="N5" s="8" t="s">
        <v>13</v>
      </c>
      <c r="O5" t="s">
        <v>62</v>
      </c>
      <c r="P5" t="s">
        <v>63</v>
      </c>
      <c r="Q5" t="s">
        <v>64</v>
      </c>
    </row>
    <row r="6" spans="1:17" x14ac:dyDescent="0.25">
      <c r="A6" s="2"/>
      <c r="B6" s="4" t="s">
        <v>33</v>
      </c>
      <c r="C6" s="2">
        <v>38</v>
      </c>
      <c r="F6" s="6">
        <v>43885.75</v>
      </c>
      <c r="G6" s="2">
        <v>229</v>
      </c>
      <c r="H6" s="2">
        <v>1</v>
      </c>
      <c r="I6" s="2">
        <v>7</v>
      </c>
      <c r="K6" s="6">
        <v>43885.75</v>
      </c>
      <c r="L6" s="2">
        <v>221</v>
      </c>
      <c r="N6" s="6">
        <v>43885.75</v>
      </c>
      <c r="O6" s="2">
        <v>26</v>
      </c>
      <c r="P6" s="2">
        <v>127</v>
      </c>
      <c r="Q6" s="2">
        <v>94</v>
      </c>
    </row>
    <row r="7" spans="1:17" x14ac:dyDescent="0.25">
      <c r="A7" s="2"/>
      <c r="B7" s="4" t="s">
        <v>34</v>
      </c>
      <c r="C7" s="2">
        <v>7</v>
      </c>
      <c r="F7" s="6">
        <v>43886.75</v>
      </c>
      <c r="G7" s="2">
        <v>322</v>
      </c>
      <c r="H7" s="2">
        <v>1</v>
      </c>
      <c r="I7" s="2">
        <v>10</v>
      </c>
      <c r="K7" s="6">
        <v>43886.75</v>
      </c>
      <c r="L7" s="2">
        <v>90</v>
      </c>
      <c r="N7" s="6">
        <v>43886.75</v>
      </c>
      <c r="O7" s="2">
        <v>35</v>
      </c>
      <c r="P7" s="2">
        <v>150</v>
      </c>
      <c r="Q7" s="2">
        <v>162</v>
      </c>
    </row>
    <row r="8" spans="1:17" x14ac:dyDescent="0.25">
      <c r="A8" s="2"/>
      <c r="B8" s="4" t="s">
        <v>36</v>
      </c>
      <c r="C8" s="2">
        <v>13</v>
      </c>
      <c r="F8" s="6">
        <v>43887.75</v>
      </c>
      <c r="G8" s="2">
        <v>400</v>
      </c>
      <c r="H8" s="2">
        <v>3</v>
      </c>
      <c r="I8" s="2">
        <v>12</v>
      </c>
      <c r="K8" s="6">
        <v>43887.75</v>
      </c>
      <c r="L8" s="2">
        <v>74</v>
      </c>
      <c r="N8" s="6">
        <v>43887.75</v>
      </c>
      <c r="O8" s="2">
        <v>36</v>
      </c>
      <c r="P8" s="2">
        <v>164</v>
      </c>
      <c r="Q8" s="2">
        <v>221</v>
      </c>
    </row>
    <row r="9" spans="1:17" x14ac:dyDescent="0.25">
      <c r="A9" s="2"/>
      <c r="B9" s="4" t="s">
        <v>37</v>
      </c>
      <c r="C9" s="2">
        <v>127</v>
      </c>
      <c r="F9" s="6">
        <v>43888.75</v>
      </c>
      <c r="G9" s="2">
        <v>650</v>
      </c>
      <c r="H9" s="2">
        <v>45</v>
      </c>
      <c r="I9" s="2">
        <v>17</v>
      </c>
      <c r="K9" s="6">
        <v>43888.75</v>
      </c>
      <c r="L9" s="2">
        <v>203</v>
      </c>
      <c r="N9" s="6">
        <v>43888.75</v>
      </c>
      <c r="O9" s="2">
        <v>56</v>
      </c>
      <c r="P9" s="2">
        <v>304</v>
      </c>
      <c r="Q9" s="2">
        <v>284</v>
      </c>
    </row>
    <row r="10" spans="1:17" x14ac:dyDescent="0.25">
      <c r="A10" s="2"/>
      <c r="B10" s="4" t="s">
        <v>38</v>
      </c>
      <c r="C10" s="2">
        <v>1533</v>
      </c>
      <c r="F10" s="6">
        <v>43889.75</v>
      </c>
      <c r="G10" s="2">
        <v>888</v>
      </c>
      <c r="H10" s="2">
        <v>46</v>
      </c>
      <c r="I10" s="2">
        <v>21</v>
      </c>
      <c r="K10" s="6">
        <v>43889.75</v>
      </c>
      <c r="L10" s="2">
        <v>233</v>
      </c>
      <c r="N10" s="6">
        <v>43889.75</v>
      </c>
      <c r="O10" s="2">
        <v>64</v>
      </c>
      <c r="P10" s="2">
        <v>409</v>
      </c>
      <c r="Q10" s="2">
        <v>412</v>
      </c>
    </row>
    <row r="11" spans="1:17" x14ac:dyDescent="0.25">
      <c r="A11" s="2"/>
      <c r="B11" s="4" t="s">
        <v>39</v>
      </c>
      <c r="C11" s="2">
        <v>116</v>
      </c>
      <c r="F11" s="6">
        <v>43890.708333333336</v>
      </c>
      <c r="G11" s="2">
        <v>1128</v>
      </c>
      <c r="H11" s="2">
        <v>50</v>
      </c>
      <c r="I11" s="2">
        <v>29</v>
      </c>
      <c r="K11" s="6">
        <v>43890.708333333336</v>
      </c>
      <c r="L11" s="2">
        <v>228</v>
      </c>
      <c r="N11" s="6">
        <v>43890.708333333336</v>
      </c>
      <c r="O11" s="2">
        <v>105</v>
      </c>
      <c r="P11" s="2">
        <v>506</v>
      </c>
      <c r="Q11" s="2">
        <v>543</v>
      </c>
    </row>
    <row r="12" spans="1:17" x14ac:dyDescent="0.25">
      <c r="A12" s="2"/>
      <c r="B12" s="4" t="s">
        <v>40</v>
      </c>
      <c r="C12" s="2">
        <v>116</v>
      </c>
      <c r="F12" s="6">
        <v>43891.708333333336</v>
      </c>
      <c r="G12" s="2">
        <v>1694</v>
      </c>
      <c r="H12" s="2">
        <v>83</v>
      </c>
      <c r="I12" s="2">
        <v>34</v>
      </c>
      <c r="K12" s="6">
        <v>43891.708333333336</v>
      </c>
      <c r="L12" s="2">
        <v>528</v>
      </c>
      <c r="N12" s="6">
        <v>43891.708333333336</v>
      </c>
      <c r="O12" s="2">
        <v>140</v>
      </c>
      <c r="P12" s="2">
        <v>779</v>
      </c>
      <c r="Q12" s="2">
        <v>798</v>
      </c>
    </row>
    <row r="13" spans="1:17" x14ac:dyDescent="0.25">
      <c r="A13" s="2"/>
      <c r="B13" s="4" t="s">
        <v>41</v>
      </c>
      <c r="C13" s="2">
        <v>141</v>
      </c>
      <c r="F13" s="6">
        <v>43892.75</v>
      </c>
      <c r="G13" s="2">
        <v>2036</v>
      </c>
      <c r="H13" s="2">
        <v>149</v>
      </c>
      <c r="I13" s="2">
        <v>52</v>
      </c>
      <c r="K13" s="6">
        <v>43892.75</v>
      </c>
      <c r="L13" s="2">
        <v>258</v>
      </c>
      <c r="N13" s="6">
        <v>43892.75</v>
      </c>
      <c r="O13" s="2">
        <v>166</v>
      </c>
      <c r="P13" s="2">
        <v>908</v>
      </c>
      <c r="Q13" s="2">
        <v>927</v>
      </c>
    </row>
    <row r="14" spans="1:17" x14ac:dyDescent="0.25">
      <c r="A14" s="2"/>
      <c r="B14" s="4" t="s">
        <v>42</v>
      </c>
      <c r="C14" s="2">
        <v>5791</v>
      </c>
      <c r="F14" s="6">
        <v>43893.75</v>
      </c>
      <c r="G14" s="2">
        <v>2502</v>
      </c>
      <c r="H14" s="2">
        <v>160</v>
      </c>
      <c r="I14" s="2">
        <v>79</v>
      </c>
      <c r="K14" s="6">
        <v>43893.75</v>
      </c>
      <c r="L14" s="2">
        <v>428</v>
      </c>
      <c r="N14" s="6">
        <v>43893.75</v>
      </c>
      <c r="O14" s="2">
        <v>229</v>
      </c>
      <c r="P14" s="2">
        <v>1263</v>
      </c>
      <c r="Q14" s="2">
        <v>1000</v>
      </c>
    </row>
    <row r="15" spans="1:17" x14ac:dyDescent="0.25">
      <c r="A15" s="2"/>
      <c r="B15" s="4" t="s">
        <v>43</v>
      </c>
      <c r="C15" s="2">
        <v>394</v>
      </c>
      <c r="F15" s="6">
        <v>43894.708333333336</v>
      </c>
      <c r="G15" s="2">
        <v>3089</v>
      </c>
      <c r="H15" s="2">
        <v>276</v>
      </c>
      <c r="I15" s="2">
        <v>107</v>
      </c>
      <c r="K15" s="6">
        <v>43894.708333333336</v>
      </c>
      <c r="L15" s="2">
        <v>443</v>
      </c>
      <c r="N15" s="6">
        <v>43894.708333333336</v>
      </c>
      <c r="O15" s="2">
        <v>295</v>
      </c>
      <c r="P15" s="2">
        <v>1641</v>
      </c>
      <c r="Q15" s="2">
        <v>1065</v>
      </c>
    </row>
    <row r="16" spans="1:17" x14ac:dyDescent="0.25">
      <c r="A16" s="2"/>
      <c r="B16" s="4" t="s">
        <v>44</v>
      </c>
      <c r="C16" s="2">
        <v>15</v>
      </c>
      <c r="F16" s="6">
        <v>43895.708333333336</v>
      </c>
      <c r="G16" s="2">
        <v>3858</v>
      </c>
      <c r="H16" s="2">
        <v>414</v>
      </c>
      <c r="I16" s="2">
        <v>148</v>
      </c>
      <c r="K16" s="6">
        <v>43895.708333333336</v>
      </c>
      <c r="L16" s="2">
        <v>590</v>
      </c>
      <c r="N16" s="6">
        <v>43895.708333333336</v>
      </c>
      <c r="O16" s="2">
        <v>351</v>
      </c>
      <c r="P16" s="2">
        <v>2141</v>
      </c>
      <c r="Q16" s="2">
        <v>1155</v>
      </c>
    </row>
    <row r="17" spans="1:17" x14ac:dyDescent="0.25">
      <c r="A17" s="2"/>
      <c r="B17" s="4" t="s">
        <v>45</v>
      </c>
      <c r="C17" s="2">
        <v>453</v>
      </c>
      <c r="F17" s="6">
        <v>43896.708333333336</v>
      </c>
      <c r="G17" s="2">
        <v>4636</v>
      </c>
      <c r="H17" s="2">
        <v>523</v>
      </c>
      <c r="I17" s="2">
        <v>197</v>
      </c>
      <c r="K17" s="6">
        <v>43896.708333333336</v>
      </c>
      <c r="L17" s="2">
        <v>620</v>
      </c>
      <c r="N17" s="6">
        <v>43896.708333333336</v>
      </c>
      <c r="O17" s="2">
        <v>462</v>
      </c>
      <c r="P17" s="2">
        <v>2856</v>
      </c>
      <c r="Q17" s="2">
        <v>1060</v>
      </c>
    </row>
    <row r="18" spans="1:17" x14ac:dyDescent="0.25">
      <c r="A18" s="2"/>
      <c r="B18" s="4" t="s">
        <v>46</v>
      </c>
      <c r="C18" s="2">
        <v>59</v>
      </c>
      <c r="F18" s="6">
        <v>43897.75</v>
      </c>
      <c r="G18" s="2">
        <v>5883</v>
      </c>
      <c r="H18" s="2">
        <v>589</v>
      </c>
      <c r="I18" s="2">
        <v>233</v>
      </c>
      <c r="K18" s="6">
        <v>43897.75</v>
      </c>
      <c r="L18" s="2">
        <v>1145</v>
      </c>
      <c r="N18" s="6">
        <v>43897.75</v>
      </c>
      <c r="O18" s="2">
        <v>567</v>
      </c>
      <c r="P18" s="2">
        <v>3218</v>
      </c>
      <c r="Q18" s="2">
        <v>1843</v>
      </c>
    </row>
    <row r="19" spans="1:17" x14ac:dyDescent="0.25">
      <c r="A19" s="2"/>
      <c r="B19" s="4" t="s">
        <v>47</v>
      </c>
      <c r="C19" s="2">
        <v>20</v>
      </c>
      <c r="F19" s="6">
        <v>43898.75</v>
      </c>
      <c r="G19" s="2">
        <v>7375</v>
      </c>
      <c r="H19" s="2">
        <v>622</v>
      </c>
      <c r="I19" s="2">
        <v>366</v>
      </c>
      <c r="K19" s="6">
        <v>43898.75</v>
      </c>
      <c r="L19" s="2">
        <v>1326</v>
      </c>
      <c r="N19" s="6">
        <v>43898.75</v>
      </c>
      <c r="O19" s="2">
        <v>650</v>
      </c>
      <c r="P19" s="2">
        <v>4207</v>
      </c>
      <c r="Q19" s="2">
        <v>2180</v>
      </c>
    </row>
    <row r="20" spans="1:17" x14ac:dyDescent="0.25">
      <c r="B20" s="4" t="s">
        <v>48</v>
      </c>
      <c r="C20" s="2">
        <v>62</v>
      </c>
      <c r="F20" s="6">
        <v>43899.75</v>
      </c>
      <c r="G20" s="2">
        <v>9172</v>
      </c>
      <c r="H20" s="2">
        <v>724</v>
      </c>
      <c r="I20" s="2">
        <v>463</v>
      </c>
      <c r="K20" s="6">
        <v>43899.75</v>
      </c>
      <c r="L20" s="2">
        <v>1598</v>
      </c>
      <c r="N20" s="6">
        <v>43899.75</v>
      </c>
      <c r="O20" s="2">
        <v>733</v>
      </c>
      <c r="P20" s="2">
        <v>5049</v>
      </c>
      <c r="Q20" s="2">
        <v>2936</v>
      </c>
    </row>
    <row r="21" spans="1:17" x14ac:dyDescent="0.25">
      <c r="B21" s="4" t="s">
        <v>49</v>
      </c>
      <c r="C21" s="2">
        <v>264</v>
      </c>
      <c r="F21" s="6">
        <v>43900.75</v>
      </c>
      <c r="G21" s="2">
        <v>10149</v>
      </c>
      <c r="H21" s="2">
        <v>1004</v>
      </c>
      <c r="I21" s="2">
        <v>631</v>
      </c>
      <c r="K21" s="6">
        <v>43900.75</v>
      </c>
      <c r="L21" s="2">
        <v>529</v>
      </c>
      <c r="N21" s="6">
        <v>43900.75</v>
      </c>
      <c r="O21" s="2">
        <v>877</v>
      </c>
      <c r="P21" s="2">
        <v>5915</v>
      </c>
      <c r="Q21" s="2">
        <v>2599</v>
      </c>
    </row>
    <row r="22" spans="1:17" x14ac:dyDescent="0.25">
      <c r="B22" s="4" t="s">
        <v>56</v>
      </c>
      <c r="C22" s="2">
        <v>52</v>
      </c>
    </row>
    <row r="23" spans="1:17" x14ac:dyDescent="0.25">
      <c r="B23" s="4" t="s">
        <v>51</v>
      </c>
      <c r="C23" s="2">
        <v>37</v>
      </c>
    </row>
    <row r="24" spans="1:17" x14ac:dyDescent="0.25">
      <c r="B24" s="4" t="s">
        <v>52</v>
      </c>
      <c r="C24" s="2">
        <v>17</v>
      </c>
    </row>
    <row r="25" spans="1:17" x14ac:dyDescent="0.25">
      <c r="B25" s="4" t="s">
        <v>53</v>
      </c>
      <c r="C25" s="2">
        <v>856</v>
      </c>
    </row>
    <row r="28" spans="1:17" x14ac:dyDescent="0.25">
      <c r="B28" s="3" t="s">
        <v>13</v>
      </c>
      <c r="C28" t="s">
        <v>16</v>
      </c>
      <c r="D28" t="s">
        <v>23</v>
      </c>
      <c r="E28" t="s">
        <v>24</v>
      </c>
      <c r="F28" t="s">
        <v>15</v>
      </c>
    </row>
    <row r="29" spans="1:17" x14ac:dyDescent="0.25">
      <c r="B29" s="4" t="s">
        <v>33</v>
      </c>
      <c r="C29" s="2">
        <v>38</v>
      </c>
      <c r="D29" s="2">
        <v>0</v>
      </c>
      <c r="E29" s="2">
        <v>1</v>
      </c>
      <c r="F29" s="2">
        <v>37</v>
      </c>
    </row>
    <row r="30" spans="1:17" x14ac:dyDescent="0.25">
      <c r="B30" s="4" t="s">
        <v>34</v>
      </c>
      <c r="C30" s="2">
        <v>7</v>
      </c>
      <c r="D30" s="2">
        <v>0</v>
      </c>
      <c r="E30" s="2">
        <v>0</v>
      </c>
      <c r="F30" s="2">
        <v>7</v>
      </c>
    </row>
    <row r="31" spans="1:17" x14ac:dyDescent="0.25">
      <c r="B31" s="4" t="s">
        <v>36</v>
      </c>
      <c r="C31" s="2">
        <v>13</v>
      </c>
      <c r="D31" s="2">
        <v>2</v>
      </c>
      <c r="E31" s="2">
        <v>0</v>
      </c>
      <c r="F31" s="2">
        <v>11</v>
      </c>
    </row>
    <row r="32" spans="1:17" x14ac:dyDescent="0.25">
      <c r="B32" s="4" t="s">
        <v>37</v>
      </c>
      <c r="C32" s="2">
        <v>127</v>
      </c>
      <c r="D32" s="2">
        <v>1</v>
      </c>
      <c r="E32" s="2">
        <v>0</v>
      </c>
      <c r="F32" s="2">
        <v>126</v>
      </c>
    </row>
    <row r="33" spans="2:6" x14ac:dyDescent="0.25">
      <c r="B33" s="4" t="s">
        <v>38</v>
      </c>
      <c r="C33" s="2">
        <v>1533</v>
      </c>
      <c r="D33" s="2">
        <v>31</v>
      </c>
      <c r="E33" s="2">
        <v>85</v>
      </c>
      <c r="F33" s="2">
        <v>1417</v>
      </c>
    </row>
    <row r="34" spans="2:6" x14ac:dyDescent="0.25">
      <c r="B34" s="4" t="s">
        <v>39</v>
      </c>
      <c r="C34" s="2">
        <v>116</v>
      </c>
      <c r="D34" s="2">
        <v>3</v>
      </c>
      <c r="E34" s="2">
        <v>3</v>
      </c>
      <c r="F34" s="2">
        <v>110</v>
      </c>
    </row>
    <row r="35" spans="2:6" x14ac:dyDescent="0.25">
      <c r="B35" s="4" t="s">
        <v>40</v>
      </c>
      <c r="C35" s="2">
        <v>116</v>
      </c>
      <c r="D35" s="2">
        <v>11</v>
      </c>
      <c r="E35" s="2">
        <v>6</v>
      </c>
      <c r="F35" s="2">
        <v>99</v>
      </c>
    </row>
    <row r="36" spans="2:6" x14ac:dyDescent="0.25">
      <c r="B36" s="4" t="s">
        <v>41</v>
      </c>
      <c r="C36" s="2">
        <v>141</v>
      </c>
      <c r="D36" s="2">
        <v>5</v>
      </c>
      <c r="E36" s="2">
        <v>8</v>
      </c>
      <c r="F36" s="2">
        <v>128</v>
      </c>
    </row>
    <row r="37" spans="2:6" x14ac:dyDescent="0.25">
      <c r="B37" s="4" t="s">
        <v>42</v>
      </c>
      <c r="C37" s="2">
        <v>5791</v>
      </c>
      <c r="D37" s="2">
        <v>896</v>
      </c>
      <c r="E37" s="2">
        <v>468</v>
      </c>
      <c r="F37" s="2">
        <v>4490</v>
      </c>
    </row>
    <row r="38" spans="2:6" x14ac:dyDescent="0.25">
      <c r="B38" s="4" t="s">
        <v>43</v>
      </c>
      <c r="C38" s="2">
        <v>394</v>
      </c>
      <c r="D38" s="2">
        <v>0</v>
      </c>
      <c r="E38" s="2">
        <v>13</v>
      </c>
      <c r="F38" s="2">
        <v>381</v>
      </c>
    </row>
    <row r="39" spans="2:6" x14ac:dyDescent="0.25">
      <c r="B39" s="4" t="s">
        <v>44</v>
      </c>
      <c r="C39" s="2">
        <v>15</v>
      </c>
      <c r="D39" s="2">
        <v>0</v>
      </c>
      <c r="E39" s="2">
        <v>0</v>
      </c>
      <c r="F39" s="2">
        <v>15</v>
      </c>
    </row>
    <row r="40" spans="2:6" x14ac:dyDescent="0.25">
      <c r="B40" s="4" t="s">
        <v>45</v>
      </c>
      <c r="C40" s="2">
        <v>453</v>
      </c>
      <c r="D40" s="2">
        <v>0</v>
      </c>
      <c r="E40" s="2">
        <v>17</v>
      </c>
      <c r="F40" s="2">
        <v>436</v>
      </c>
    </row>
    <row r="41" spans="2:6" x14ac:dyDescent="0.25">
      <c r="B41" s="4" t="s">
        <v>46</v>
      </c>
      <c r="C41" s="2">
        <v>59</v>
      </c>
      <c r="D41" s="2">
        <v>1</v>
      </c>
      <c r="E41" s="2">
        <v>3</v>
      </c>
      <c r="F41" s="2">
        <v>55</v>
      </c>
    </row>
    <row r="42" spans="2:6" x14ac:dyDescent="0.25">
      <c r="B42" s="4" t="s">
        <v>47</v>
      </c>
      <c r="C42" s="2">
        <v>20</v>
      </c>
      <c r="D42" s="2">
        <v>0</v>
      </c>
      <c r="E42" s="2">
        <v>0</v>
      </c>
      <c r="F42" s="2">
        <v>20</v>
      </c>
    </row>
    <row r="43" spans="2:6" x14ac:dyDescent="0.25">
      <c r="B43" s="4" t="s">
        <v>48</v>
      </c>
      <c r="C43" s="2">
        <v>62</v>
      </c>
      <c r="D43" s="2">
        <v>2</v>
      </c>
      <c r="E43" s="2">
        <v>0</v>
      </c>
      <c r="F43" s="2">
        <v>60</v>
      </c>
    </row>
    <row r="44" spans="2:6" x14ac:dyDescent="0.25">
      <c r="B44" s="4" t="s">
        <v>49</v>
      </c>
      <c r="C44" s="2">
        <v>264</v>
      </c>
      <c r="D44" s="2">
        <v>3</v>
      </c>
      <c r="E44" s="2">
        <v>1</v>
      </c>
      <c r="F44" s="2">
        <v>260</v>
      </c>
    </row>
    <row r="45" spans="2:6" x14ac:dyDescent="0.25">
      <c r="B45" s="4" t="s">
        <v>56</v>
      </c>
      <c r="C45" s="2">
        <v>52</v>
      </c>
      <c r="D45" s="2">
        <v>2</v>
      </c>
      <c r="E45" s="2">
        <v>0</v>
      </c>
      <c r="F45" s="2">
        <v>50</v>
      </c>
    </row>
    <row r="46" spans="2:6" x14ac:dyDescent="0.25">
      <c r="B46" s="4" t="s">
        <v>51</v>
      </c>
      <c r="C46" s="2">
        <v>37</v>
      </c>
      <c r="D46" s="2">
        <v>0</v>
      </c>
      <c r="E46" s="2">
        <v>0</v>
      </c>
      <c r="F46" s="2">
        <v>37</v>
      </c>
    </row>
    <row r="47" spans="2:6" x14ac:dyDescent="0.25">
      <c r="B47" s="4" t="s">
        <v>52</v>
      </c>
      <c r="C47" s="2">
        <v>17</v>
      </c>
      <c r="D47" s="2">
        <v>0</v>
      </c>
      <c r="E47" s="2">
        <v>0</v>
      </c>
      <c r="F47" s="2">
        <v>17</v>
      </c>
    </row>
    <row r="48" spans="2:6" x14ac:dyDescent="0.25">
      <c r="B48" s="4" t="s">
        <v>53</v>
      </c>
      <c r="C48" s="2">
        <v>856</v>
      </c>
      <c r="D48" s="2">
        <v>47</v>
      </c>
      <c r="E48" s="2">
        <v>26</v>
      </c>
      <c r="F48" s="2">
        <v>783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ED3DBD0A-402E-4D26-8994-A7CBF78567DE}">
  <ds:schemaRefs/>
</ds:datastoreItem>
</file>

<file path=customXml/itemProps2.xml><?xml version="1.0" encoding="utf-8"?>
<ds:datastoreItem xmlns:ds="http://schemas.openxmlformats.org/officeDocument/2006/customXml" ds:itemID="{28EB07ED-98A7-4FF7-BB5F-3C36D4E9E8FE}">
  <ds:schemaRefs/>
</ds:datastoreItem>
</file>

<file path=customXml/itemProps3.xml><?xml version="1.0" encoding="utf-8"?>
<ds:datastoreItem xmlns:ds="http://schemas.openxmlformats.org/officeDocument/2006/customXml" ds:itemID="{57F8DF1E-3FA0-403B-903E-01AA401A80C4}">
  <ds:schemaRefs/>
</ds:datastoreItem>
</file>

<file path=customXml/itemProps4.xml><?xml version="1.0" encoding="utf-8"?>
<ds:datastoreItem xmlns:ds="http://schemas.openxmlformats.org/officeDocument/2006/customXml" ds:itemID="{7D3F0B52-F829-4331-8EC0-52D98C2847A1}">
  <ds:schemaRefs/>
</ds:datastoreItem>
</file>

<file path=customXml/itemProps5.xml><?xml version="1.0" encoding="utf-8"?>
<ds:datastoreItem xmlns:ds="http://schemas.openxmlformats.org/officeDocument/2006/customXml" ds:itemID="{8DCD2D7D-EE37-4BFF-8B1A-C3C721E85189}">
  <ds:schemaRefs/>
</ds:datastoreItem>
</file>

<file path=customXml/itemProps6.xml><?xml version="1.0" encoding="utf-8"?>
<ds:datastoreItem xmlns:ds="http://schemas.openxmlformats.org/officeDocument/2006/customXml" ds:itemID="{3EC5ACC5-B209-4FE1-8C37-E43C4B95555E}">
  <ds:schemaRefs/>
</ds:datastoreItem>
</file>

<file path=customXml/itemProps7.xml><?xml version="1.0" encoding="utf-8"?>
<ds:datastoreItem xmlns:ds="http://schemas.openxmlformats.org/officeDocument/2006/customXml" ds:itemID="{FAC42D48-ABA1-4AC0-9F3A-D8E06B4FB7DF}">
  <ds:schemaRefs/>
</ds:datastoreItem>
</file>

<file path=customXml/itemProps8.xml><?xml version="1.0" encoding="utf-8"?>
<ds:datastoreItem xmlns:ds="http://schemas.openxmlformats.org/officeDocument/2006/customXml" ds:itemID="{2CBF7388-82AA-4DDE-8537-4E552219F083}">
  <ds:schemaRefs/>
</ds:datastoreItem>
</file>

<file path=customXml/itemProps9.xml><?xml version="1.0" encoding="utf-8"?>
<ds:datastoreItem xmlns:ds="http://schemas.openxmlformats.org/officeDocument/2006/customXml" ds:itemID="{8DCA0ABC-7C84-4465-A567-20E1B66471DF}">
  <ds:schemaRefs/>
</ds:datastoreItem>
</file>

<file path=customXml/itemProps10.xml><?xml version="1.0" encoding="utf-8"?>
<ds:datastoreItem xmlns:ds="http://schemas.openxmlformats.org/officeDocument/2006/customXml" ds:itemID="{E9BF912D-9327-46BB-B088-787B43EED6B1}">
  <ds:schemaRefs/>
</ds:datastoreItem>
</file>

<file path=customXml/itemProps11.xml><?xml version="1.0" encoding="utf-8"?>
<ds:datastoreItem xmlns:ds="http://schemas.openxmlformats.org/officeDocument/2006/customXml" ds:itemID="{9C2AD689-9F96-4448-8426-F9B9DC73B9BF}">
  <ds:schemaRefs/>
</ds:datastoreItem>
</file>

<file path=customXml/itemProps12.xml><?xml version="1.0" encoding="utf-8"?>
<ds:datastoreItem xmlns:ds="http://schemas.openxmlformats.org/officeDocument/2006/customXml" ds:itemID="{F05D0DEA-FC82-409B-A00D-122BE9E78FE9}">
  <ds:schemaRefs/>
</ds:datastoreItem>
</file>

<file path=customXml/itemProps13.xml><?xml version="1.0" encoding="utf-8"?>
<ds:datastoreItem xmlns:ds="http://schemas.openxmlformats.org/officeDocument/2006/customXml" ds:itemID="{59687B02-7305-475C-B35E-E21381ED22E1}">
  <ds:schemaRefs/>
</ds:datastoreItem>
</file>

<file path=customXml/itemProps14.xml><?xml version="1.0" encoding="utf-8"?>
<ds:datastoreItem xmlns:ds="http://schemas.openxmlformats.org/officeDocument/2006/customXml" ds:itemID="{965FF8E7-7864-4B27-83A8-E6B66293E455}">
  <ds:schemaRefs/>
</ds:datastoreItem>
</file>

<file path=customXml/itemProps15.xml><?xml version="1.0" encoding="utf-8"?>
<ds:datastoreItem xmlns:ds="http://schemas.openxmlformats.org/officeDocument/2006/customXml" ds:itemID="{63093101-B6D9-497C-AF55-3DD29BF42DE7}">
  <ds:schemaRefs/>
</ds:datastoreItem>
</file>

<file path=customXml/itemProps16.xml><?xml version="1.0" encoding="utf-8"?>
<ds:datastoreItem xmlns:ds="http://schemas.openxmlformats.org/officeDocument/2006/customXml" ds:itemID="{6737ECF1-C7A5-4F9B-8C82-E062A49D81C8}">
  <ds:schemaRefs/>
</ds:datastoreItem>
</file>

<file path=customXml/itemProps17.xml><?xml version="1.0" encoding="utf-8"?>
<ds:datastoreItem xmlns:ds="http://schemas.openxmlformats.org/officeDocument/2006/customXml" ds:itemID="{AE95A168-2FC7-4C9B-9499-C418EF0D065A}">
  <ds:schemaRefs/>
</ds:datastoreItem>
</file>

<file path=customXml/itemProps18.xml><?xml version="1.0" encoding="utf-8"?>
<ds:datastoreItem xmlns:ds="http://schemas.openxmlformats.org/officeDocument/2006/customXml" ds:itemID="{76FFF514-B963-4505-A35B-BDD361EE8E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Istruzioni</vt:lpstr>
      <vt:lpstr>Dashboard</vt:lpstr>
      <vt:lpstr>Nazionale</vt:lpstr>
      <vt:lpstr>Regioni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Maramotti</dc:creator>
  <cp:lastModifiedBy>Alessandro Maramotti</cp:lastModifiedBy>
  <dcterms:created xsi:type="dcterms:W3CDTF">2020-03-09T17:05:53Z</dcterms:created>
  <dcterms:modified xsi:type="dcterms:W3CDTF">2020-03-11T17:06:40Z</dcterms:modified>
</cp:coreProperties>
</file>