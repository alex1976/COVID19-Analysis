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slicerCaches/slicerCache1.xml" ContentType="application/vnd.ms-excel.slicerCache+xml"/>
  <Override PartName="/xl/pivotCache/pivotCacheDefinition10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tsspa-my.sharepoint.com/personal/a_maramotti_teamsystem_com/Documents/Temp/BI/"/>
    </mc:Choice>
  </mc:AlternateContent>
  <xr:revisionPtr revIDLastSave="421" documentId="13_ncr:1_{01AEE07C-F2A6-4695-98DE-7AD330094A1A}" xr6:coauthVersionLast="45" xr6:coauthVersionMax="45" xr10:uidLastSave="{9801516C-127F-491D-9838-36B3D41E3812}"/>
  <bookViews>
    <workbookView xWindow="-120" yWindow="-120" windowWidth="29040" windowHeight="15840" activeTab="1" xr2:uid="{BC078018-B75B-4C4E-AF90-4074B60EF2C2}"/>
  </bookViews>
  <sheets>
    <sheet name="Istruzioni" sheetId="5" r:id="rId1"/>
    <sheet name="Dashboard" sheetId="2" r:id="rId2"/>
    <sheet name="Nazionale" sheetId="4" r:id="rId3"/>
    <sheet name="Regioni" sheetId="6" r:id="rId4"/>
    <sheet name="Pivot" sheetId="1" r:id="rId5"/>
  </sheets>
  <definedNames>
    <definedName name="_xlchart.v5.0" hidden="1">Pivot!$B$5</definedName>
    <definedName name="_xlchart.v5.1" hidden="1">Pivot!$B$6:$B$25</definedName>
    <definedName name="_xlchart.v5.2" hidden="1">Pivot!$C$5</definedName>
    <definedName name="_xlchart.v5.3" hidden="1">Pivot!$C$6:$C$25</definedName>
    <definedName name="_xlcn.WorksheetConnection_Cartel1dpc_covid19_ita_andamento_nazionale1" hidden="1">dpc_covid19_ita_andamento_nazionale[]</definedName>
    <definedName name="_xlcn.WorksheetConnection_COVID19Analisys.xlsxdpc_covid19_ita_regioni1" hidden="1">dpc_covid19_ita_regioni[]</definedName>
    <definedName name="DatiEsterni_1" localSheetId="2" hidden="1">Nazionale!$A$1:$L$17</definedName>
    <definedName name="DatiEsterni_1" localSheetId="3" hidden="1">Regioni!$A$1:$P$337</definedName>
    <definedName name="FiltroDati_denominazione_regione_adjust">#N/A</definedName>
    <definedName name="SequenzaTemporale_data">#N/A</definedName>
  </definedNames>
  <calcPr calcId="191029"/>
  <pivotCaches>
    <pivotCache cacheId="831" r:id="rId6"/>
    <pivotCache cacheId="833" r:id="rId7"/>
    <pivotCache cacheId="829" r:id="rId8"/>
    <pivotCache cacheId="836" r:id="rId9"/>
    <pivotCache cacheId="839" r:id="rId10"/>
    <pivotCache cacheId="842" r:id="rId11"/>
    <pivotCache cacheId="845" r:id="rId12"/>
    <pivotCache cacheId="848" r:id="rId13"/>
  </pivotCaches>
  <extLst>
    <ext xmlns:x14="http://schemas.microsoft.com/office/spreadsheetml/2009/9/main" uri="{876F7934-8845-4945-9796-88D515C7AA90}">
      <x14:pivotCaches>
        <pivotCache cacheId="165" r:id="rId14"/>
      </x14:pivotCaches>
    </ext>
    <ext xmlns:x14="http://schemas.microsoft.com/office/spreadsheetml/2009/9/main" uri="{BBE1A952-AA13-448e-AADC-164F8A28A991}">
      <x14:slicerCaches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8" r:id="rId16"/>
      </x15:timelineCachePivotCaches>
    </ext>
    <ext xmlns:x15="http://schemas.microsoft.com/office/spreadsheetml/2010/11/main" uri="{D0CA8CA8-9F24-4464-BF8E-62219DCF47F9}">
      <x15:timelineCacheRefs>
        <x15:timelineCacheRef r:id="rId17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pc_covid19_ita_regioni" name="dpc_covid19_ita_regioni" connection="WorksheetConnection_COVID19-Analisys.xlsx!dpc_covid19_ita_regioni"/>
          <x15:modelTable id="dpc_covid19_ita_andamento_nazionale" name="dpc_covid19_ita_andamento_nazionale" connection="WorksheetConnection_Cartel1!dpc_covid19_ita_andamento_nazional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4" i="2" l="1"/>
  <c r="O4" i="2"/>
  <c r="K4" i="2"/>
  <c r="G4" i="2"/>
  <c r="K9" i="2" l="1"/>
  <c r="O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1D7247-C6ED-4AF0-B185-40FFC54C0B73}" keepAlive="1" name="Query - dpc-covid19-ita-andamento-nazionale" description="Connessione alla query 'dpc-covid19-ita-andamento-nazionale' nella cartella di lavoro." type="5" refreshedVersion="6" background="1" saveData="1">
    <dbPr connection="Provider=Microsoft.Mashup.OleDb.1;Data Source=$Workbook$;Location=dpc-covid19-ita-andamento-nazionale;Extended Properties=&quot;&quot;" command="SELECT * FROM [dpc-covid19-ita-andamento-nazionale]"/>
  </connection>
  <connection id="2" xr16:uid="{332E8F4B-8270-4F1C-9FF1-85ABEAB35818}" keepAlive="1" name="Query - dpc-covid19-ita-regioni" description="Connessione alla query 'dpc-covid19-ita-regioni' nella cartella di lavoro." type="5" refreshedVersion="6" background="1" saveData="1">
    <dbPr connection="Provider=Microsoft.Mashup.OleDb.1;Data Source=$Workbook$;Location=dpc-covid19-ita-regioni;Extended Properties=&quot;&quot;" command="SELECT * FROM [dpc-covid19-ita-regioni]"/>
  </connection>
  <connection id="3" xr16:uid="{55E9CC8B-6357-4E4C-9F0A-2DE94F66A684}" keepAlive="1" name="ThisWorkbookDataModel" description="Modello di dati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2477ABD3-9AB6-4809-A1FA-5BAB1DF2A143}" name="WorksheetConnection_Cartel1!dpc_covid19_ita_andamento_nazionale" type="102" refreshedVersion="6" minRefreshableVersion="5">
    <extLst>
      <ext xmlns:x15="http://schemas.microsoft.com/office/spreadsheetml/2010/11/main" uri="{DE250136-89BD-433C-8126-D09CA5730AF9}">
        <x15:connection id="dpc_covid19_ita_andamento_nazionale">
          <x15:rangePr sourceName="_xlcn.WorksheetConnection_Cartel1dpc_covid19_ita_andamento_nazionale1"/>
        </x15:connection>
      </ext>
    </extLst>
  </connection>
  <connection id="5" xr16:uid="{E5E03414-A675-496F-8A12-D7987E4B9D59}" name="WorksheetConnection_COVID19-Analisys.xlsx!dpc_covid19_ita_regioni" type="102" refreshedVersion="6" minRefreshableVersion="5">
    <extLst>
      <ext xmlns:x15="http://schemas.microsoft.com/office/spreadsheetml/2010/11/main" uri="{DE250136-89BD-433C-8126-D09CA5730AF9}">
        <x15:connection id="dpc_covid19_ita_regioni">
          <x15:rangePr sourceName="_xlcn.WorksheetConnection_COVID19Analisys.xlsxdpc_covid19_ita_regioni1"/>
        </x15:connection>
      </ext>
    </extLst>
  </connection>
</connections>
</file>

<file path=xl/sharedStrings.xml><?xml version="1.0" encoding="utf-8"?>
<sst xmlns="http://schemas.openxmlformats.org/spreadsheetml/2006/main" count="767" uniqueCount="65">
  <si>
    <t>data</t>
  </si>
  <si>
    <t>stato</t>
  </si>
  <si>
    <t>ricoverati_con_sintomi</t>
  </si>
  <si>
    <t>terapia_intensiva</t>
  </si>
  <si>
    <t>totale_ospedalizzati</t>
  </si>
  <si>
    <t>isolamento_domiciliare</t>
  </si>
  <si>
    <t>totale_attualmente_positivi</t>
  </si>
  <si>
    <t>nuovi_attualmente_positivi</t>
  </si>
  <si>
    <t>dimessi_guariti</t>
  </si>
  <si>
    <t>deceduti</t>
  </si>
  <si>
    <t>totale_casi</t>
  </si>
  <si>
    <t>tamponi</t>
  </si>
  <si>
    <t>ITA</t>
  </si>
  <si>
    <t>Etichette di riga</t>
  </si>
  <si>
    <t>DECEDUTI</t>
  </si>
  <si>
    <t>Massimo di totale_attualmente_positivi</t>
  </si>
  <si>
    <t>Massimo di totale_casi</t>
  </si>
  <si>
    <t>aggiunta tabella in modello dati</t>
  </si>
  <si>
    <t>creazione pivot</t>
  </si>
  <si>
    <t>creazione grafico pivot e spostamento grafico in foglio dashboard</t>
  </si>
  <si>
    <t>STEP</t>
  </si>
  <si>
    <t>creazione filtro temporale</t>
  </si>
  <si>
    <t>TOTALE POSITIVI</t>
  </si>
  <si>
    <t>Massimo di dimessi_guariti</t>
  </si>
  <si>
    <t>Massimo di deceduti</t>
  </si>
  <si>
    <t>GUARITI</t>
  </si>
  <si>
    <t>ATTUALMENTE POSITIVI</t>
  </si>
  <si>
    <t>aggiunta campi calcolati (giorno, mese, anno) al modello dati + (opzionale) aggiunta dimensione mese con descrizione al modello dati</t>
  </si>
  <si>
    <t>https://github.com/pcm-dpc/COVID-19</t>
  </si>
  <si>
    <t>codice_regione</t>
  </si>
  <si>
    <t>denominazione_regione</t>
  </si>
  <si>
    <t>lat</t>
  </si>
  <si>
    <t>long</t>
  </si>
  <si>
    <t>Abruzzo</t>
  </si>
  <si>
    <t>Basilicata</t>
  </si>
  <si>
    <t>Bolzano</t>
  </si>
  <si>
    <t>Calabria</t>
  </si>
  <si>
    <t>Campania</t>
  </si>
  <si>
    <t>Emilia Romagna</t>
  </si>
  <si>
    <t>Friuli Venezia Giulia</t>
  </si>
  <si>
    <t>Lazio</t>
  </si>
  <si>
    <t>Liguria</t>
  </si>
  <si>
    <t>Lombardia</t>
  </si>
  <si>
    <t>Marche</t>
  </si>
  <si>
    <t>Molise</t>
  </si>
  <si>
    <t>Piemonte</t>
  </si>
  <si>
    <t>Puglia</t>
  </si>
  <si>
    <t>Sardegna</t>
  </si>
  <si>
    <t>Sicilia</t>
  </si>
  <si>
    <t>Toscana</t>
  </si>
  <si>
    <t>Trento</t>
  </si>
  <si>
    <t>Umbria</t>
  </si>
  <si>
    <t>Valle d'Aosta</t>
  </si>
  <si>
    <t>Veneto</t>
  </si>
  <si>
    <t>Fonte: https://github.com/pcm-dpc/COVID-19</t>
  </si>
  <si>
    <t>Presidenza del Consiglio dei Ministri
Dipartimento della Protezione Civile</t>
  </si>
  <si>
    <t>Trentino</t>
  </si>
  <si>
    <t>crezione pivot per ogni grafico rappresentato</t>
  </si>
  <si>
    <t>creazione colonna calcolata "denominazione_regione_adjust" per normalizzazione nomi da utilizzare nella mappa</t>
  </si>
  <si>
    <t>leggere da sorgente esterna (nazionale + regioni)</t>
  </si>
  <si>
    <t>TOTALE CASI</t>
  </si>
  <si>
    <t>NUOVI CASI</t>
  </si>
  <si>
    <t>TERAPIA INTENSIVA</t>
  </si>
  <si>
    <t>OSPEDALIZZATI</t>
  </si>
  <si>
    <t>DOMICILIARE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</si>
</sst>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Abadi"/>
      <family val="2"/>
    </font>
    <font>
      <b/>
      <i/>
      <sz val="11"/>
      <color theme="8" tint="-0.249977111117893"/>
      <name val="Abadi"/>
      <family val="2"/>
    </font>
    <font>
      <sz val="11"/>
      <color theme="8" tint="-0.249977111117893"/>
      <name val="Calibri"/>
      <family val="2"/>
      <scheme val="minor"/>
    </font>
    <font>
      <b/>
      <i/>
      <sz val="36"/>
      <color theme="8" tint="-0.249977111117893"/>
      <name val="Calibri"/>
      <family val="2"/>
      <scheme val="minor"/>
    </font>
    <font>
      <sz val="12"/>
      <color theme="8" tint="-0.249977111117893"/>
      <name val="Abad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2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2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0" fontId="3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14" fontId="0" fillId="0" borderId="0" xfId="0" pivotButton="1" applyNumberForma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3">
    <cellStyle name="Collegamento ipertestuale" xfId="2" builtinId="8"/>
    <cellStyle name="Normale" xfId="0" builtinId="0"/>
    <cellStyle name="Percentuale" xfId="1" builtinId="5"/>
  </cellStyles>
  <dxfs count="102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ont>
        <b/>
        <i val="0"/>
      </font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ont>
        <b/>
        <sz val="11"/>
        <color theme="1"/>
      </font>
    </dxf>
    <dxf>
      <font>
        <color theme="4"/>
      </font>
      <fill>
        <patternFill patternType="solid">
          <fgColor theme="0"/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b/>
        <sz val="11"/>
        <color theme="1"/>
      </font>
    </dxf>
    <dxf>
      <font>
        <color theme="4"/>
      </font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ill>
        <patternFill>
          <bgColor theme="4" tint="0.39994506668294322"/>
        </patternFill>
      </fill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27" formatCode="dd/mm/yyyy\ hh:mm"/>
    </dxf>
  </dxfs>
  <tableStyles count="5" defaultTableStyle="TableStyleMedium2" defaultPivotStyle="PivotStyleLight16">
    <tableStyle name="Stile filtro dati 1" pivot="0" table="0" count="1" xr9:uid="{C8A227DD-8BB2-4FF3-BE3A-4CEA6C9A6186}">
      <tableStyleElement type="headerRow" dxfId="7"/>
    </tableStyle>
    <tableStyle name="Stile filtro dati 2" pivot="0" table="0" count="1" xr9:uid="{3371B21A-7AB7-4F45-815F-95039E41B9B2}">
      <tableStyleElement type="wholeTable" dxfId="93"/>
    </tableStyle>
    <tableStyle name="Stile filtro dati 3" pivot="0" table="0" count="1" xr9:uid="{2AA8ED18-D27B-47D6-9515-50159E1E4219}"/>
    <tableStyle name="Stile sequenza temporale 1" pivot="0" table="0" count="8" xr9:uid="{A5AF6404-B0C0-4A60-9107-CC1ACD8B9348}">
      <tableStyleElement type="wholeTable" dxfId="76"/>
      <tableStyleElement type="headerRow" dxfId="75"/>
    </tableStyle>
    <tableStyle name="Stile sequenza temporale 2" pivot="0" table="0" count="8" xr9:uid="{99CA9090-7EBC-4988-AD7A-D6565B8551B5}">
      <tableStyleElement type="wholeTable" dxfId="78"/>
      <tableStyleElement type="headerRow" dxfId="77"/>
    </tableStyle>
  </tableStyles>
  <extLst>
    <ext xmlns:x14="http://schemas.microsoft.com/office/spreadsheetml/2009/9/main" uri="{46F421CA-312F-682f-3DD2-61675219B42D}">
      <x14:dxfs count="1">
        <dxf>
          <fill>
            <patternFill>
              <bgColor theme="4" tint="0.39994506668294322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tile filtro dati 1"/>
        <x14:slicerStyle name="Stile filtro dati 2"/>
        <x14:slicerStyle name="Stile filtro dati 3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A0A4C193-F2C1-4fcb-8827-314CF55A85BB}">
      <x15:dxfs count="18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Stile sequenza temporale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  <x15:timelineStyle name="Stile sequenza temporale 2">
          <x15:timelineStyleElements>
            <x15:timelineStyleElement type="selectionLabel" dxfId="9"/>
            <x15:timelineStyleElement type="timeLevel" dxfId="8"/>
            <x15:timelineStyleElement type="periodLabel1" dxfId="7"/>
            <x15:timelineStyleElement type="periodLabel2" dxfId="6"/>
            <x15:timelineStyleElement type="selectedTimeBlock" dxfId="11"/>
            <x15:timelineStyleElement type="unselectedTimeBlock" dxfId="1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8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9" Type="http://schemas.openxmlformats.org/officeDocument/2006/relationships/customXml" Target="../customXml/item16.xml"/><Relationship Id="rId21" Type="http://schemas.openxmlformats.org/officeDocument/2006/relationships/sharedStrings" Target="sharedStrings.xml"/><Relationship Id="rId34" Type="http://schemas.openxmlformats.org/officeDocument/2006/relationships/customXml" Target="../customXml/item11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0.xml"/><Relationship Id="rId20" Type="http://schemas.openxmlformats.org/officeDocument/2006/relationships/styles" Target="styles.xml"/><Relationship Id="rId29" Type="http://schemas.openxmlformats.org/officeDocument/2006/relationships/customXml" Target="../customXml/item6.xml"/><Relationship Id="rId41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24" Type="http://schemas.openxmlformats.org/officeDocument/2006/relationships/customXml" Target="../customXml/item1.xml"/><Relationship Id="rId32" Type="http://schemas.openxmlformats.org/officeDocument/2006/relationships/customXml" Target="../customXml/item9.xml"/><Relationship Id="rId37" Type="http://schemas.openxmlformats.org/officeDocument/2006/relationships/customXml" Target="../customXml/item14.xml"/><Relationship Id="rId40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23" Type="http://schemas.openxmlformats.org/officeDocument/2006/relationships/calcChain" Target="calcChain.xml"/><Relationship Id="rId28" Type="http://schemas.openxmlformats.org/officeDocument/2006/relationships/customXml" Target="../customXml/item5.xml"/><Relationship Id="rId36" Type="http://schemas.openxmlformats.org/officeDocument/2006/relationships/customXml" Target="../customXml/item13.xml"/><Relationship Id="rId10" Type="http://schemas.openxmlformats.org/officeDocument/2006/relationships/pivotCacheDefinition" Target="pivotCache/pivotCacheDefinition5.xml"/><Relationship Id="rId19" Type="http://schemas.openxmlformats.org/officeDocument/2006/relationships/connections" Target="connections.xml"/><Relationship Id="rId31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ivotCacheDefinition" Target="pivotCache/pivotCacheDefinition9.xml"/><Relationship Id="rId22" Type="http://schemas.openxmlformats.org/officeDocument/2006/relationships/powerPivotData" Target="model/item.data"/><Relationship Id="rId27" Type="http://schemas.openxmlformats.org/officeDocument/2006/relationships/customXml" Target="../customXml/item4.xml"/><Relationship Id="rId30" Type="http://schemas.openxmlformats.org/officeDocument/2006/relationships/customXml" Target="../customXml/item7.xml"/><Relationship Id="rId35" Type="http://schemas.openxmlformats.org/officeDocument/2006/relationships/customXml" Target="../customXml/item12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7.xml"/><Relationship Id="rId17" Type="http://schemas.microsoft.com/office/2011/relationships/timelineCache" Target="timelineCaches/timelineCache1.xml"/><Relationship Id="rId25" Type="http://schemas.openxmlformats.org/officeDocument/2006/relationships/customXml" Target="../customXml/item2.xml"/><Relationship Id="rId33" Type="http://schemas.openxmlformats.org/officeDocument/2006/relationships/customXml" Target="../customXml/item10.xml"/><Relationship Id="rId38" Type="http://schemas.openxmlformats.org/officeDocument/2006/relationships/customXml" Target="../customXml/item1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[COVID19-Analisys2.xlsx]Pivot!Tabella pivot8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5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>
                <a:solidFill>
                  <a:schemeClr val="accent5">
                    <a:lumMod val="75000"/>
                  </a:schemeClr>
                </a:solidFill>
              </a:rPr>
              <a:t>TOTALE CASI VS GUARITI VS DECEDUTI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Pivot!$G$5</c:f>
              <c:strCache>
                <c:ptCount val="1"/>
                <c:pt idx="0">
                  <c:v>TOTALE CASI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Pivot!$F$6:$F$21</c:f>
              <c:strCache>
                <c:ptCount val="16"/>
                <c:pt idx="0">
                  <c:v>24/02/2020 18:00</c:v>
                </c:pt>
                <c:pt idx="1">
                  <c:v>25/02/2020 18:00</c:v>
                </c:pt>
                <c:pt idx="2">
                  <c:v>26/02/2020 18:00</c:v>
                </c:pt>
                <c:pt idx="3">
                  <c:v>27/02/2020 18:00</c:v>
                </c:pt>
                <c:pt idx="4">
                  <c:v>28/02/2020 18:00</c:v>
                </c:pt>
                <c:pt idx="5">
                  <c:v>29/02/2020 17:00</c:v>
                </c:pt>
                <c:pt idx="6">
                  <c:v>01/03/2020 17:00</c:v>
                </c:pt>
                <c:pt idx="7">
                  <c:v>02/03/2020 18:00</c:v>
                </c:pt>
                <c:pt idx="8">
                  <c:v>03/03/2020 18:00</c:v>
                </c:pt>
                <c:pt idx="9">
                  <c:v>04/03/2020 17:00</c:v>
                </c:pt>
                <c:pt idx="10">
                  <c:v>05/03/2020 17:00</c:v>
                </c:pt>
                <c:pt idx="11">
                  <c:v>06/03/2020 17:00</c:v>
                </c:pt>
                <c:pt idx="12">
                  <c:v>07/03/2020 18:00</c:v>
                </c:pt>
                <c:pt idx="13">
                  <c:v>08/03/2020 18:00</c:v>
                </c:pt>
                <c:pt idx="14">
                  <c:v>09/03/2020 18:00</c:v>
                </c:pt>
                <c:pt idx="15">
                  <c:v>10/03/2020 18:00</c:v>
                </c:pt>
              </c:strCache>
            </c:strRef>
          </c:cat>
          <c:val>
            <c:numRef>
              <c:f>Pivot!$G$6:$G$21</c:f>
              <c:numCache>
                <c:formatCode>General</c:formatCode>
                <c:ptCount val="16"/>
                <c:pt idx="0">
                  <c:v>229</c:v>
                </c:pt>
                <c:pt idx="1">
                  <c:v>322</c:v>
                </c:pt>
                <c:pt idx="2">
                  <c:v>400</c:v>
                </c:pt>
                <c:pt idx="3">
                  <c:v>650</c:v>
                </c:pt>
                <c:pt idx="4">
                  <c:v>888</c:v>
                </c:pt>
                <c:pt idx="5">
                  <c:v>1128</c:v>
                </c:pt>
                <c:pt idx="6">
                  <c:v>1694</c:v>
                </c:pt>
                <c:pt idx="7">
                  <c:v>2036</c:v>
                </c:pt>
                <c:pt idx="8">
                  <c:v>2502</c:v>
                </c:pt>
                <c:pt idx="9">
                  <c:v>3089</c:v>
                </c:pt>
                <c:pt idx="10">
                  <c:v>3856</c:v>
                </c:pt>
                <c:pt idx="11">
                  <c:v>4629</c:v>
                </c:pt>
                <c:pt idx="12">
                  <c:v>5875</c:v>
                </c:pt>
                <c:pt idx="13">
                  <c:v>7366</c:v>
                </c:pt>
                <c:pt idx="14">
                  <c:v>9157</c:v>
                </c:pt>
                <c:pt idx="15">
                  <c:v>10132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41-47B0-9B84-D9C74A56A1C6}"/>
            </c:ext>
          </c:extLst>
        </c:ser>
        <c:ser>
          <c:idx val="1"/>
          <c:order val="1"/>
          <c:tx>
            <c:strRef>
              <c:f>Pivot!$H$5</c:f>
              <c:strCache>
                <c:ptCount val="1"/>
                <c:pt idx="0">
                  <c:v>GUARITI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Pivot!$F$6:$F$21</c:f>
              <c:strCache>
                <c:ptCount val="16"/>
                <c:pt idx="0">
                  <c:v>24/02/2020 18:00</c:v>
                </c:pt>
                <c:pt idx="1">
                  <c:v>25/02/2020 18:00</c:v>
                </c:pt>
                <c:pt idx="2">
                  <c:v>26/02/2020 18:00</c:v>
                </c:pt>
                <c:pt idx="3">
                  <c:v>27/02/2020 18:00</c:v>
                </c:pt>
                <c:pt idx="4">
                  <c:v>28/02/2020 18:00</c:v>
                </c:pt>
                <c:pt idx="5">
                  <c:v>29/02/2020 17:00</c:v>
                </c:pt>
                <c:pt idx="6">
                  <c:v>01/03/2020 17:00</c:v>
                </c:pt>
                <c:pt idx="7">
                  <c:v>02/03/2020 18:00</c:v>
                </c:pt>
                <c:pt idx="8">
                  <c:v>03/03/2020 18:00</c:v>
                </c:pt>
                <c:pt idx="9">
                  <c:v>04/03/2020 17:00</c:v>
                </c:pt>
                <c:pt idx="10">
                  <c:v>05/03/2020 17:00</c:v>
                </c:pt>
                <c:pt idx="11">
                  <c:v>06/03/2020 17:00</c:v>
                </c:pt>
                <c:pt idx="12">
                  <c:v>07/03/2020 18:00</c:v>
                </c:pt>
                <c:pt idx="13">
                  <c:v>08/03/2020 18:00</c:v>
                </c:pt>
                <c:pt idx="14">
                  <c:v>09/03/2020 18:00</c:v>
                </c:pt>
                <c:pt idx="15">
                  <c:v>10/03/2020 18:00</c:v>
                </c:pt>
              </c:strCache>
            </c:strRef>
          </c:cat>
          <c:val>
            <c:numRef>
              <c:f>Pivot!$H$6:$H$21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45</c:v>
                </c:pt>
                <c:pt idx="4">
                  <c:v>46</c:v>
                </c:pt>
                <c:pt idx="5">
                  <c:v>50</c:v>
                </c:pt>
                <c:pt idx="6">
                  <c:v>83</c:v>
                </c:pt>
                <c:pt idx="7">
                  <c:v>149</c:v>
                </c:pt>
                <c:pt idx="8">
                  <c:v>160</c:v>
                </c:pt>
                <c:pt idx="9">
                  <c:v>276</c:v>
                </c:pt>
                <c:pt idx="10">
                  <c:v>414</c:v>
                </c:pt>
                <c:pt idx="11">
                  <c:v>523</c:v>
                </c:pt>
                <c:pt idx="12">
                  <c:v>589</c:v>
                </c:pt>
                <c:pt idx="13">
                  <c:v>622</c:v>
                </c:pt>
                <c:pt idx="14">
                  <c:v>724</c:v>
                </c:pt>
                <c:pt idx="15">
                  <c:v>1004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41-47B0-9B84-D9C74A56A1C6}"/>
            </c:ext>
          </c:extLst>
        </c:ser>
        <c:ser>
          <c:idx val="2"/>
          <c:order val="2"/>
          <c:tx>
            <c:strRef>
              <c:f>Pivot!$I$5</c:f>
              <c:strCache>
                <c:ptCount val="1"/>
                <c:pt idx="0">
                  <c:v>DECEDUTI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Pivot!$F$6:$F$21</c:f>
              <c:strCache>
                <c:ptCount val="16"/>
                <c:pt idx="0">
                  <c:v>24/02/2020 18:00</c:v>
                </c:pt>
                <c:pt idx="1">
                  <c:v>25/02/2020 18:00</c:v>
                </c:pt>
                <c:pt idx="2">
                  <c:v>26/02/2020 18:00</c:v>
                </c:pt>
                <c:pt idx="3">
                  <c:v>27/02/2020 18:00</c:v>
                </c:pt>
                <c:pt idx="4">
                  <c:v>28/02/2020 18:00</c:v>
                </c:pt>
                <c:pt idx="5">
                  <c:v>29/02/2020 17:00</c:v>
                </c:pt>
                <c:pt idx="6">
                  <c:v>01/03/2020 17:00</c:v>
                </c:pt>
                <c:pt idx="7">
                  <c:v>02/03/2020 18:00</c:v>
                </c:pt>
                <c:pt idx="8">
                  <c:v>03/03/2020 18:00</c:v>
                </c:pt>
                <c:pt idx="9">
                  <c:v>04/03/2020 17:00</c:v>
                </c:pt>
                <c:pt idx="10">
                  <c:v>05/03/2020 17:00</c:v>
                </c:pt>
                <c:pt idx="11">
                  <c:v>06/03/2020 17:00</c:v>
                </c:pt>
                <c:pt idx="12">
                  <c:v>07/03/2020 18:00</c:v>
                </c:pt>
                <c:pt idx="13">
                  <c:v>08/03/2020 18:00</c:v>
                </c:pt>
                <c:pt idx="14">
                  <c:v>09/03/2020 18:00</c:v>
                </c:pt>
                <c:pt idx="15">
                  <c:v>10/03/2020 18:00</c:v>
                </c:pt>
              </c:strCache>
            </c:strRef>
          </c:cat>
          <c:val>
            <c:numRef>
              <c:f>Pivot!$I$6:$I$21</c:f>
              <c:numCache>
                <c:formatCode>General</c:formatCode>
                <c:ptCount val="16"/>
                <c:pt idx="0">
                  <c:v>7</c:v>
                </c:pt>
                <c:pt idx="1">
                  <c:v>10</c:v>
                </c:pt>
                <c:pt idx="2">
                  <c:v>12</c:v>
                </c:pt>
                <c:pt idx="3">
                  <c:v>17</c:v>
                </c:pt>
                <c:pt idx="4">
                  <c:v>21</c:v>
                </c:pt>
                <c:pt idx="5">
                  <c:v>29</c:v>
                </c:pt>
                <c:pt idx="6">
                  <c:v>34</c:v>
                </c:pt>
                <c:pt idx="7">
                  <c:v>52</c:v>
                </c:pt>
                <c:pt idx="8">
                  <c:v>79</c:v>
                </c:pt>
                <c:pt idx="9">
                  <c:v>107</c:v>
                </c:pt>
                <c:pt idx="10">
                  <c:v>148</c:v>
                </c:pt>
                <c:pt idx="11">
                  <c:v>197</c:v>
                </c:pt>
                <c:pt idx="12">
                  <c:v>233</c:v>
                </c:pt>
                <c:pt idx="13">
                  <c:v>366</c:v>
                </c:pt>
                <c:pt idx="14">
                  <c:v>463</c:v>
                </c:pt>
                <c:pt idx="15">
                  <c:v>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41-47B0-9B84-D9C74A56A1C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44415008"/>
        <c:axId val="1226882720"/>
      </c:lineChart>
      <c:catAx>
        <c:axId val="154441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26882720"/>
        <c:crosses val="autoZero"/>
        <c:auto val="1"/>
        <c:lblAlgn val="ctr"/>
        <c:lblOffset val="100"/>
        <c:noMultiLvlLbl val="0"/>
      </c:catAx>
      <c:valAx>
        <c:axId val="122688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4441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[COVID19-Analisys2.xlsx]Pivot!Tabella pivot9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5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5">
                    <a:lumMod val="75000"/>
                  </a:schemeClr>
                </a:solidFill>
              </a:rPr>
              <a:t>NUOVI</a:t>
            </a:r>
            <a:r>
              <a:rPr lang="en-US" baseline="0">
                <a:solidFill>
                  <a:schemeClr val="accent5">
                    <a:lumMod val="75000"/>
                  </a:schemeClr>
                </a:solidFill>
              </a:rPr>
              <a:t> CASI AL GIORNO</a:t>
            </a:r>
            <a:endParaRPr lang="en-US">
              <a:solidFill>
                <a:schemeClr val="accent5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5059510298799772"/>
          <c:y val="0.24285924686507621"/>
          <c:w val="0.81196790895034254"/>
          <c:h val="0.38769958532789761"/>
        </c:manualLayout>
      </c:layout>
      <c:lineChart>
        <c:grouping val="standard"/>
        <c:varyColors val="0"/>
        <c:ser>
          <c:idx val="0"/>
          <c:order val="0"/>
          <c:tx>
            <c:strRef>
              <c:f>Pivot!$L$5</c:f>
              <c:strCache>
                <c:ptCount val="1"/>
                <c:pt idx="0">
                  <c:v>Totale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Pivot!$K$6:$K$21</c:f>
              <c:strCache>
                <c:ptCount val="16"/>
                <c:pt idx="0">
                  <c:v>24/02/2020 18:00</c:v>
                </c:pt>
                <c:pt idx="1">
                  <c:v>25/02/2020 18:00</c:v>
                </c:pt>
                <c:pt idx="2">
                  <c:v>26/02/2020 18:00</c:v>
                </c:pt>
                <c:pt idx="3">
                  <c:v>27/02/2020 18:00</c:v>
                </c:pt>
                <c:pt idx="4">
                  <c:v>28/02/2020 18:00</c:v>
                </c:pt>
                <c:pt idx="5">
                  <c:v>29/02/2020 17:00</c:v>
                </c:pt>
                <c:pt idx="6">
                  <c:v>01/03/2020 17:00</c:v>
                </c:pt>
                <c:pt idx="7">
                  <c:v>02/03/2020 18:00</c:v>
                </c:pt>
                <c:pt idx="8">
                  <c:v>03/03/2020 18:00</c:v>
                </c:pt>
                <c:pt idx="9">
                  <c:v>04/03/2020 17:00</c:v>
                </c:pt>
                <c:pt idx="10">
                  <c:v>05/03/2020 17:00</c:v>
                </c:pt>
                <c:pt idx="11">
                  <c:v>06/03/2020 17:00</c:v>
                </c:pt>
                <c:pt idx="12">
                  <c:v>07/03/2020 18:00</c:v>
                </c:pt>
                <c:pt idx="13">
                  <c:v>08/03/2020 18:00</c:v>
                </c:pt>
                <c:pt idx="14">
                  <c:v>09/03/2020 18:00</c:v>
                </c:pt>
                <c:pt idx="15">
                  <c:v>10/03/2020 18:00</c:v>
                </c:pt>
              </c:strCache>
            </c:strRef>
          </c:cat>
          <c:val>
            <c:numRef>
              <c:f>Pivot!$L$6:$L$21</c:f>
              <c:numCache>
                <c:formatCode>General</c:formatCode>
                <c:ptCount val="16"/>
                <c:pt idx="0">
                  <c:v>221</c:v>
                </c:pt>
                <c:pt idx="1">
                  <c:v>90</c:v>
                </c:pt>
                <c:pt idx="2">
                  <c:v>74</c:v>
                </c:pt>
                <c:pt idx="3">
                  <c:v>203</c:v>
                </c:pt>
                <c:pt idx="4">
                  <c:v>233</c:v>
                </c:pt>
                <c:pt idx="5">
                  <c:v>228</c:v>
                </c:pt>
                <c:pt idx="6">
                  <c:v>528</c:v>
                </c:pt>
                <c:pt idx="7">
                  <c:v>258</c:v>
                </c:pt>
                <c:pt idx="8">
                  <c:v>428</c:v>
                </c:pt>
                <c:pt idx="9">
                  <c:v>443</c:v>
                </c:pt>
                <c:pt idx="10">
                  <c:v>588</c:v>
                </c:pt>
                <c:pt idx="11">
                  <c:v>615</c:v>
                </c:pt>
                <c:pt idx="12">
                  <c:v>1144</c:v>
                </c:pt>
                <c:pt idx="13">
                  <c:v>1325</c:v>
                </c:pt>
                <c:pt idx="14">
                  <c:v>1592</c:v>
                </c:pt>
                <c:pt idx="15">
                  <c:v>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C5-4304-81DB-578EC20EF2C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73882848"/>
        <c:axId val="1037210528"/>
      </c:lineChart>
      <c:catAx>
        <c:axId val="137388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37210528"/>
        <c:crosses val="autoZero"/>
        <c:auto val="1"/>
        <c:lblAlgn val="ctr"/>
        <c:lblOffset val="100"/>
        <c:noMultiLvlLbl val="0"/>
      </c:catAx>
      <c:valAx>
        <c:axId val="103721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388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[COVID19-Analisys2.xlsx]Pivot!Tabella pivot10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5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5">
                    <a:lumMod val="75000"/>
                  </a:schemeClr>
                </a:solidFill>
              </a:rPr>
              <a:t>OSPEDALIZZATI VS DOMICILIARE VS INTENSIVA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8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Pivot!$O$5</c:f>
              <c:strCache>
                <c:ptCount val="1"/>
                <c:pt idx="0">
                  <c:v>TERAPIA INTENSIVA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Pivot!$N$6:$N$21</c:f>
              <c:strCache>
                <c:ptCount val="16"/>
                <c:pt idx="0">
                  <c:v>24/02/2020 18:00</c:v>
                </c:pt>
                <c:pt idx="1">
                  <c:v>25/02/2020 18:00</c:v>
                </c:pt>
                <c:pt idx="2">
                  <c:v>26/02/2020 18:00</c:v>
                </c:pt>
                <c:pt idx="3">
                  <c:v>27/02/2020 18:00</c:v>
                </c:pt>
                <c:pt idx="4">
                  <c:v>28/02/2020 18:00</c:v>
                </c:pt>
                <c:pt idx="5">
                  <c:v>29/02/2020 17:00</c:v>
                </c:pt>
                <c:pt idx="6">
                  <c:v>01/03/2020 17:00</c:v>
                </c:pt>
                <c:pt idx="7">
                  <c:v>02/03/2020 18:00</c:v>
                </c:pt>
                <c:pt idx="8">
                  <c:v>03/03/2020 18:00</c:v>
                </c:pt>
                <c:pt idx="9">
                  <c:v>04/03/2020 17:00</c:v>
                </c:pt>
                <c:pt idx="10">
                  <c:v>05/03/2020 17:00</c:v>
                </c:pt>
                <c:pt idx="11">
                  <c:v>06/03/2020 17:00</c:v>
                </c:pt>
                <c:pt idx="12">
                  <c:v>07/03/2020 18:00</c:v>
                </c:pt>
                <c:pt idx="13">
                  <c:v>08/03/2020 18:00</c:v>
                </c:pt>
                <c:pt idx="14">
                  <c:v>09/03/2020 18:00</c:v>
                </c:pt>
                <c:pt idx="15">
                  <c:v>10/03/2020 18:00</c:v>
                </c:pt>
              </c:strCache>
            </c:strRef>
          </c:cat>
          <c:val>
            <c:numRef>
              <c:f>Pivot!$O$6:$O$21</c:f>
              <c:numCache>
                <c:formatCode>General</c:formatCode>
                <c:ptCount val="16"/>
                <c:pt idx="0">
                  <c:v>26</c:v>
                </c:pt>
                <c:pt idx="1">
                  <c:v>35</c:v>
                </c:pt>
                <c:pt idx="2">
                  <c:v>36</c:v>
                </c:pt>
                <c:pt idx="3">
                  <c:v>56</c:v>
                </c:pt>
                <c:pt idx="4">
                  <c:v>64</c:v>
                </c:pt>
                <c:pt idx="5">
                  <c:v>105</c:v>
                </c:pt>
                <c:pt idx="6">
                  <c:v>140</c:v>
                </c:pt>
                <c:pt idx="7">
                  <c:v>166</c:v>
                </c:pt>
                <c:pt idx="8">
                  <c:v>229</c:v>
                </c:pt>
                <c:pt idx="9">
                  <c:v>295</c:v>
                </c:pt>
                <c:pt idx="10">
                  <c:v>351</c:v>
                </c:pt>
                <c:pt idx="11">
                  <c:v>462</c:v>
                </c:pt>
                <c:pt idx="12">
                  <c:v>567</c:v>
                </c:pt>
                <c:pt idx="13">
                  <c:v>650</c:v>
                </c:pt>
                <c:pt idx="14">
                  <c:v>733</c:v>
                </c:pt>
                <c:pt idx="15">
                  <c:v>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0A-4691-925B-147B029495ED}"/>
            </c:ext>
          </c:extLst>
        </c:ser>
        <c:ser>
          <c:idx val="1"/>
          <c:order val="1"/>
          <c:tx>
            <c:strRef>
              <c:f>Pivot!$P$5</c:f>
              <c:strCache>
                <c:ptCount val="1"/>
                <c:pt idx="0">
                  <c:v>OSPEDALIZZATI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Pivot!$N$6:$N$21</c:f>
              <c:strCache>
                <c:ptCount val="16"/>
                <c:pt idx="0">
                  <c:v>24/02/2020 18:00</c:v>
                </c:pt>
                <c:pt idx="1">
                  <c:v>25/02/2020 18:00</c:v>
                </c:pt>
                <c:pt idx="2">
                  <c:v>26/02/2020 18:00</c:v>
                </c:pt>
                <c:pt idx="3">
                  <c:v>27/02/2020 18:00</c:v>
                </c:pt>
                <c:pt idx="4">
                  <c:v>28/02/2020 18:00</c:v>
                </c:pt>
                <c:pt idx="5">
                  <c:v>29/02/2020 17:00</c:v>
                </c:pt>
                <c:pt idx="6">
                  <c:v>01/03/2020 17:00</c:v>
                </c:pt>
                <c:pt idx="7">
                  <c:v>02/03/2020 18:00</c:v>
                </c:pt>
                <c:pt idx="8">
                  <c:v>03/03/2020 18:00</c:v>
                </c:pt>
                <c:pt idx="9">
                  <c:v>04/03/2020 17:00</c:v>
                </c:pt>
                <c:pt idx="10">
                  <c:v>05/03/2020 17:00</c:v>
                </c:pt>
                <c:pt idx="11">
                  <c:v>06/03/2020 17:00</c:v>
                </c:pt>
                <c:pt idx="12">
                  <c:v>07/03/2020 18:00</c:v>
                </c:pt>
                <c:pt idx="13">
                  <c:v>08/03/2020 18:00</c:v>
                </c:pt>
                <c:pt idx="14">
                  <c:v>09/03/2020 18:00</c:v>
                </c:pt>
                <c:pt idx="15">
                  <c:v>10/03/2020 18:00</c:v>
                </c:pt>
              </c:strCache>
            </c:strRef>
          </c:cat>
          <c:val>
            <c:numRef>
              <c:f>Pivot!$P$6:$P$21</c:f>
              <c:numCache>
                <c:formatCode>General</c:formatCode>
                <c:ptCount val="16"/>
                <c:pt idx="0">
                  <c:v>127</c:v>
                </c:pt>
                <c:pt idx="1">
                  <c:v>150</c:v>
                </c:pt>
                <c:pt idx="2">
                  <c:v>164</c:v>
                </c:pt>
                <c:pt idx="3">
                  <c:v>304</c:v>
                </c:pt>
                <c:pt idx="4">
                  <c:v>409</c:v>
                </c:pt>
                <c:pt idx="5">
                  <c:v>506</c:v>
                </c:pt>
                <c:pt idx="6">
                  <c:v>779</c:v>
                </c:pt>
                <c:pt idx="7">
                  <c:v>908</c:v>
                </c:pt>
                <c:pt idx="8">
                  <c:v>1263</c:v>
                </c:pt>
                <c:pt idx="9">
                  <c:v>1641</c:v>
                </c:pt>
                <c:pt idx="10">
                  <c:v>2141</c:v>
                </c:pt>
                <c:pt idx="11">
                  <c:v>2856</c:v>
                </c:pt>
                <c:pt idx="12">
                  <c:v>3217</c:v>
                </c:pt>
                <c:pt idx="13">
                  <c:v>4206</c:v>
                </c:pt>
                <c:pt idx="14">
                  <c:v>5045</c:v>
                </c:pt>
                <c:pt idx="15">
                  <c:v>5913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0A-4691-925B-147B029495ED}"/>
            </c:ext>
          </c:extLst>
        </c:ser>
        <c:ser>
          <c:idx val="2"/>
          <c:order val="2"/>
          <c:tx>
            <c:strRef>
              <c:f>Pivot!$Q$5</c:f>
              <c:strCache>
                <c:ptCount val="1"/>
                <c:pt idx="0">
                  <c:v>DOMICILIARE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Pivot!$N$6:$N$21</c:f>
              <c:strCache>
                <c:ptCount val="16"/>
                <c:pt idx="0">
                  <c:v>24/02/2020 18:00</c:v>
                </c:pt>
                <c:pt idx="1">
                  <c:v>25/02/2020 18:00</c:v>
                </c:pt>
                <c:pt idx="2">
                  <c:v>26/02/2020 18:00</c:v>
                </c:pt>
                <c:pt idx="3">
                  <c:v>27/02/2020 18:00</c:v>
                </c:pt>
                <c:pt idx="4">
                  <c:v>28/02/2020 18:00</c:v>
                </c:pt>
                <c:pt idx="5">
                  <c:v>29/02/2020 17:00</c:v>
                </c:pt>
                <c:pt idx="6">
                  <c:v>01/03/2020 17:00</c:v>
                </c:pt>
                <c:pt idx="7">
                  <c:v>02/03/2020 18:00</c:v>
                </c:pt>
                <c:pt idx="8">
                  <c:v>03/03/2020 18:00</c:v>
                </c:pt>
                <c:pt idx="9">
                  <c:v>04/03/2020 17:00</c:v>
                </c:pt>
                <c:pt idx="10">
                  <c:v>05/03/2020 17:00</c:v>
                </c:pt>
                <c:pt idx="11">
                  <c:v>06/03/2020 17:00</c:v>
                </c:pt>
                <c:pt idx="12">
                  <c:v>07/03/2020 18:00</c:v>
                </c:pt>
                <c:pt idx="13">
                  <c:v>08/03/2020 18:00</c:v>
                </c:pt>
                <c:pt idx="14">
                  <c:v>09/03/2020 18:00</c:v>
                </c:pt>
                <c:pt idx="15">
                  <c:v>10/03/2020 18:00</c:v>
                </c:pt>
              </c:strCache>
            </c:strRef>
          </c:cat>
          <c:val>
            <c:numRef>
              <c:f>Pivot!$Q$6:$Q$21</c:f>
              <c:numCache>
                <c:formatCode>General</c:formatCode>
                <c:ptCount val="16"/>
                <c:pt idx="0">
                  <c:v>94</c:v>
                </c:pt>
                <c:pt idx="1">
                  <c:v>162</c:v>
                </c:pt>
                <c:pt idx="2">
                  <c:v>221</c:v>
                </c:pt>
                <c:pt idx="3">
                  <c:v>284</c:v>
                </c:pt>
                <c:pt idx="4">
                  <c:v>412</c:v>
                </c:pt>
                <c:pt idx="5">
                  <c:v>543</c:v>
                </c:pt>
                <c:pt idx="6">
                  <c:v>798</c:v>
                </c:pt>
                <c:pt idx="7">
                  <c:v>927</c:v>
                </c:pt>
                <c:pt idx="8">
                  <c:v>1000</c:v>
                </c:pt>
                <c:pt idx="9">
                  <c:v>1065</c:v>
                </c:pt>
                <c:pt idx="10">
                  <c:v>1153</c:v>
                </c:pt>
                <c:pt idx="11">
                  <c:v>1053</c:v>
                </c:pt>
                <c:pt idx="12">
                  <c:v>1836</c:v>
                </c:pt>
                <c:pt idx="13">
                  <c:v>2172</c:v>
                </c:pt>
                <c:pt idx="14">
                  <c:v>2925</c:v>
                </c:pt>
                <c:pt idx="15">
                  <c:v>2584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0A-4691-925B-147B029495E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83866000"/>
        <c:axId val="1593988592"/>
      </c:lineChart>
      <c:catAx>
        <c:axId val="138386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93988592"/>
        <c:crosses val="autoZero"/>
        <c:auto val="1"/>
        <c:lblAlgn val="ctr"/>
        <c:lblOffset val="100"/>
        <c:noMultiLvlLbl val="0"/>
      </c:catAx>
      <c:valAx>
        <c:axId val="159398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83866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MAPPA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MAPPA</a:t>
          </a:r>
        </a:p>
      </cx:txPr>
    </cx:title>
    <cx:plotArea>
      <cx:plotAreaRegion>
        <cx:plotSurface>
          <cx:spPr>
            <a:ln>
              <a:noFill/>
            </a:ln>
          </cx:spPr>
        </cx:plotSurface>
        <cx:series layoutId="regionMap" uniqueId="{83E430A0-A58B-41A9-8412-0E01E393884A}">
          <cx:tx>
            <cx:txData>
              <cx:f>_xlchart.v5.2</cx:f>
              <cx:v>Massimo di totale_casi</cx:v>
            </cx:txData>
          </cx:tx>
          <cx:dataLabels>
            <cx:visibility seriesName="0" categoryName="0" value="1"/>
          </cx:dataLabels>
          <cx:dataId val="0"/>
          <cx:layoutPr>
            <cx:geography cultureLanguage="it-IT" cultureRegion="IT" attribution="Con tecnologia Bing">
              <cx:geoCache provider="{E9337A44-BEBE-4D9F-B70C-5C5E7DAFC167}">
                <cx:binary>1HxZc9y40uVfcfh5qAZAAARu3P4iLkhWqbRLlmXZLwytJECCGwhuv36y3Mu11OplYjwRYytsSWSB
lcBBZp48ifK/H+Z/PVRPd/272Va1+9fD/PP7Yhjaf/30k3sonuydO7D6oW9c8zwcPDT2p+b5WT88
/fTY3026zn8iCNOfHoq7fnia3//Pv+Fp+VNz0jzcDbqpL/1Tv1w9OV8N7i/uvXnr3d2j1XWi3dDr
hwH//P4/971f1+b9u6d60MNyvbRPP79/8aL37356/ag/vO27Ciwb/COMpeSAkIgxgUMmBQ+JeP+u
aur819s4PBCMIUYkjaQUiEa/vfXZnYXh/8Cer9bcPT72T87BfL5+/2bgC+O/Xj94/+6h8fWwX7Uc
FvDn97vhrtJ3799p18S/3ImbvfG766+z/enlgv/Pv19dgPm/uvINJq8X6+9u/QGSE537fm/dd4OE
HlCG4E/EiQwlZeELSMRBxOFPFHKOSCRC8ts7/4LIPzDnbUR+H/gKEbj+gyGi7pyuNHjf9wQFHVAp
JWew8hGhHMkXoGB+gATee4oUmAJk+CUq/8ykt4H5duwrbODWD4bNyd2qv2f4wgcQlRgj4A9hKAWl
L2Ehe2eBqxEFP0Lw00tY/taatxH5ddgrMODqDwZGfFfd3X/X2BXKA8QjSBahiLgEN3gZu8BNQhpx
SoSEtCLZq2zyT+x5G5H/jnwFCtz4wUD5cNc/PuX1941dCIIWAlgIBDDCXvgIIEY4ESTEiAomwIle
+sg/sedtUP478hUo+xs/GCrxnW3v6u+a5tGB2GdwDNlCsIgSSOTfMi96IChhFEUUSUg68g++8vcG
vQ3Lf6fyCpb9jR8MlpPG3sNm+q64sANOEKWYhjziEYteMmIJGUVIiWmEwpDD91eZ/h9Z9DYw3wx9
hcz+zg+GTGqBg929u2rs3fcNZvSAESYhmJFQEIFfRTOMD1AoQ/CZiEgEP76C55+b9TZGr8e/Aiq1
BzDjHwyqTa99pd/dPNVPK0C23f/2PdMPP8AspFgCB4NEIxF/GejCA8TA26AEJVLsIX2Zf36xLvjn
1r0N3J885hV+m/7g5mD7g+H30X5fEgeawL7QIeztAhSTAwoRUIYICJ4Esgel0C+17y8V6N+b8zZC
v417Bcn+8g8GyOldD7LRb6vyHUSaEGizIFB2AjuTgMvLlAQiDQ4jsdcD9l88fEUV/t6ctwH5bdwr
QPaXfzRAmkq77wkIPoBaMsSCUUJBFeOv1ADIUZLhvZ6GCeBCXoW00781508A+XXca0CaH63GudBP
tqmH74kIg8ITQcHJMSw3kuFLF4kOJAkRJB/KJCGCYchB38asf2LQ25j8d+QrVPY3fjA3ufD59838
CNQZ0GVCBmoA5XQvv3xb4vA905ZURBIzoGp7YvAClL81508g+XXca0Dg8g8GyAf9sGfRvy3L/30m
CSOITIAJpZTgUPDoD0UnpoRDiuFM4kju49q3iPwDe96G5PeBrzCB6z8YJHseOnxPBRPKzX1uB7kM
870XQK741kfwvgGDGcbgQSBzvs7tf2/O24D8Nu4VHnD5B8PjunEPd99VLQuh/QLM9mtxj16rZVBf
QqcMyBYCF4H8z0BM+9ZD/oE5bwPy+8BXiOyv/2iQ9PsVqb+nk/CDbwWZN4p+EDCxgMgFPHnff3kF
yq8GBf+phubdfx51/pfM408Aeushr8HqD/4DX/9/NzD/pLn6yy7+JcW8eMn/aUc5BIFGIqjlKceg
j70u98nBnqGJMOKYgbD5Sm3+rdX759a8jc5v415Y/v+6c/znXeXfW+4JdCHTr736bxrLf3336wTh
AMGrob+GmTc5wC+rtXv8+X0YRgxY1u9nAPYP+asA9c2Ypzs3/PweqvswAgK9bxYgEGX27YDpaX9H
Qs0TwSkA0KujkIVfOXTd9EMBpwigZQ29BQlOiDmXQLHfv3ON/3oLDhiE0FWQ0BsFxElIfz8hcdFU
S97Uv6/Gr7+/q729aHQ9OJgOUML2l5ftLQWToP6FowgUjiRQjEF+gPsPd1dwCgNejf9XM7oKtShc
VDEVNi7l8JA3tovpINt4ost2KdqLLOjbmNrUsuq5XPAY81LHAS+2diJareHHus+fw6j+IpdAKO3z
qyFo7A5HU6dK45Muum981KT5Uk5JNHdTYsME5c2OBL1XtC6/lBnFMe2ua70gNXFs4qpyl/00I/UN
Nm/MF6M/zhckFgHuxCDvkH36/3a+nkO0w56sqrWZUJUWLDZjdt0GjMWc9CLRnNZpRKaTvM8P+5bk
f2PBvnP9csUltCAk8A8KwRVjAZTwWwuKzI+4KvyiyqI+0X2/bIWTTo0B/VgK85T7DCwp1jGO3FIr
aMW6OAjzm3kJbvueOVWNcG85WTMcxoYXbWopcmqJutjaOlD9woViDl0MJCtVJSQ8LcK1Kmh+Ll3o
lHVaKq/XShVPdTi7+K9XGHboHycI/EuCpAyKFoK/LydYi06Ete9XJaJOx3OnjzK8iCTE9gKV8zle
sU2mxnyJwuDMIbKZFpjxIFClQr6SNGx1owanOyWKOWlM9tCORB/uV6tqmy8yW7ecznlMYPelQZB9
5tFxeTR0KemWLMkkrVS3rJPK1xhHyrHi2FF0Hpa5VAQVPDbDLmi5SUccToqWsJ17ej60MwfoCxav
BSuTrKvHRMxHVLMvGLWfzBrPjDq1NpFQdT+ROH9EFXkwMtt4D5uet7hS0Cys4qXCTvUVUWK4zcfs
OQv0c+WWSnFjL+bVfllpc9HetFVv4tzABs/GZYyrbGrVGqm1HNK6WnM1VPUXkiOk1g4WZnZ1mw4s
LJOl3S/WPMM1vJ4Nts1jQeEBpdQ3jb5wAbqqnLhGfi43y37oFMFD8loKhUrhFLP5c7cWz4QJoexK
Uy2XL72r7iiaj2cGdlqbXdcdEyqvwB0m7dK+M4FyqNbbvGqPoio0apwLVdTFlExjGCifZ2dRDQ/0
hI9qleN2HQGcLlgbtUxZEBMZsZjw7sJ0PazExhb1Ex87korKPjrWnZqhPWMRSbAYBYQIG7ftfFPn
chcYMauy4SzW1qwb1tYKf85pyRLfYRkTdMeknQAwUcWkklU8ZuNDNFRUdZkUJ7ShdlOF7SGjdIwp
qUIV9jYeI/1sZ3kS5FXqgyJpxum5l7t+uhDD8titXUrbPqlXcJ6g83Uy4E3URk6V+YjU3EOkdK1R
+dzYRIzVlwqWrDczuOz+RdUUVfGw9G2aCz/GjBQo5qOOp4YkwlmmAiuvW4lT2q8nopu1ioYwaVt+
LWd4fD7IRtmcU5VF9YlbYTvyGaITKslTG3UK6U3fDEtsQ9hykhPY7ibkyuRtYpr5usWdynwAO2WU
u1bckfqwyckl98Ej2mP+195OIRG9jmZATKD0xSgUVKJ9MPgmfywWlT5r3AK7a0w87m8blAaCbn3k
VcQkONinqqmOygJfQIvpDALyWT6h57ws1f5lZJB3jKTrYhQt+LNozPOkAXHdsVqtU70pc0dUDc/t
W3vSOvShusqwu51X8MYwNM9LW9zrmUIM9RdLadJ1jWbY5OGlZPxstVblIjjLmtGoULS3fz15DkTg
1eRxGEKXH0p8qO+/Hpb5dvIoQou1bF5V3leHciEpy8NLngXXYzEYtU+XU+hvi0ItvhlVnWfXFJln
WbFt6eSsEIOYNI2+VrPaJyHkqxPd8LM5r+4DakM1dfSyd/mz8Cmi4aUJVuW66tjTAhJqUKvMdMky
rEm16vu1725JVZ2gvLhnbEqnqDk0eW/gDYp7XEa7Mrie8XiWUXe7XzCzEAcmXVXBfFtN+n4y1b2c
8BEdi93Qy+uJZ2k+uNsC39qSX+gO7AFKsmWkvZ1LehlO49aE1Ym3OPnrZQWGs8/CL1iJhOSMMUJA
nID07nuS3y4sL8c6b7hGahnLZ2OaE+ejuCmPmoZd8io6228dtOTPEanOgWCMwbAz+aC893EelZcj
FmcrLFhb23s2NSci4GflCCs+FqXCOWqUC6NPXf/RldXzWmaQHW3eqDJkl8V+ytm5G6LnhfShctae
cNF8lBXZraQj8d4iVpJ0sXSKNfdG6b47Iqx88izaeQIPE7pPu6a6KbP+VrBwJ/gxGu4rBwse+UsH
2Cs5+uMlm1ZVmIGkEQecSBnMKuiCSc1S3Barl5u2zBNZ9lM6egjxbQS7u4UoxicIEEtlVRRsa9+4
pJ2nPp0MVnlQuIQM7MhXPFJ8DrvdkI9rXDTiVCyijGlQ4HjtKFCENdihceiSociTwctSjSuQARwa
SC35UCgSVGxn8zVUppqzxA7jropK10K4CdqNWIsw8Y1mMWvq2AXBmDRzHsZlplulx+xO2pklXMsh
mR27nyvXpEV9O0fBYxbyL92kQ1WsgzJtVkDcCJtkKqZDH67VSYjYnBTliVl6Jafq0UTFoUSwuT+N
wfh5xlWvaDueOeNvgEwCk4siVVmaLhht3HJeB00LEVIeNn69G/G4qQVv47CcTtf6g5FVHXcIeIl2
uVaZzlZYc3oETPyTKekRGU0Za4SSbg3c4RTMdSya1HZoPJpcs53NZi0bDUlVYhXRWsTtVMikY7OH
vVBNite5kqLhqQfSopayOcwifr2MblLLEBVnLpKHaP2yFE9CM5sOKy0Uq+0MCbC5IiWbYj4M94iv
d7QxtdKaPzU0k7EuWL2x0yGR3Kfz+lRMIQbLphnoQ/3YSfB77iFsTuSTgH3ux3LjcRXzHJg6XnWW
DFkTk5ac66m6CoslmSlxR80AWYyX8KZYzrFn9rOYRRhPLakhvZjhhI0iXimHB3pyVto7nnfovGmm
XCEfbWp/1jceqV5iexYSBbkg1QSWio/tyUSqQa1Fm0R2iZSxaD1fUKmcW28s63ZVb73KGHuiw2yB
QMj+qKmDUpksh7Ak5bMIfJE2UXDcBPxK9n12FOQdlCBzrhiVZcpc/TT1hYZcjsS2WmfVUZ9OpHeb
aQ6mJJwDr2ZYUMuaj8JmTGVdy1TZpmyd98mnigtTX9mMfILd/sXmbRHnFbFqRd0VI9PWQaWmymoI
1ELdfdsZ2KxzDdRZFJ3ia3XV8exxmacNhyBwWGFDVLCalMsl7upKuYaFyi8+T4PInhaSxsP6KdLg
9mZtTuYTUxPxwXXHWd2itLXFMSZTpMQSOJURhlRYmFENkysPOy2gYlpQDfup9KoLKvinAJJs2+Wx
htg1sek4g924Mb7+ErK6O826PlNozc2unBD47rQnt9kQN2wELJvgafJAXTpdbAnqd3TwhWr3BLwX
i42FhiE1xCRl5ArPNGlFfb7xMpyVm/tnkengUNvnToKLrH1wEhi60bkoj3gTfprWLPFiFYqIfmdx
uXFefyaVqFPfTJfzggMVVlTGUYSrFJbu3NsoUJp2V85lNsX+cFzaBVJf8YVPy6KsQLvBwGYbi0V1
3cCScKJIDZYeW4vJYdfF4TLUuxF1O23xkKAxui7t6uIy15nq3CI3JeFZDFHYh/2pb8MTjtprYvw9
RpON+xbirs46lhTL/crRnZ77neuhkpJ7ssn5ulkW+kQGryEd1TtB6ot54df1MB6uXNzXw1IqkonT
vF6mU01Jilqf+py2p8yaw3DPD1zbFvu0oDzrfOKG+sFOWRUbbI5xMxyTxd8T0flNxXsorK2a5Cg3
fISoWMhMqwLLT1xDVok48iooQ4hAZgpUMdenzGVdEsCJuBi3+Nr5lYNvdktc4I4ksjFqbnbtLD4u
GvzB9XWocqgVjpnwJ0OQAQMzstjS0MKuRVmuNBqK48Xiy576PT8o7sW6Aok0j8CunEIusqnrjYh1
H05HE4vSkI8BeDIEYV4DvRYOPSNdU9V7v52n7qOTJ362N0vm8Fbw5Q7zy6oe8sQ1kYy5y6A48TdL
6xmkmFkked1/gc9+AHGEyILqdeNsmbi8ugwmeCit5kvXq3Iy/UZ6myWcNDGvboG8111Ij3xWPPJV
XpaL1OlIMATNYgbqlQWnrgzCuO5boPKk3vW6PgY6lHaZg2AdBjgpi9wrRPvjrrTjWdnOBtyF3hJW
7bq1QiCJRPFUjYVqMLiLzW2biNCcdHReNjZofAysoqjaQ9K3x971LIGaDop8AiGqigMcQdEezXW6
dDfBim7a/hJV/Cpr+NNUVNfNPH8sO61j4vtT1ppLtpJHWhdD2iztRTfTpFyadMnXT5m3wGcFcMrc
Zhs9lzDxqtxQKg28I1YyEOei5iZBQEtQCOm+zuiYYPQ8rpma5mvRjdGXdh0TulQ6rTt5SnxzE0Cd
rvq63GCtP2JZwXbtI0gO8qyTLqErqEFl0F5Hc3QVdh3bdkasu7KqD7mnyvZMJKYrfFyt7S6b6uEM
qoV4aTp07Nb8Mzc0Ui3VVgkvUNwGslWGkSrR1Jq47aHeLSbYCCYAEuaBgLiBnXkLdVMEnxdSs10f
2hJv8gDYj22Nhaq+9RvHLvLpuitzfDQDg0jlHKJLWqNjNDJ5ZPXF4sYqiaY5Zq6bYyCt8dD3Lu10
J0Bh0eeiak9Wvhuq6LzJ+mnjssCqwPCTZcrPOphF0rd1lEThsKS9WWwC8b1NStu4tNIDPHbMpkMU
qKbPcQxhuVRi9Rj0K98rK5vEOg4CzgIeWc6Eq45B4lgD0GJC3xQJ61aRBGXZqW6kT4thX4SG8M4d
+mwL/THrYc1A/CnUiNPAGLIt82UrYcXUzC8FkqfWk/kQCxokFQ5AcoujnGYJlLZ+w+c1uuAYihC2
dPjQCqlKqs3JFJAofurQlJRAypWd7aBoZxrAOdvQbrybwvJa0KbctGbVqp7tsQwgNA/DEKqVQCoo
LAbJbxPN+tMUgGxFps9LY9ZT226g8upUT/k53WstHRCAY29OO27TZtZlMnWwO0ct8mQJ8XnT0TzW
YwlYY9Orvje3eEWgMXrZbrJ+vc8juAz548p1yMWZcPddL63q5oruRN8nbHH4qNBjDj4gz/MCo3TI
UVznQRNnLc53c0dPKhnl8SSQTvbkFkSV4EtmxP3Tp0mSS1pZSJ7j2m8gLBZxlKauG3m8eDTFVRDN
l2ER4/ulDh/CecBx2w39UU+A1pkp61PcD1vr+vs8h2SWZ8Wh1sbFE+LbwrEsCdk96QqSMLssW8jP
XNbBJrNNBgFyKuN1foCyeNqM8G5xINxnLEQIi3c4hfZhwcyqhokUZWs86eWuq02WetdIxXXeJbqF
kqaHbdUt5bUbfLr4OgMv6S740OK0RQus0HIH6vPGL+xpkWEORcMSJjwyUCgX25GB0oTXFETZAHQV
fF7S2sA21udd0e+4tlc663dGe6vqvY7jgDqUZvhUy8ic5+VaqCGgn7it+6QJ3ZwGl2G16KtO1CY2
nt4bhw/rRrTHUNqJQ0jBRiHCsiM32s9T5CFmiDDNWQESU1bEBEJPwnpxsdLqOPtgco0VKiqUoALI
6ApCwDDmzVEXML0pll7A/j/2GLj3UNspHhsCiorogWzyD7imUYJN6XYzmct4hGQXdWiTDT1V2tlj
Mi6qBTC3PYL0iXooBloElKhEF7IhV+sU9XFHMsieCJjiMsRct4MaKS5UP4wgW9enc9iSwyIHLSPf
88iV+3YjB4gLPYckgrviysmsURWKbkZeVYpl7qLXPNqtxkABOtcQqrvoMAcRNIpWVUHYgIJjmhNn
s4+1AB1hEmedcEwNbBkVx2g7SpLFrnIqx1sPi6wgvUC5RfJWcWBp2E8nRQZai23lkgZddodWAvPk
+JlDmXZaV1k6N2scLGQ5wa6ZQU9pUVIGVRGLtRYqbKWMWQba8Iz8ja/WY9uE147kSWeH+wkEMNW0
Df/o248i27CglSpyxiQ5hzRUZZczKgOoYsR6GIlr4iGkcx5+KUd2xQLyHJoOFljWN6JvTbwGwCJ7
Nj75HtiN7NycjDiWJbmQOVTyNRXLFtNT6GYAu+DoVDeQlwQfPzbAVgCTIFDzwooU2MdlGdI2bqgk
SSnd1o16ALVnmEEzH11MiuKxWkkSSv2wzI7udTjg7aG5mgti46rRMQromtiuB37CrufOsY0U3aHv
sie3tC6GT1TWh742/W6/203YPsJxKXEx9fI0b/GqmvmugENSKsi3a79dSbACEyHRjlh5m62TScuW
TulA0ajabK6AgILLzvstVldTF+sGluOr0Qb2UUuaOc1ASFTM37TUfMiBje25D1egEgZw+mSXleVV
yEqpgkpf66XvT9xQQDnO+6MOpLnULqC5o1le87m1R7QKH0FAPMt5WG1RN6XZ1HPFp/yRNvUY4/oJ
zSZLIqcdUODuuW9BM28yO2/gE72ZiurdLMfmIqAlFBq+eBwZivsSatKyrNZt3Y4VyOuXzQj6e5Pn
KrOlojwo4jKs4UOnUIQoEAWAhUTNA4OogLzecsNBsed20wHbVr2D0BfVjCeglrHEGVKleDXnYZbN
8RARluZyvseR2GS87FOaCQy9JVCG5QqbM2hORiR00hF+DUXoCIHfbFy1DgnJzFFT8NueVlXSs0Vv
PaIJGPNZl9OhjsSaLM0KRV3jN2M/aDV28nMOiZCXwHJ80d6UojgcmjXamsoD99Tmmhk/qUgufUwv
wstK+GI7reawHEEYgfK8iAPIeKxp82MHSq9CQ5SlVNfVhoO4DamwPKdh9AhBrQbdAYMciO8xB0LB
cO8gk3mxDYnvYgfZVdFVFkehLS7M1KQOlG2SxzXQQyBan70ZjlkPQi8U+Uk7rEdjWZ+PFBoHQTlt
slHwTYWzURkjlhvn5i3BOiGNmzfL6D/TNpVDcxFFnbkwVQOqAvVn2ap53BSlPwq8PikDfkun2pyz
sTeJLXHiHd3Bio8XbQf+0xQQKgx8nDZ27ScNB3CgGsvhYRDL9UjOpzoAed9P3QkZ8YeOOg365Jgr
58dr186tijp3aKSxcaMhwA/5gFTRPSO2dirP9+pnu81p6IEF2k9QnJ0tFAIVClMRzVSNpq6PIwv9
Fd7XSY5knRLpE1amYTk+s8glRdRNqigGneiZnwNLPBtqs+u55gkJ2fXi1l1nKFS+g95aMTTxhPMa
wipEjhDjm3kW5xEtZ4i67XVVl2NqWFEraDJdroXR20gGn1fzsJQf+vpzUBubjJ3olTa5jWkE7Jd3
UN2Wc1KuJ1GeOeVkn/jaByqXQ8qgOzdi0E6qcoFoHHXJ2kLbCg5gmrQNcpDxcnI0ir7YBhgapKCD
FAvwto4854Gez6MG2iosAE9hE1O6qm7mCpzOrGaJpRk/eDQedrmIfVdu64yD/J5DoCqrJc0W/Wkl
7Iq3852oivJUZHLetJyiOMxNq5auvtPZxxkU3rXPE9tTl9QWuoxm2foKZVDKmSQK6p11j6RjD5Gt
G5jm6GPo8kwx1L58x4cpbsK2TkQ/saSvJrB+diAm5FTvgCXP/jO0k2Zg/Dg8jvCmkUOu5toNscxt
f7TiaDOH80M5tlNcW6EPgYd/DCaQYALTtiBzimznoiNN72jYl5tgglBSE/MclBeV63MQVqGxMlNo
H5ehu8qz+my2ulCh7mNsoUiKKtrHa4nptpRExh43HwqdK2va8ahE9Jq25boBzR3eAeVxuO7bUEDx
x8yBsLjo51LvJeZRJ+uYlUkPnb0jVoKaHC7LRnf7lt8IilI/aZJSHh12EvSwIqS3hSBLPPXR1pW2
Tb1mZ6YlN3nN8p2b7Gmz7zszXEhVNOhsmW2jVgst4bWG3TMtbsuX6L6rImg9Mqu3ddlCLqhOCO6O
wtwFEHeC6wBOg8Y56GJDuSyJpxZaW/khX3oQjMIhGcy+YgdBv4ceYANnfRXdp/qWQe9xqqDVDyey
4zmyMwipa7fZL6ppo8+5mL98HVLpmyjHV1UP8wZGm0Kj5+NYNFPytQ9WATJJCVUSbiutpIOZtGaC
FYyKh3W2m9KCrPS1iSV181RnULL7DLp5EQtShur7CdW3la+XbdRRaH3GLg8S50DJKMr581AC+cL5
FpkxTCwGL5s72PIDK0RsV8Pjipk7VgL9KfNiM/fyMeIzUHOH4b4P9WmfZ4p30D1eqwaYopC7Vd8y
Y6Jjt4h4zLXewX8zsUNFFu4QLja+ziFDMWjNFiUh0LJdzb6ZfImi7LNfIdcDZTzpBzjBMAag5jfN
/6bszLrkxLUs/IvoJQYh9NIPMRBz5OzM9AvLTtsMQgiQQKBf35tw3Xtdru6q1S+xnJWVGQNIOmfv
b58Mj1VXHaeazvt3cBzochzeLxcQdwJF97zDZYFcsq+Iui8L7HsGO+gqUYfGb6ZNUOGTMHa6R25x
29ERzz3BzxvLxVKE7wXveN+0OFpIprtNE67bHF/MDCUAjpqyzJ/9qkDLyt2+6qEAtcMc7lqf7cik
50Npw4PjU/vOKvqYDaxYadGJ1EzZM1ey3kPqfo4D5va5qtM2y+d0jGmBvUssSu5Xo2pxrMtCoVyL
5tNQRKlrhsNUk+RE2rrdxovZSSsQCDCTvU2emae+RYnqOHZSBn0crsvcNDAk3KDQfrtjgDNlJhos
ABE8bSz7PDXho99G17AW4SqbihfbiXNk4VNafEdmvUQPTLDWIE0JqlEgqnxjTfhIp+pHq5Kvy3Gb
BChno17h9x5I78dpPsIcgSFEV6MyEIp66Nl12+Zbnn8oC8ags2wfd913axu2d8LWK2Hg8QdJ5m2d
Dvct6ul1M9S7KdMQ3CIoXFUZjJAJVbDuRFatA3rXkIivShT+rCEbIDJ6U5f7ErvRtlawhRJn6pWr
2XpZfHGPstT0+FBm3aZWTHQFV8sjp7Eb0T8Z0q1zKzZsxHeDGuVMHt3Jktn1HNSfBjnf337lGHfw
Qfs3eKIPbY4Nmmf6rcUikaF8nmPxVSewnwz2WWiA9LmC5THKfm0HrPwMLfZKQlusmuwaKZQCVbn1
q3hXejD/4DguJhkHlbNS87QOTLA2WTesmhaYjM26c07rlacSaKD82dR4hgpOpVd1IYyNGnW9CA+z
USgEo/Ka8RA2Vd99oxlqhnDZbugU/Kht+5DQwNuWif9KuXkpXYViqZ6CTRlUEHxct2YJrmVdZhew
Hh86hO2F/u7aRoBaZgGvKlKrqNIVFgB7bqL+zS/j0zRO57HM0fIQ8DFG9m9zVaBv0Xe1g160n+rk
3ji1I8LeUQrPXZkDl/FhsYiNjR4Spt+qgj2X/SaJ63TRR9eWJs+0nKCgBpuOfORmPuWuOVewTVY6
iR5ulh013rxqIvXs5+LHYpqyJDjUM07UIHmeI0BRnO5YHF4zM11LGLV/b5QG/5tNCmCJJATVCayf
32xS6sk2ydsIFhZIAQbvGcrvG47Hr5UMHvIInaIM4cZ46mCHIXVxs+ubh5qOX8usDVddyJ89zZ5r
Fe0aFlw8WV8al52bia0INgAl3msKOXQonuawfJq5+Hp7/X9QfPe/0mgfqp37Mod7eqPx/v3lf+++
qyXlpm8TZf7zn//8JX7oj1+64Hd/+uIvLOD/Qfv9HBj0f3zzTyjgx6+zcv7FvS6wHFitX67PX0DA
fxGT/2EHbz/wBwWY/NcyLgN5zASDaCKIOf+iAJHZ8Jf4XwwE0Eei0wdk8C8KkP0XIoEBYQGy05Te
UlH6JwUYUmQGkfDgMQGji1FD/y8KcHkjv/rtxMezA4dHSpsABGRLBvtXv11R2TkDDxSAU4iSk77P
AZQqkcNfJDm61rGR556FwBdS1jC1bqWuV3Uc79gQvSbQy4LBPvWR2zmbf9ddVfwDVPb7C/yJKSbg
+gkPluTLQmL8gpmgogAiWwJThBQA7TgKqj2Aoxbnql8f8Y8A2wSggJU3J1vUbMdCVR+6qYcncAvz
QZWiS1kGo1tmc3SUkcvAXkXBQbX6xy/X/I9b+legkuJC/vpR4gUSBl4TMDvI0QDX/M+vtCbLFYS2
CwwKR6/K2bsr5umiYq13BTwRVJH9w9x6bqNMEr+6jFAUIwtyaZM6TXIV7P2ClFs3RAdcluaB1vU+
sq7eqqEFqpXDBG7fMz0F2IOofjRh+5y3IT35QzKi0QbetzN8/trBJCrqAVUzirZ4lxWYixV6erhL
9BsCeDEEj8qkjIgLi+bklA2xl3ZhLgvU//06YB7dlk0wwU6r1VFP7IdnkuGe1jhQVnDUFU5FZ5+8
aoACUbvUZLx/MEM1bP/+81xu/98/T+RrEOnAyoGa8vuVd17Q+sb22Nxb784OVQIBop2xL3tTKhJY
FGXGD1WXHczc+OAp0eUVDQouH/Z3VsXzA0uGf+B+lqErv72mhfsJkfeJSLgsnT9f4070/lg2s1uF
cH8gCHnTuXHuUzs5c7WGeBfUdnnt4sdRtD9cJ9i6r8f5s1TkVQ0owP/+I1pGiv32cm4cKcOQKwQk
yULr/7o4+qZEfy3hzk2GtFtmiuIi48qm1u8ktAj1bqbI3YdGQokqbezBipFmV05NdJhgir8Hyeif
QlH5RynoQVHynljL36JKAUsd1EeG4/dkJgLiIJf1BpV3sPIDURyGMVJbf/H3bavrUxOKMv379/a/
fNSYpJaAU8bADmxA7LePuun6QHSQJQE+tZ+ipA82rT8PAHnyr8qRNXrGcd/IYYYy+SWynjjZgAVp
E8Ksk4r2/3Di/vXARRqC4BTHqIQA29Fv2xCfs1gp7eP5uYTkXsCaCbBGQZ4ReR/51T2f8ujwDx/B
75fXDxiOAIbk64It/wUYnkcox9hs1Iqp5sWjAptJ2EETGiMsRTMPDlcxMoeihN09Zg2UANfzVAZh
mZb1G61zea59zh66yH8L/CI7FJDZUAom0T/s0sFC9v6KbeGVBlgQYNKRiGN/gcmb2S8bDCYA9EnD
V6AnPuwaP7z4/viuGx/tOGk9vetsG77AY9pMOc8eY2uyYzUM7x5BBd7oyJ4GB4olE/j/aS3cViRY
URqtOZgadSWyf0zGYcIWr4+94eJuAirKJ6KvYFsFqlFfvc4RNOe/vwzxMprvz+8Oa4si4ReBFSXL
of3nZQa2Bm5raNpV3QuAqQHboRHp7zGm0DuZMrPoFNlzJoPmCepkDugsyzekab8DEgwelu9NIJuf
8iYA08JgAOZh6W1t0VZoz013TzI0711YPIF2/T7MQXVmo2Obws9cKvvx6JVj8jDAJ9lyT71lXDV7
L64+28zq5zFhOyemU1aT6QWQJlCQcz8leivZzPfR0JSrOHD5OuOEHjvGmieZoSqda7bXWaDSMLA4
N6kQ+4J077eTS8T5BAEQVWGG0Yx5jrcHWPoAWjF8lvTi8zx8gcqzHuExX5SEWX/b4/oM/GXjJJgH
34p9q+14TGKLk6lVw4oHRXvopp4+of9+TryGpzWJgUxBL3klpNuOgpWrtlPmEbumu6uy9jAh/rJv
VcU32AnUtR2IujI4GZGAIzKNI0ndrNkWLHW/r9BmrLQtcsAYg1nPvUXvjCc/BFGYrUx5N+DkPng2
yS9t8Mh9E14Ggg2xbEWbqr6uNm2YwV+M42I7xFF1HUdQFwBiVDouN9+0PFBn1zwR+tkEDLRzFpPz
nMtYp37ktUfTe8E+8qJ57UxmT+0cvHlxmJ0CWXgn3sQk7aIMrDjt+d3toXMT33oZCpqpa4pNBWV3
ahvyHUXZsaHfcpF/VoFRD5Kj8ZZx1q860VkDSoitIT82n4J+uNNDTkCmYAcIEHq4FFkGraI1G2Gi
72oMu/chyat140x+VgQFFFHeKW9rh+uNf6kZtAxIwgdTvWvLJbwfO2x/bjDUl8Wal6x/aJAx2FMF
Z8pSdGxJ57/lQPSBffTuwUQmwiUHWCfaJjiakocHNgY2ZWbuYD3V33q0aw9JuwZVU+/scqOj8ZB3
3Ov3GeSXwHXjexShagk5mKucgI2qBoBkXTl/bVUYf5NNt62Fd7ktBEzeyh91vi+UEidNYElMuIWN
3yYbciuEIlayOy9nNA08S/dq9F+qnMpNMOXNWsWJ3NKKpEWe3TtcQgEqprRHoTJ6EhZVBcRhrEtw
CqYjcC6aJDgzEpm0QVzlgJxIv+cJ3FkUq9jVlhru9qMdC9mDl2Th3s+LGFozi09e3H4q+Vidh5bG
qeqyeKeIe8uL3h17z4w7sJFsW5IyP7qODtuQ5xT/G3uHj0tPMYpUKANnuTzMRSggc4FQgMC50yai
T7fnJiaOzzIYO9zDULa9GrghQGLgRuHs0kxM34EJtO8iyeO1C5lZ66TpX3CmmDU65nh7+ylA1vRU
hSo+Wm6+lwGgswxm+ra0ldoo5RHIVibb3yqGMAgaqHosehqdhEtv3S6isbgAAZjXfeDaNIphsPmy
xI7i62A99sXRhIN8FmMon6byLo+gZEFDpqfbO8iH4YnrIe2bxF6kB1GnjAm7H0RZQfnMik9NVkLr
Vv60hVPyUblFzRp7vRM4Vi5t505DQ/uzC5pmPUQCjnxeJ4csmvW29UWy8oqHkLXlToEIzoH1vPJ2
fu/y8hDpfr4fdCXODnQJrKh+VWhegN919pgU7sozUl+dakhaZabalCWpHnOD2nPgaq896/ahnLIT
N3zYZx95PcWHtmzZnYvlMWsBwNSV97kaR7uefNZsRltNd2JmZWpJuMngOKQst8VZkwy89wSzGzyL
fb/9S8vCfoIJDJHjAD/ZXTqTNNdoLgCz3Y7HpNHx3uTa3xasKdPYyfEZqj9o11C8tKQcH7H63hmF
Rt0Fhu7C0s/TigVdGtFE7Qkt4lULC+/ULw/MV/OmL0m7zihMuhEDZVcBw8EUTl9LGk27vPWip2KC
tTVGUFId1gqkb3oK2xCq0+2AF/nROOkd0Ro1u7mh3Ra0oli31cQvYVlACp4QI/FNuwtEaw+kFD86
6dpjXs1m5Zd+eSUq0xuRm0fhjZ8w0zU45JUNjrmQ2F+SKX+MOpqvLFC+TxkTXzONrdz0DpZj26Rj
2LSHYrBA49u+ePI9tiXTdNRCjXBFdZzSY+8oPXGZ+WkRhfPn0rubBguiarjvtcQiD8BHYIQcrPrQ
TScVAI679TyF5+vzrePiMUCxEqyJgEB3r+sIMpqvrwEp7SYfRbIfTbLn/SDehfSuNsYBXIXNHUHP
sGu98ErJ2D8UOFE3bGYqHeqZnyN6momfbVvH2w2HkZfy1tJTZhGFif0QOpTkc1odsSCG+5I2871D
4ZQmBJB/0vBd7C9eKG2KY1vqOjVJdsyRKnls0Sdt6hyg21wpuxvgUQym3RcM9JIYxfn2YMEowu3O
Ith7dQEnW077kLfF2Q9bsWaVOrlkqi41AeFERQmnmfb2cmyqQp/b5YESJtaw6KbUt4l+pKAjUmX2
ZQUwri82OhvDFzgtyV6G2V1VGVR2vPN3IpJwWAaevwi5dhzQVdXMK9yG/M5WerzDC2SpNq178kFr
9d64HyEw+irgECzDcp0sH5Ge4nAbMyfORcfFuRflKg8Ld+pyKR7pgIBTRIonahGXcB1XB1XFw1pa
z6RtIi8WIBn0DmeBxWUtQLa6Tiu/9TblHPZnxMVA0JLggGAUvoLXd+5z+lE0vbwagKwuHKInbSFJ
t3buH5yXv3QN8notl/5ja5jdChBMexk3iJQ1Q6TTmUEDrrsJVR4FTxwKdQqWX4u5eT7QGWN2dtLe
UVP8BBKKHd5eGYAScLA+kBw8iSpRr1jQaawG+ZiV5Jl3Rt71IJ5WQHGW3abKH2QZ4j6owpdEWH9b
t4/TFIsHR9jTkBcSuBi6gbEeEMnKoffOtrX3VuMpUMW4zdAC8xoA1n8CXrurSnSKd/CU3bcxQTWl
2BG1DQreHB6mbGD4qeWth0iSzIvgMUY1joEECI3r4mtS8eYuc+OzX4zltqiKfI9xGvo+CO8W0wFE
irrG8MhTRWe5bTMYt/DX1j4Uk7PfZTZFt5utBgzffnSg87D+bLmrIveWVN23BJZkGvQcdxNk/mo3
xn2EHtTBlK0RWgN5ufPHOHhx9aS3RpYv0zS8hRN/TGzTPOvlNNIFsl8GSBafH3tSLJ5KYhEThH1A
oyw4DDku19/3EcHvCVRobZjSEjGM1GGYfuwHf24jeAz9IvQbtNBleSQuCXZymMwjurxigzDO51BP
3anwkmPXFdVmTLQA+1Dru9tDXrOtoVH+oIf+6+0DL8ogPHZtTA+B7UEsuH8QO/7S08Usgu7C8LID
7Nq/61mBRYgwS2yAVq6e1yC380uAQMFeS6YvqoSXMMbAZRO4Kyqap/u//7T8vzw9R6gdIWXKMYqI
JWxpyn4R/pKWFTxgmVmJ1iRIJpRFWvJ8XJf+0IPdIv0+KroarXGSn6qS6ysb0i7ZFciABFzx88h8
tx+SeMnNzgEQ7wItJOvVNavKZPf3Lzb8y6Xly6xe3+eYz+NjFOlvLzbPZDSaSoEI8CWKc4HgRIX6
ZVLjCfH98eQK8Qi8LNyUSOW8TEB5QCiFr0uVcxaYIb9mowTkvhSR2DKLjbNIuQVSTAduIr5LPJqs
I23no23Hb0hmyiepNfqZMQMZpwl972EN6gTseqGdlyZIHfyTHPfXt8jR/CLoF0GZxtiB35RiJGKq
SYrErW4VpZtwUq5nD8JSwoGrDBhStQ6Xu9VjGiHKxgNYRrLq9Pcf9F9EQX9JzePGSDAyJGI+WwS6
X+6KYsjRTETA54re91eDV40G1uzCoFTJQ49Qab+6HQ6V40hlQNneZCFwaIqAU5HE3TcHWw2bRtn8
wx3wF7lqeWGYT8biCAl9pPd/e2EOIUCvwS666qGUnY30zyoYAGFZDYMvL5+UX38MsHK2XgMkFhng
6DAYMa4ki/ILYaH6h08KIj4+il81GQyww9wIRpNoSWMDM/rzR5UXqgFk72NXqzT8fwWCcNEYEJ2d
TbuhU2aPnT9oYDcAj03SfiCmOT7pQQ6HBmGpFOEGqXIIcKStjgYJwyMyZoNbcTrs3eRtLK2bh6ay
/oV3yDHXFPCzRvwZ6hz/VDSIfg6grXJPu/s4U99LHYtjNy3Rl17fGWD0dzcJPP48Ik57rRQHM3+r
EKgX7bsEHq4BZ3StClHtbyvj1mglI3Iyli6RbEQUfopLP2tieIvlriy9/oEZDoJgfKwNZFnlZxa9
5ilpDN5KWUbPIuZ3N6Whh1H7ECRvZPtT3XbA7letBwYBSdV5WxuLQnVp8Saffu0nQJkhNeFL2Yh7
1Tp9yBpOzhlywEitpsTX0TVYHlSArvqPXnQswgOKNrpwk2LbTgYCdj/Zat1rUEsDsjnANdn0ETU/
kEw03+2IwCppwDuHXJYnlQtzB7gLvTYnhxp2+gG8uHzFhx6h/yoFMY+3t0I8vh+TLDjGAfYLH0zn
CskxuilD2p4Sw9vHEJH0OtMmLWgGCsFTSIhz0j2SmkDmH2mMw4YVaR35WSqn6h05uPa7QdiMCIbM
N1KP66gK1HZKQK/0vH+M627+Es0LGFgO/DWbTL3Oezk9Ww62zZ8a8wDQLZzQE4eQ77dh3s9v+Yxw
UzAhHURcXCB5hntonhDIA/w1f/aT5nmWkD5C1+0LQaAWYX0HKPxRMQyw15ciaGAWkVBmz+HMzSXS
ySmsi+7E8sdBetM9IuDTGclrA4+H92djhmiDJTetQ1+t+VIACMHkM4ygn7cN80jqIx3zsujg5y6u
2xWJp01SFfwzEn+oyPwP3votlmtEzpOyCIpJJGB6ZGlhTYDvjTALo8kclnE820PUV9eG6v6hhNjT
85EhpUQjjMJQuFWKMOWB8bFIIGivo67/6EgSvIyNy6///goJp3zlKt2uPQwPvdczaGY7TuwTos5Y
GEGyKme/2t+ehHgBAZYOXxsq4oPQBPnfWn2PvZAticz8RKfw8da5WzS9xyJyKDkhE29aN3hpT+oI
VLL6wgOHP57iV94uC4EliILYQ4GYwsoN1N31IHA2PzdXBxBgy0j4CgS3Oc1JcRitl58lKp9VX9ga
C9BHigljaoHoOLodm2x8pa29IoTR32cVOHFbBd8kfL+nokbn3JooR3qa72pT0yc5Zji9uP+tq+gz
Gv/omiOcidawfI1zOp2pxJ3oz+Qx80Z9GH1ERTZ+n29Lry3PTtSXcbkFegvIhPEeBYAfF89JaPSJ
Ia3Vrnx0eacyA/eYgUqZooGcXcTe/7gTOjZcHaZRgopEJVGCDWwCkZza5dpmAMHDlp4Vt8OBeORi
qkTe49SR8ABsuParAYsnd/muChBBG0htHotcj0h1kXzjIiTghlxdbg+679QlR7sMqxDpYhLL8ilG
8FLG49M0I/JWRNUEyBbFiieh4Ia6pQDh8h9yYNMFFmJw8JOUovlc3zrzxMF+uR3LscE2Yadkh2jW
mBKv0uB78OqlI89Vp+T+9lWTXAWipdVyZmbjAQRRtosCNn1KguzYughY9SKHOZvpLRyv/OCg0x1H
ZmugBNBek/hah9OMWpX4aU97fby1x5JBaR0Svf65WxdzgBEvYXdfGBmDXA92tyfXSeLtOK42MITQ
IfMrd05Vp3Kpz7oieSC0io74wwcWi8dU+3YGKOnBgCQicti2EOdsEOZDsqNfGyO7Hcg5suFzPO9w
OG5JHolrpEcs95x+oc4EL5XJgJM69sUxVpx6EtagNCp2CbBGLqHvxWlAkDya5y471ZnLwNkO/raa
hhCxqlYdigg0uKFCr0NoJJtA5y2wM6o3phnmfV0j7dwTr0g9Xc4b3NfVY6MY2pBbMXKr1Bc1p6xD
774yodvBXmrfW4Y9zfVDvOLT1JySIt8JJFy3tDMzSBbU1PAHwifih8cMde6uY7Q5LgQlBgrMn5sI
Ws08DWAlJ0xdUIDBvVF8IdC3t5gY4u3qVnyiNsOYDcFDRDorsevyuMZgCy84QXK/uxVJBZLj+zLo
gr0GtRkFzoHAisQO1JNO87ZNHsJhmXbR2Y8Q3fqDyn2z7WM02iCsQ0RzMvIQQAJMQV11Z15X9frW
YYagyBBfZ+t6TuoPb+5rZMVBJt6UDR0Ww4YvJydvh7cgRhSeUczcMFU4vo7kLe+m66QLna9G+TUR
xfy9npCjHp8RljZfvMpdh+Zb08ICJF3Tb73bJhF2MMDBXet3My9DVXzd3PdM72gTizVtCYwwN8Xr
MAj5WzyEj/Me2YTsMWhlC7SuDNx+7uK726sa8L5PSJKsihzpuj73kBJQjTpVQYu3bMkHi+rkqEPL
TxqNm9IB1JgBqf6xJPmJje0a7Trb6rjPn2ZDETPlo3tvqvw5L1Z+18iHaA7HHTyHcZ3wDLRpUrAt
H/cDLcuvcgYyi7XyMOMgxjHR6i6tl3MsqEfEjjo7YGDEeyZo+UpCfZgJjMjG+v7Ji3K2t+io1gJU
KfDWaDz6ClErJAC+OGyFEFZ9pH4bSuq1gyuj5xkSt68fboYOEoeHOimPnR7HPbFKzAjrAvY2yNPv
fN7BELLRj3oUFxM4nPOwG1MJdNBfBROiSjVmLcSBVFeNYTcHRMHz4YDlII+3lqAvwMspVMIpGAIE
knMvXt9aMQxkWM/FAHMTxSrCrlNxN9dJf9eY6IQrvLPWqddS5cXZYmGudB4A7I1n8Thk/HWqxfg+
S1GsgcEXzwGGTq1DNb1QAn0s6njxpNqse+jinef9yH0CSrVBQQqzlG2iNhyOjii79w1AvptkUtWf
WLyQ2jNr3+sWFKYEq3k0OmHhVkoFlW0u7psMqXneL6ka7HeHEQmJfeOfbB1MULJgjUkkOgEl1zQV
y2YC+hLJGG4g1NWv3hTVx4Ha6QIE+dIzTz0HVB+90XaI/vU/yRE/nPMNEiPqwnzkFXM+2kMDCH3e
CJBeO9FB/IiIeHcoGlJUaSW4PyZ21VLVtAPuLLBg579vu9BZ/d7+oZtAJ4G/rRGj+WKYMP/nbiKI
pOgjH9T+WCqUrxgqNi1dKgosgZyAd9O4RvzJNSDs83yKASbHyRwesJPNp4ue6PDVgyj+yQ3I61tm
m3UvZXS1xUTOlr2RKvLWs5b5F0OabRGtfQw5Ok9jP4J+bRMQ7THgzlmaUyJJeYA0niCyHpvN7cs6
GP/4BnpkH5W4+TR0LkcD4stDXGTBORo6LzVcRndMohQtTSDgOshupXT93E4s2SN23jzbjld7glAH
CdkqXM4Hf3mArDtvJ8bElsdwqNDzdNdZ8fE+kK1a2Shrn2JZfC7Z8D2jYkE9UKEihtM9hDOirOB7
UucZdfnPA0YagbKaSbcbF4kr5M6mGMWBaSYcHEdziIaZfWAoS7We5iENhREHzLcia82S6KUbxIoB
79/lY8NA/aOro16C8RIzAF7hSn9a+dMJALw43FSbBu8If3qNPzjuxn0WawyvYIP/rBA93HnZfO8X
KsQBgpuQWxKs+xEqWhPLL1Lo7Hp78MJCX0pMKLGkX8BNaFf/+XjgYn1JOtvvbzsA7Ypzh/L8IBH+
w+yV+TNNqvggF+kxzud1WKgtNa1+5gC976Nq7X3QnvQrFmQKqSI6nZA5B+c8tDm2v0jub1IeXCko
/dNFyr48tSb8jty4u5+L6kNYHFEDBjzdMT4VP20h6OFXOH1L4z19UlJhwAPSODeNwE0kvhbV8KBk
Mm0tbyWie9BhM9b3R9ZPexqexzryPuuRRVtWC+R8ZmDCWWeeWcX4p4YCJJ+S9kAUzGFYmtBR+SjR
ZSO9FFfd69BP7FJYhvtGYrgKgbR18GQJUptreFQ3//NbzuPmp7onxTCnpJjJBnnYbl1Ak73oxUtX
w5ynCAdETxzJAagcXFyTgYDkhFOGjnoTY6bLOhtmuPgFCV4aCkTZVdkA9rv9Ok1GHIvA6jtHsHXy
xu1U5OltNQ7iAeq7m6HvemMwv7b9sOOV6rY+iGT04d268SX9GLFFrij/ozaeORl+NlSFjcINmEWC
06lm5V21PEdZj94RG+Il5PF3jnkoryQuD41CRv0Gqwjr7FObxG+unABzFf6Pug/JOc4R3/eI3HuE
c7ZqMFdpZyZuTyIn3r5f/gWTy9s7XWZr6Lr5OicyOY1zMabYs8WV98l+8DuxRQZPnwgdZ6QUDX1C
NdsCPJ+xaaqePszlFL5S07/UppxxvPmYZuRlT8LLvFcyZW9MeE+8kO5zT8MTIssIYVvhH8sSHXQv
yB6Z9+ZZRWh1HaqMuwwj0e69mW647l8c0KnvBPb22MwxTng4Gp4pk+9+jOlnbXYJMM7ofpo0f/b6
DWdyQ1yv3daafEitV8G3gWQH07YqHoeKJHtaNdFmdvwACBQ6NYg95BJyug16ZII4ph4fY16rvUgw
hcgmmY+bbjabEALiJsx4mQoxxlD+ZZLqqmu24AUh2dUdJuUMYwiAaH+jMOQYomZsvHwfRTrGPBgW
72hUjliGOMXrHlnAr7VEEo9485uQmLzQxPZTJRY6tF+mM6KkvB+SMt7e5PSBIWzuJIykbJmmQsV8
zx2d7iFLmB3n2ckrqy/t1JvHmDT67Br62It6QDZmYP/D05ktt40sW/SLEIF5eCUBjiI12ZKsF4Rs
uYHCXEBhKHz9XaRvnBeF5e4+xxaBqsyde6/cjKaB7X8lZb77d9kOclBcajRJA+/Y5f4rYdsXCcHx
X0XhLNK+ts4x4/7AgZ5FidIE58Y1yJ6qZWWsYNcMvG7fCsftmXU209Eq2xFfhEYkntUP9/acmHB+
NllNeh7/6ESPG+UHilb5pDsEgpI8dd4H6kdLqFtLkoB+OKTP5qDIbBgyMZUDIa7p+mPfYJVtB6wX
JlJEyrzZi5YDOk5xFeOIa7MvP1pfZRdG+oKZx0iiY6itNzUnjiu6dxKqO7scQ2gDaXjNCQDEC4PX
Hynz8K4rft4v9/uXUDPilsGFP0R+mYJh+pFnNUkFUTMysqN3GprqqO8FnO+4akuQIrbdTOz1iL2v
nJeEmGv+tli5TFQAH2ikY3/wkNXiwJ1x4LOJDo6cwWlok/Tso4jkomdhVjCW4ZmIcLvlIm92dzdO
1r7ag9FdKFW3M3Chl0ZnxSmH5qOiJTxVVG7ELfMFISPLXiz93qe2i/dhzmI7xJTjF9kDBiqdNGZY
JeFSzmhJS3oIy7V6tHIjtobJOdFxuLHnt7zqIVkLf/UYDg5VCj+iLV8CCBtJm8kybhn8bTJPG9cp
qxooTdjKii63r+hm6oG0Zri9kbamUK1f1O8Et6LhV+/73M5++N/SEifMPLM7F1hd0lvK4dsiO8i1
F0BhcxRmf9GQMruYeSc+uISb2KI3Ow1NWXxAHN+5BbK82afnu8C0ZHcrsE63pgn6YHTz+knCfNvC
TtsYy4jS79fyl43skWTyRbZLHedmEfJOgPEi3rm9z32IgDiJKHz+KkBytGGFP8uuKpKmvKWO6+H3
YK34PWzfkDsHqYjIRtQ/u6X5n10JeVLLfIoISl25ldRjiOlERpl/MezxrWj40ajbpth1tuzH2oNZ
QYiYvJS51DqeK08ki6kZvmNc3v3rzyvGdjTVcEHgKMSTN0cnbeev0/0NnqlnNhjCRMy92+/bulwv
91/hsOEV7JV3JqF59unY3pd62JEv0LtgSIsd85Pokq+Aio7K8+RuYUflEz6ePRTW6WJbEQGVdUVR
yuwraYQP+1ZoU5Stx6DJ350mfe4K2yfOTFzYEm7xLG7FcGCokvLZ+znNyohl5BUv9y8DkSLHNa2n
+3dK+i5n/vAhzTyIW6vPk1kXisacQdFWz561+/d9U7Tr42CPn+3cKyqH4Z3LIA0YGqqIETEGefrm
R/xKBlFSfiVlasTLDZU5YknYp6SNti404Nc5pCyY62g99zdDnK5WUpez8dHCvtvWShB3X91SX0hz
8zqQVr/9be2saV+yKP931/MeMWRYSFICWI+7bgZ4+b9R4f1G9nW2tcjZ3wac9/JAptialkW/WNVQ
P9m6wlTUPs1kdB5K4HXPQZoGT5Z8HZtAHLIlwkR3O116i2EVMJL6VHFtHcysUFvFQ3Ky4dFs7j/B
ZvbrvdX5GsMmLLY2/asqupKCtxl2rX4J2rW8Wka2+2eWU55POkoXrwMEhZiSlAjXsIYHq7HSrTME
5i7rhfccRMp7JhRHdHiJXDogKzqWU3eLxtOZtWm+X4SUhxWDytUFQjJURZTMpqxiFwjmxVGevYnW
4oMR0fCsFjCknn/DURA8fwXDcjLTkFNsnTp6c/1Z3Kb+9y9545wLNaJ8rU6OnpT5+8F2tlMUyGf4
U+sGIdK9TO+W1XZvVpgSKW7mx2yo9r5DYGa+NYRkzwtunzV6lG4UPsLLIkQRMnkZUrG9e3m82zVb
Ir1S5imxy6LROt+/2F3bHxxbn/xq1adxubZDJqmH1g67faoi2p7bkGu0kUzET7ys6uSFJryeDhwA
YbbGTXr+2YZG/+oGhj78k61vSuekAvWQ/7cMwXiGEjudCS2HWB+83yPO03Nvee65HkOIBLX5DKr4
kBkvttDRXlgRo6LZO9+/kNf/8uaw47S0a31qZYXkSQ14fwCdGluFrY3imANP3JotDxP27pxopuce
ipE7tDM8+ULQ1z4Ek/QSp/S3olD6ulpCX++/Igm2E9RNqGGAZe6Hwf2L5SPMMTdpY6BKXwU4tss8
TvN1GsZfkVqrV8llRXmjXsAV7qQMyseq9wG4lulJZ+L7n8+yXGjy01t1gt+lTkogQ/GgQKwMQ6Ah
hpFk3PSkqHsCsckyRXNSDNn0g9l9fh5tKBNm80XQwP24lVbbkRDA1mFSFc8F+o8dFsVe9ykneLN8
OMoM48rv1sfAqOd97tQzlkX+obiRj6ecxiwlRJjkaze9p4ZlbttwtU/3b7E8nbOhR1TuUCJJtCwv
fJTn4jY3XrPSQGVZy9iRWN2zyR3PsgLTklf6x5Sny2HOnW4fgEN9I6jxoEyIM0XVUH9spYW1dQPQ
gbhblv/15+Jn10bBZzQxKlfCKc6RyCCOcI+elQe5RN78JP//LR6J+7flmAcHh7y5dKh3XTEGv6K+
tJhmCuu6VM30vM7T71T5Iqnp9XaFXTZPXV/nsLtc6NW3b0PHeRWu113Ajw0xOBy5t6iHf0xFxlM1
wdlQZYOf0MlzOIwYZ+xCnJF316t3E3c66Tb7kinWVIxggoR2XxZgkC8M4D8MvTQP998CQuXFE97N
G0HC+/eH771ZnitIx/++bUNP4ss2Eh01+QbwM22we0uArwZO7BUHU24uSVZHqLZ9TW+GT4xoIvQU
BuI/UqX8Zy7X7f07Ua/lDwTwaNGbMXDVPo9W3gzUpMesEX8IoLfYKXhAhy4dTwRSr6tez8Fg+99F
7Se+En/BRE0vfsjAuga/c27JyGunzV+lWRwG8r71ov/qkjztei/yhDX724iyg3MRvI1tci7cD+5s
5fppOGyIDXOz369M4LreA0UNIKrbILNaJ+9hKfDo3I7rUegPWckuaeccHFE164/Fnffa6/rrnGU/
vKXOLj4N+JZ23fhV+4uCZ6Gnx7bXPY38jehU0LK2DIQOQuZ1UoFdOCjTFh9ZtjxW2igP1jyrLQVd
9GARTtpGUTl8+d70IOtG/xwHgDNEvJns2IRXb4UMQl//TOXdPNagXeQAf6ALtTrdz1qCDHStXqWS
UcV1UCNW/O+Lw1Bj21lf3qgMLnAkPd7f/WqZ9c++gpuzROBYFk8Yz37A/6gFyfDuNc4ox7jZdmJu
rF8r+lSc+8F8MtXg/3DnaVMFVtLzaOVQQQCUwUf7z8n7H2bhD692OTz5cES26dTlz0K606GrpUNW
TThPUiwvPRPmZCjW8t8bUN1egyEb5cVlgDM62V5JZ7qsQHSe/Lx2n3BtwlVpgk2q8/rocsd+tAtP
1yqP/+5SQf6tTHV7GWdaoc2gU7m1neEPPL0MV1luwtuwECcMK1+OafYubk45XxG1XvIwTNpWyo32
K+uh1ox5pJN+LLTJGxh51ZMn5nY3p+pR3ebzvqgulRpwo3e+jEmsPed1p/aBIfuzJw3ay5tBqNIT
lC8O5WILUGqjCj89NxaGFkoo53gfDgSYNmLHJoiyNp0+BpAmyYA1G+kt0d+LGrQbh1Mvd34RBA+m
+RjMdvFi9PDfRmv6Qe1tvuR9e8iy0L7cD2YdwBmfm6o+OBj8yC+ZD/ditRuIeKdz+Iz4CITVFvXF
vfVa/LyYvMJHJF4WPfEojrFf6/L8T6kgpF4+z7fTZ+E+Orb6VkZ6ryQ8+0M/oz/roj5ndfDgulpe
aN3TZzuzmidnnjcNvjRUC0OADCPI4BBpPqSdeq5bIJD8OPuvqhDHdmTmLcai2zbu9FOX3fjsrNzo
xohb2q+dLWqg+1SVy6GG6HEppsh5cuxh50Eyu2Lm/QC8MJ8NQG/PMm2C54ZNBSmwqYPfkE+Kbr8/
+QgPDJCO93/r/luFLlccxszcubZGLMkL3e9iuS8KhloaMWl3UayzSl575up7nMnZ9m7cv9dPwid/
YRUNHn9/xHrHuHw2qbda7Rjbf037TX6/D2NcPbrknm8V9ACacA3WLl6hmL5D9gGi0jKQscr+6mVj
Ti6hby8wp4YEbBKJspvaClPVa1PUb16zrRWN/i4lSsRKBOthkZIZcMMTN5kFAWxuvy3/yQSMvozr
iqr0bpnPJ5Ufirn4TAenP2rti63KnfQo0bu2aYXw4ikQQa4PIMo1ipe0MUJy5M2TwqR5Wno5X3qW
YsSowDt+sl9NhdeogDEU3wMyquse795HwwSsNFtui7eRYpgEmb6aWJ+5jersRNlDEMIfn+mO/stL
5igpJs69bXd/wJFYkOuq372BMBN0Vv7bbTTzNe5GZu9vDbUn9MaAHEhJorABorqxPLhzuUDiRbmL
1o3MtXFB1U59hJcvQEjTtcEwt62n7FR7Gs3c+z352tsVpfXizgJlL2e+o3xmfzpno0K9S3U6HSKg
Qy3RKbKd5rIfJzziTbYWcdjmH5ghy8h9NEO32Ub4KwFhFCQNyn6Hgv8UOXyUaPA+p3YH/MBugSvU
dPfbyeu8ZDVWkUTRDfHKTZHOkX6d9Axv1iAqAEy82a91JxIBYi5y6v3ilRVhB4EilVfgD0x73QEV
okkTX3nHABzX+XPv9ytpoMAHyMrMwzaZ/7e5/YuSFOPMbVdD3p/Zq4ARPnwJj6pWZaKU8cE8A59D
aB8EWchjlpZMb+BS2aw9iU1adz8yYgbM0EsMUOuSmnKZJ2a4jjqldtMmsyhOQ8UylKWpvq2O+mot
f/Ym4rCDAJxgvFkYX/3JZ/irq20fvMW7PZQyTcpuKBmFwIWdw1ia3fKE3LS1V/WTUetHvzSfYtnW
RmEkldMM5Cwt5MPpz5D+baLlORXjn8yZb9yiRtJMipgnpz5lw6Nvpu0urW7MwzFqjoq9C9slNaId
DfTf3JgTn89Q6vzQY39DJ2mutWDtSfUBdSTdKYFAkomCNRlL6SGykjJeDf1fabjdOUrZx4Boj6Rd
0sb05nL2jZe1APoxWWR6GtmUnLMhzEcD5NsQgb9Wosw2bja+hHYwXoKcThDfEPCPniHLomvBVV+n
58GL2j2zCphaUvy86ewPfl128ciUIEMGCh3/3Bg5w5cQp0cXofNOkak3q4BhMc5rvbd5zqBEJL6M
0AgnThlztqM9YWTLKe0jvqQlrKPYcfLnSbj9fjH/tG74pzF6HWPb8am6W5GU1GHrOgWxYPwfmMBG
0oAksbMkTW34jH/ZMRC+9EMxxEZvfBXwKfHF0Z2nwVfr126M3mZvQ0mDOFJwzYP+jgbfS0hdwWLH
z0A+Db0qHwoVFy4e8CAr95kwbz7UMDj5y2H1onOvIlwla1Aes2D5WQHHPSw+VWzL1YCXoosIkTR2
GmF1E/usnh+M1bL2VaX/pmW60RV6IxmKbWZ7iJvGSoYgdc/WyGXse+58aY6ZwbqQyGjyHY8N/Axv
Gp9SbzyG+c01XpPnm4irBTk8QeaIUWwWjI4zA/cM6tcriZbqISqavTJGSenEZMYmZDSubbkRUWNu
LUoZUF4xHmSI42V3Ke0Z7FeD0VwP5VE2Hkcn1gpLGq+6gwweiaOQw2nIOJ466XUb0u0vir8whl5O
BlvCc0KPPBju+Gi20QgN7YgfBRGd2GpBjn5QPvkFDwr9dwsVCG0O2KNn1jJZJT+x2Xf1DvRkvJre
txfmw470FCtykDM5qRwkRn9ytqbPugjDkIcyDV6pAOUmN7s/re/jy5wxs9h+/2SNbylcIGhAGE6U
UV0xDX6G5nyL0ognVh8U+PpTPk6DSYpVPa34DCN3A3W0Yp6kwYTX35EMIUuFL00HLspd8/owQsha
Rm5WBiXDKM9j520rP9jqJpfHenGIptV05BOY69YpvA2K8atB4gtjZPGmhxvWJnMrsGZS7HpGHMnY
B+8444NHj898xcAyj175wCfe7P0OTs4yVUngC8zDctlRlUXHKCQqW8hJJrhKiJAWe7cAMN4tOFCd
MXjwS+c1T1ukKqu53pwTMRP9cRt5Q7EFhO3E2DccIuS/EX0uwJXaXZD7eEyzMTublBhcDN0BKqcF
/5IatMmHfaN5XdfoJc8R7Mz5pIXZXwj4yg3i5yNnlrl3+YBse7VAl8/fNqELerahjN3F/lsxlI6L
EmdmazQX28PYhyjdbZbcUrusBS3sp4ufKPk7Dbr21vug4kGU2bTMXTduqOXG0qyHmXMGNrSmNXOR
psamO+/NCpWrZRoU1wQ1oWDBsLOnG34pm6YNaz2zrXT7MUnTWezTUGZofaixWbM6cdCpa6V4CVIX
EnvW7sJ4hN938I164iqhqdfzYO0qifKZFYc+hJQ1pR7z6DLRop3itMa8hIMGYBWw/wshN5n9Zwx4
A1JN2Z5xIMUSqv3O6ZiH52m4q6s1cWXkg0v+MAW3cW9be27AcaPxqb2KXv0invcYOP6H52Vv2Ki7
xyisgUzw4FAvx1YO+cJfnnEr/TIZ/G6YBf52oKsC36J8db3ymGe+91xMXxCyzLhv+6/aqoCl5XCa
ySgmnZj+AIbFfOQs3LHjbexhrT9EhpxRAN72wual1qNBizdDkYNgPg+4hVJsrovo7YPfD28BCFqH
xTzFkj6ulatjv2Km7PogO/0GfzESvIgLpZqkcL+diQKDGjmN81WdLUcw5Sq5ZLlI2Bo14mgZM+Ov
14ckOlPrijuxgRZ97WmDD4SVKkDmb/y1z65tAr4raF1WRFFUu3GlhZubvuEjEnaMbBdtLesXCENy
owAPbOKSHEiMTKg5CHoukNaYnfLRMkYgNMxWAYdtQFJyv+kBJSRb1LEGiLFVRfEbSxZuX0M8LGn0
hZ0H154/8xNi2YEsh4d64kAdKuC865cnKOJCP2DrkPwTBv07T/4r032YmHhKMJbmpFFm033qKxCX
wP8bMHEs9QLg1Gr1OVNh7UM6SXRJrlFsUc40p/gbxZMfThNE5E5uVVY3CaN4Z9Noh48yra0rDnks
QfJHt2aIQkaTLI73ZJXz2cEi/wN6V8vGC34OOvzC4pTkd3iX+s5VzlNNF2OwTYlH7JVYbAAxiujf
0rG6qGzEgwUNlUqcTT8D/i38TKO/zYdKbcOhBuBUUO57YYee365xAaPvwWgYUqqCIXYfMKzsumOo
g++pb3+Z8zIlaceEuB/nxDbxTM7haB9mlEWSh+qBiHeqEfnSyH9X440aptkKFUbjZSpmPEzSePem
N9tlWQpby54xrQPa5LXHU73rAoqCvKWGIO34BlDBJwUJ+n+S5D1hk9Cn5tO8W8r8w+LCFUV70ppa
i3UT8PGrxC6LF3CoalN5JqN6gmldavBEggTbQL/rrgYstgFEoNtWRMtTzkVqv1xI8hJ2y5WpQuyn
OjwIRqa3F8HlNq8BfcfOED272S3pW9l7psSfN00IrPyfjjVkKfnRZbIzVOOVgatXELkH3w3Vlqib
ZPcbeS156essotmpymSpij+ViQeztQyLfGK4m6FVx8y7IFr7+bPrLNkDaz4YSQhIb0h+KnUQ8uvh
RMfE3ot5IvXdBV9pM3iIGRymwMWpjEz+sE3/3NvZW9X48mgbf2DCsRBGTpWVmAMo2HxRMZmJg5qm
9072xR4ZnNKr0rw0hKqxHHSwVPpXHdkVqyTYztJzfbtRDnzTuT0soX/y51tFXUXDmRrYcC2GJw23
epHR1vNJsRDLlITo0y52C/VDN5O5twLrQCzC2GExDjYLjwMOiEO/Lsse6wJvQO/sGLaVR1/tvVV8
Q1wG3Qg/z5WTFef2RIho5V2yStM/SKWOJE7HWBccBe3qg3qxklZEVEjFeWpORRqkvPZQhriDrwN2
dtQLmMLKdnZLo9tYufaZSQLCZyni2kOI6s1xOzZldVhIM62pAhEbvZitr3dVaxOD7eejk8oPQAII
YQ5RgcAOoCXrvbMSAA+K4RQagRdb8N0KxIgSnxUW/V69Ko/D1Gkcjz0u6rOKGuNlYYYm4Gb4we+m
HqJfZoCJSYlabEZP0buocZvWvbd3qywAb9fDPfBB6ARoaoLxS5amPkMCyOezsOw4JdYMv3OZN0Nj
lvvSOPuqSE+spoi2jYFdi7UXOHPhTvhr4qS+2ojFyjahmeZJhQfP1g0KMxYlt572Mx+xAyMrafow
3/kscdiSezuxXqjahH0LVt03ntoAm4mc/ZOIwDZjNazjlhjatLxnuVtuojqfkpqTNQc3ktSgTqPB
hr1bRP1eRH8ptPJ9vQRPSP5w4CfGJq2eofrVsDJC62ngUN6HTNJRg42k86YTP+5LXoLg88b0OVxw
IFa9GUNaYVGISlbcJ5swnXPoUysGIRmTOwEbMDrfXYh2oVmatmXktWUNDTw4HoQkzSnUoTRtvIwl
NSynSJO1B38MiQVIGwu6SvOtByFIpKCB0lc6W+XDH5g6fI6basCEggmwjIUFMNzFaw7Xnmeq7D+d
nIATA9FHKNHhHnOpxCOMewP5nq0iRxsHbSaHd9aTdDsaFRw2BYIfQfxkwGVsaCUObgrMVdGojmHN
xJBfkPuDb+3FykLB6TGyVjUDjvboptC9ltm68gmu7GqR+BSinx6V37F3WOwYpL+DYTx2sHgSJsYe
SHx6SDybjHyqFuNmZXi4ofg2RE84w1kGft1+T47jxijg2c4e9/bc2Pvet2PbwuzTrpAyS8Iz5Pg1
0u9lGLKzrLVKAHg3T1I/SIOc2eDmdJuKlVmtB4AgMxvnQQ1Nkzh997dVzXNLGIjzgeFJAL3XdIp9
J9ZfLWcLPzPQ2IV/MzPzsdkDd0bGPjHRvxievcaCdo6rkDPQNTXSZ75nnyH9fuC4CfG8nRO4hxF7
8EWxF3F3Q3BtRW2d9TpzpJ/xH4YH9u9p4irAp3srr7bD0qNjf5W21XH+I81yQChUE/8qVjVvVdfM
8AanXWHOr6kdRg+50G/O6rGIwni2jPxTB85z0EwrImRe7tKh6Lf+ys9IOOxjW10bqzWHmh3i+ZLu
n9L25ufO8H9i73POxjq9mv2HcAlcBxiuGHhi8egnRuhGugupw26rgbhix2iDSWvauCZcWsyZHkeC
y8BeX5fRqK9eY6KIankarQLMZWvmSeQ6aGTFe4/ZN6HyzffQHWGoYgvZ9S6FIGHsAxC2a7XksNFr
ut8gswEf3PECwttbNh/lWDEGZcmZUZvDE544DF912248uzyl+RQkUT2szLSXz75pXyP+5JtZ4HSa
sEL3bBjf5B+VqHWSHdrtMEDkHZX6YUIXuJIrPjCtFNj78p+iw4LhucrZNZYJeAXPqHSdZOycnYTR
ozuWhuC7emlRoxM5/16xxLL/goRmDYd6kOMBquL6aBe80SyK1DiMXhj/kH677dnEdLyZ+lDwSM0/
Rd/5SWAsKmF9WbMDNxObVs3Fwm4R6lpcD8RC2dh484rXzrlSX0VXBg8WcP8m7XdruhwHHP1brOkS
7HF6XXPTijsvO/mjjdMKyKrpdxnwYoHBa9WsB5K/unF4c/tqpyuAx5Rc4y4c+scgaw3KA33kTO32
gxg/0im3Dq1R/maQm53QmNmRyfJUdmK62ObAda7eKF7HwD9hs4UxFpn5Zg1AP/wax0adRnf641XF
37FyeGOikYZhYbVXRW5dDD+ipvWSCsNzElXm32q2X5B5m5hubqGXCvB4FzBc63FXy0xt95WLnrRi
/o8V8LE+y9etnFEyVreYTt5Y/mwLFKG2amVslej8RW+ksVhHXgFsVaao9p0v1DmQ+qCt8bZG1fYO
qomeinwG+oxs5QfTsrMzzyPboeAQB/iSvALngjsH+9xjxapNTei643ox6/HAYiXWeEVo4emE1EQD
yrjHhIfdd0G7Txd21E0FQo/sxn0/rew0VvYHtroR/UeaieX8ERPrshz4mUHJtKhY3rD3fXduzn/j
4Vly0UmEInDu2y+Aki5dgOFfrrW11WrF/qkjfdU9sZ2rM/DBjjhZtnnFZ+QJG5XaIUjuzL+Xdbgq
Jmu3zUh5zKqEctNgqiVuBqGJWP3Gr/RBMdzd9JZ6TrFHUD6HsVdULPYR1448wNkMmi8bvnHQVS4m
XusyTt5/rDRijwZ3iz/KCFFz0+SocU1asV9Me8h1TOKgM3wu9YMccCHSU049/W0+IHwFNB15KRvU
oHSH9Kb27MwYtp5oHryguszTj64RREhnoztMKfM1r/bwsbfrL78v8otXY/iwxoqCgvcTlgBZxaQL
C4eDAwPZ2Bt/tWO/Tblh7+i/SXmRUAw7BrwWcYSNw/879poLPWSKkZhnhMf6M0/7Q1bx5tc4zdtj
YSPuSWmMJ1Z4IMxumAuhDYWKjXqW/hrNzjyNYfOFGGMCbkAtbiwNvqO5Yqn76UWmc2j74tN2Wtgw
4/J7YpvfFv2Xt2AY38bG8B/CYu/wGhbwY5JmGYFtN+s5GpSN7yR/R2mEFF6BRkkFrIMeeX4P8O6/
XMunlTGstJbynJq4EcYyYOFHZZwDU07vRtUfzM5Nt7MxNYnvCl4X8nccki/4rCCDj9nXbM7uwW4y
Eorcryy/MiameyaCdqOgNprPJSuMdkPp3HYbVJ8CyoYNFWLSdC4TW36zFIBgAXGfjXbWE9vlqmSQ
zZhoZ7gYKn8cjfaPiymfPo4qMvTwCNb6e05NgoU1V6hmpPWeB6p4lJuGYUxm9/aeTSU1QlMxb0si
sfHoTbt+WDZOP03H2sE7RsDytWJrIJB35x1ypwZZMi9cO9uxpMul0UEkGef33hh+GVD6Nw7rCQhu
IQHOVf2aGbymk7VcGuvUDXB2Vo8gyGTj5fOd72EFg0be9DlMcQ31jgBjHoGMcOwy9sjnQ/ajOsVs
4ZMorMekbxqoK6Z4nxxx1mU1HTxbUPAVhsUZd1O7y0k8hcLd5AGOJJYZZue0964qYLsFP6uJfr4v
0XzkLc7fs60ZfOB2bdOvvEinLTAq4nFwvk/L6r+wFdvY1W4AfKcjRFNY64vNUue+NmMe+OK5DOdX
FaDDjfpNT2P3Su501+rxF0mG9gFP6ZtPgmqx0svSpJe6X16zFm+RL9NXxhs0fvaXWNDfS496e/qS
Q44+lVrNw/gxWSbNPCnSKhd0A6xSSoZQL5tADOVDO0m8nFPJOo+q5Hql2+W81n/Z6BSbduE8jLiz
vaX/tCKNdj7wL9YFILfJSr+bXgznueAnFa3QWEp2jLHvpqkerCot/33hR7xRjHxYEM9y77EG0h0W
t5ov/3bIoO9dkQ9YnaKd4YYB+SVq5EYyg2R5PEC1fDt7/WHtBj75st6XDj0/VkCgsL97B+9e73HJ
s3QrSM0n3zabbdPan8X4d0EE2MyZaV2GUXOZBjk7SWT7e3Gm/0RNw+NoTKfNt84GjAEzwmfl+h9F
RMNdWnIzO7QPU+V8NrkTwqdLj5ZkzOQ1GaoiOmynqQLLYt8at713prB5m+DmYdlIxOzmBxuzBYkl
FkaW7sgeHv9HP9m4oEPa8Qyg+JQhAWdTsXNGNle1zmweuopSaiWEa+IK2KwzEiIv6cxyxg1+GiMm
Em+H9MWYssNDiV2oW5WbDL3zVzFtYOXu74XWkgWXQ0IBXz2OaKSMKyZq/DU7Tp2J1IUZiJaLzVco
Vaj0CxdG73ibkA052N3fHDbRuwaHWiHf4YMSf7In8vRT/TM1Vi58w6HbG2389qFFc9+Np8As/qo8
rU5123zR2b2FayCOWGaBHkzDy8DKnX2PkC1My906S4g+6SIMTV/anYhNcKJ71fJzZmOqb//NPfXN
z9yKgwI5vGAZ1meHl9le0pRma2AdVTfso6Xwniu3iY183YkRWMja7RkpQe0cwizhD/rpBQwvHC96
jziuenFrt7Fo2cZ/xYIHR3Unkjsj58BtpOAP/RH17VfYITJ7Nn3xKHUyLTx4Jk2YiRqYe6O7C3xq
JI7KCspXKd2L41EWuBVxyxVxaEeP+5lqBSdOfYomWxLcgUggHtAxlgMhZA8NYL2sCHfMf7lpgABB
+kjgm7bx4LVcHWw2j2fDfSgL9gpqthrEYshjN0QkmTSdVZS7r+xer06htbyzpVQkWdme0NOqWNaY
OCR7djaBvxtS7V96hltnpJ54wqyVWJaFU27Ym+bcXSBxMR0b4zXHTR2wPH0vh7XfTqzoaL38/3g7
s97IlWw7/xWjny/bnIJBGrh+SOY8aUqppHohSjolzgzO06/3x6y+vrfbBvxm4EA4Kk2ZHII79l7r
W9krmWurCFzSEbHFyiHFkLNUgAgSGLLIQZvZxPs69a45kp4TJzAavN5FMzDDZsOWcdBqrvpG8UAi
1mRm6uvQCGOQS9ifuhoWrQJqIiKAzOiS4vPZWP2naXn2oqAj8jg10nWoaMI75cROyIieK8fcMdkN
tn2Fc6GlZIz13GBX3+xslQs/NQnBbcWPMhqA6aHztki7hGtMohIwNrZNixPVeSlqW/nCzQ5wrbBE
+pD9Kh9k4O8OTbw3fATsLjxd5gcjd17MSHlIMQyaqhQfTYA9m2FB+VmxxZ/i91YntLlyyQvSWi5E
siK5RyhOexc5hzZMPpjLTR4RST9CSVgFZOrB2Y83gaA/L13q0k7RWR9mIt7R30xsvig+gYTw51gN
mKT1ZArSngFrRFugjfiNLju2ZrKe6IygtHNCNs7djxz5pBJB+lyrbD8IsuK0OqDyKd3DSAOAjbxH
qQYMiyUt3XUZwZBclUlgfoTCyo/kcqF4oI3i1BPOjqEi4zJxLSak2K9KU6ehpy5AcbBEwINduzJd
sdmt1hIO2JrjfnALLcZm2cd+NOfnvhGmzyR81dWQQ1u2Ur7K6bTRB4zGlIQsuC6bSfGbpOQYYCAR
rHfiWcPr69U8Y93xWjgh0iCdRnmLsiVOZpyk7fiVB9m49/Ku9G3FNL+xfyC8QLMpu/RC8wbShqW4
yfJK+S2DubylTz4sMUKeKL4SHOh65epQDCbwUmhau5iT7y5TIxQCxQUd+bqyporvToHo63j52UiH
fFE8dV78Y1j0ybb7NJuawgS3Qx315JHGSFi5xSQ7my9O6p6bUfOVLtTJEdoCBKu+M2+YfdzJ3FBy
zk85RJs8LGgJe9qvENDprgKutPKwBeOKpPXcx/NJhMGzboLmMwCWjdOSODRIAgvcYEElGhQQZQD5
1KOI0AnM0ThnKMdXs5d2hwGai4joodUh0Xr9TKKqzD9HeAGbANo7GyG9ga4br3ItoK+J5YQYkm43
UQML6mR4E0Qk5PBq2t50z11QMruQXEWiviHAORlO6KznGUwYwEO5VyDCuG7c49Q1C6hlWnmJeiJH
yllrBaV22Jo/HRMLefLsdpq2pcQRW1a5Vd1DwO0sfT2O5bxdJHDu5L7yPCbKllKgtkidKCE7nGZW
BKulCDZCMR7iON310/SbrRzJGw5XLbsTTWvGs1dMJ2y8zqbqp41dswfpe9Fscp7BLa6o49QbV68p
q23aFzerci6W5c7XeoDiFHrENdKDPORJBBJdIyCZwgTcEH2PsLWeu6iClFGKdIsyoPWFPFU2ScUo
DDdOQSIt3kVuhTENNu4w7u1++NQ7cicReCs0TM4DLUfqTXoG63w01hvm2fN5ZtA2p7m1pQxGOwFR
pXUSaz+/ZoX+c8AR9BIsFpEx/Yy8LH8AfHat068xGx5pVfTn0qGFBOQek9SYYbGhqYP45qgAZ28r
IW165tF7AvaGieHHABITiW2DDRyL7QY55jcDNUHDI3qwxRjsnNYihb42XrXEu6RJfjGsoETBqWtr
dM1PhLJe4iSuT3ZOrzTTjbd+0H13ArVCQvLvLm7yLdIQ0haJwpmbD7gzKFIs9NR9/bNImfQ0rNGz
wyUcZ2zSPfDNIffSvlpUjc5sIVigWU365casplvj6g57CeqStGAfEJTEeGNiMAkG36PVoZWIgSsM
hYI1ON+CMALOC1IR/mzU6uBuSzqSLpYdO6Q9g2JvO2CE5wkUs30OcRBkv21SLn2UXD81pdp1MBtb
grs8NsThDecsyvIss3ni4xbXiQ+m2AeSPwhHbEPkqW7EoMGQjb4TMYaBwD0yeNtmi3h/YtDRRsOT
oTT8gbqFcCT05NFSzzWIGNnuUokIDe3FTy8lb8adKxvvor4uepTpumUsSuDknFBRuY61tcbvLKX/
a3Yvekg6XsXlPFY1myrdCp9SR6f/8JBpJHjRijvrCF9WhqeV6xhB7DZvnku3mOj+xfHKCJwjVuZg
i2liFRCsuVeG2OJJcfb2HG4Y0NhrK9dpAFjTRizPbqfL+7Ors9sfHW2jEvDcEj4/esIBmsyUa/nG
1GS6jkZJoiA9Lxofw9x/wjhcDLKt2ngTvhYKzh0uOALRSnuKj3FGtt3IBNnt52wrjxB5mlMl9DeD
NiNkSzLnB6rBHu/YGSfbm+dQGbGEbD0PP39t0G+ue/U0tv1lqE3k7JQPJU0oJMDRJQ8ibx2ya4ff
QBtjfGgLgKnaYiKhoV+t7FFqe603fvazb8QvA833kB+m801PX5HK1wDLJDuTvMtR668hPcfjqJfP
VpjvepykLHi1dxpV+2gYLdtTi9hQrZcflNMV6pNzleLZcLIUPgKI4kuFtHVVT/1VKztxDG0bZ7bT
Xkq8b1uZPJraoyEiaI86fTarcfcWtdNqJiSODaOrY3EDBixGYtLryfW2d86F0gekWnUUPmLyFSsk
Gaj8PAgUi7EPUhCnA1Uc0iT4OiMXnDXOoHojUGRKhO3DHcdF4h3ProzZJx08r8KzDwXZOUnN0mjE
aGyAEPdalXT2rpWHq0LIfsfmCZWlRMqZM+yn6XK760KNgqULkpC9A3+OLiXyThFKenKNkpQBPi29
+7dRHaYnVMDu6u7vXnpXC2+5TQYuw7nBURcjfUar9oo8CQAteNcG8xRNQRjyHEUqszjZYKpKWJ+9
8KZqd6lc+s8RxJCtuTudOveJ51bzhAabRC8z4nmZG7V/PxCWGGi5zkgBkb7CiUSwniJrdrrxksbu
ZkYgdahRvL42BTa7ubRXo4BaQUxmdSJyeOnEJfErABX2A7P+3PfFs9eBNDO13r//ZUMoXBZ1058D
RWi6SXjmYeqj4tZ7v1AzU3iOqtndqQPUzfEa4InYRPyIgf+HqpnxTOVZP2oV1mgdTSzXCSkn9zPm
xGo8QuR/FOMwne+SVFgltn9HyQ1IIAjxsMItXsccWFJL4xud7wMwCfsBO3u9DqCyYBWaYpSOBnrK
3kxM3yTe7w9+Lbdb++ZQMi+tXCodqnmcxZD9aJaSdLj4+CVNDTI4tneP7/1DMdPkiVprZ3T148ws
5WX0ds3I0HlICm0PdfugE0LyrBgC+wRVMMPUsAU7hbzcf77LkAh4lnwTI57FEB2SpWU7SY1DpLfY
3MkxcoJpNKgRVjvAovu77cUcwDRR/BlzxHw49ckrZk5IYVGKyPTO79V7jJigOPDj8qCmJs3EOqH9
taee+l0oagiYHjzKVD/tQo1ci9AVBGb32W1oygETKzHoJQ6+bSox+XHzWDzAGkxzdXVjjfywG10/
iBERFTIQ79YQMb/Y7Drg2fdslJxol03ahQEFEih2mjTlqszlhHg6vRg6Obg25oeTrciRzKcx8OOW
9XFAD6f1Svw1ZhZON/q7HSirKeeplGEUXhvkuC4EkFO5+Box4MCNmKcEjWg0XgCLE0ZdxldUiqhP
I3j8zpylz4PtbqfEgHM0yxfjbqJs8uqh4LOmRpWrggKijzn7Uhf1ZxfQI0atED0Vxmghs+LUJQ7j
ljFu5/cxoeLLh8ci6svXCToVB2kML2nxTlt4uAwLMD8ziwAZbPc4DvJDt2x2MN1Y5n73hyHSGPm5
DKbpMakos+s5xHSTTyfs7s1TbVMs3ulJRuR0SPUUytosD7d2gdiKpcc55fNfGv++mXBLYtDl6kLC
8SIhAayjyFNvplLrICDK1jSJsg31nAdS20vIMsliccenisaOMbZduntNC5HMLpNuc3HG9MMwPcLi
Z5yBr/6Oh4l75FROlFyMLCG4OL8TWXj6xifkavXZZLJArHmuretW/0W3KT9OkTUSvlK+3gHrcopB
PmaWfa2DaubZJR81UbAOWEZ2mpraDwqaN9MUIX9sEhtj2GDQMu11uuEfdTeyf0w6uDSwgAaUiasY
7Ng2ywAx44M7ppJYB+V52dY2AEKHdkRibeglR1FQErcswI8W8+LFA30/qEgTNiVR77xBieQTX8Pd
llhHMA4s+s2+4gbcu9PQ71Hi5myTF6WgnU/nhl5VtMC6QkhZhiUfhsWsC5o82gYWbudBauZGzyI2
2sspCaIGw3pKV57vwxvC4PaqaREhgAseEyuIMTrlhXA/MhjrgEnyNByVLYzVndVLYeeRRD4Uz1pS
y23RoMv7z58Odf0T3IF8qDvGHmyes31mRb+Qmh9SbO/xqOqdTReSEGwDHDww8Cv/sE296nTHVVeL
S6OIadjkxSHWxZuK2u0dz1XbKOzvRLoxz1FGkODGuhG9jIVZrzwoOPcFEUMl6It72G+GdKBk+0Ms
BZtk5dKzwuA5jOEflJrKN1Xe6+f7w1bF9pfooh6SRzKcyakdzp2OBwoat7FPmgdGI2ce0sv6/h8f
cvdDmkp/KAf1PNBLoF7iS7YTfJUDSKH7Z7OVFBTvQ7ftCL7DvWUFbo3bmgR7WXIRiMm2nrWi2VRt
3f8sWmpcxITWJVR5fEbDwBd6GhoC0Rp1z1trIEFwx+ldmCenj7xDIbvAn8M8IbZTMqp1NHYWtWPQ
lFgiWrL+qw9c6yOWFQHN72MVxL8h2qDjMGhR/6EGNUrAUwt+h3qE2YJUOkR26k3TYIgjRfmgx9vL
CldNNYZbI0UFYCM1vDNkWgQCK4POuuVU3YJ3NF/FZLyleW5d6vjtvtAGgZdBUmveZZ3oPmuK9zCW
AS+iCB+hKYpnE4zFkNobCLs89IequCAqe4JJr61tK+TNLfROzQh+DlhAjhggg30B0m9zRyf04fA4
Lia3JJnKw6TJ6LWYvOcJCPt1qoz4tYsNumxEbp7uX7QWP5zgid6OFaX6zMLdCi05uajNL2pMS3pv
uPrnBniz1oMbLQMDRa0kNqXN6nE3JEP61JQsxo1NR3fiSXdIJvH8h42WDBAAwnDBq2Q7JCLQuANa
BHHVP8Q1VnnNQG+w5G7MhX7688Cv3N5D2c6wCqOf1vJSRktfMmi3f04OfinFpphz7adAJrJC4toG
DdkU3WtC0xGV26idxgjHCtrf5hzasCTj9HJfT7SwGKHRSRvHCgjCe15kzo2yvwPa58mbD/Qp2Dh0
jBhlWsWf4AyeJCvWucI0uNLb2j2QPVhthkFCR8F2vglVPV6q7Pte4eQ819i+wn0yh1Zu08xIT3+e
7yqV06Nyy7feFh79W1ajyMYYiOCj2liJ8VySvnN1zcR+Tpi9zk5JFIlOsGk0hybNmu7geDXTmtYK
8DJMkt7jFBy4KGu/84hzjTGYrBkeH3UUVQ9toJiLL8BzZknu05+XgKhQQ+/Tl3tLhuWPCXHgIrYD
69KU5VFLlkwVVK5HJ7LfAi3IdkbM3BFtAEw8uEIlSvu9t6TF8oil8QTMiGO5/BBRK48kxywhC+rJ
0TCi5WmAsITlHx8xWqo6/7KhEbRNp25hrV+QADr0gBw+o4D3NZzxt2Jgb6UlNja3sjknTlE94Hpj
z8DtwFoyvePxhsO2vCeJq6rrNTZr2N23dAuMc6mc9WDq9fnOjelE+Q+kzx8kmWUmxAoPYe5nAypm
JvyMb0RFZ68kmiayvxpGAtxWmzvkN2UiZLWW/dSHJdiCXByQ+VyTLCr9O0bG6BP7MewjVK8o/dC6
fwMU4e7gfwYR7XBNg6moxcP9pRg02ctdj2+NZTXQNlGHMZd2EuqzRp8+uojZbd40D7hwxIs3vEI6
2M1ZEv0KM9X7qU1Auh073jbVmafAr9ndMaldH+fbLrUeVUfonlxiBwz8kRUGbGCoyWKX/8eWBftM
jwFUMTeXozzcAcb3VV9E1MpVKA8GSiS8lDEongrmMbhAAI8N5eR931b2pukjlkA4vuzUEFOFmyaL
1W4JjsD8EH/rIP0U+v/tmFPSovGz9riQUbYv4P0+GOxDMvT4oaSD/LBqx03vMIzu79wBI8kOQwpF
Ec1ZvGlsL2FfQonsLF5jSAMMNKrxs9ERtRSpSeRtSxROEUA5+fO/Gs4Q+i/12lCVeLNcQmHIjRV7
FA7irXcj5q5m8bNoZHouQFixGnVq1RWOtTYWBKbAsHQK4uprtPE+3WmTU42ORScVfmUqV75MTeut
6/qbXEYsqWbGh9JkTAii1qf1ODDE6dHSYvTburmdHLQguAmIQw81a0+1MLCQo/KtPX0XNejenxQq
jg8lOmKQGNN6IoW9nagQkWtR6QwBSqL7lqB0pX4gckSbWySmw2g8F4FNJzWtPstq0hjDw+UQ4DRX
NY+c+1p5XzVZPcuiMxkJn8CoKZ+NIOlvA5QpV9E4uL+qzIhOiHrDdVsCyhYSVtKgWR6sK3OvG+F3
T9t4m005w9V7ss9wRoiS7z3kPLvJc85x2ca3vD1T0ZfvrZ1T/9ROfAMIIv+sO6S+3n+yXawe8Rw2
W1d5ts9tK7e12xTHUiNNm/TCFxscStWSiyWj+gtX5tnQmZXHGLkfhsD9xnRm0ohzvgtIhY+N0/+Y
Y7vbQmGkNRDYwU0R89lHzm5GyOKjjO4eVKvtRzB6AMCZhDI7wumZxXCvQzZkeRQg1e5AyS0FvNYS
R3JfVELd5Wkh2jW37nwNzZlBIivZILm6+2jaFRVF1eRgehYRHd+icA49Apmz7Y0/QwLvTlLM7ok1
MoUAw8wrY419KVnPgnwebo3JJtXN7DeWreSvOOue7Dx30YaERyZr07qkq7+fSqO+uly2q7RmdDaq
Tq7vT/tlyE2bbTrfX/PUvhTuWD4adUVv2qAuuKecWLDvD3OrH+4PM7HYp2tb5zYmtcwkpmXJILn/
61SFH6TF9OAdvYEDIt1NHNbPyhhMzrLrHUU2PNmZua+WWKuqNJ+aQcME4PTH2FyQCPMZZEm3QX1K
rHMwzYAiqKAytn9igYtAOLKYLPYAQCAuPhvQWY/cMOii5o4a3SJ3Reh9/fSfX0izQOxJVKMtWUWP
wdJSmLLgG7mY2GK4/qK9am3rQYmMXBOYlAKnri9z1z2ypfzVI7dhNM7apVkpUVVlgNpvqSqiwj06
MdiFwZBPVpG84Idr4c2E7mIWYzlpnGhddLACqPcnGsh97Rd6dojGhky5LgsunYe8qHLT8rENGcma
PDRafywba4378x1tJYhpLNu+sKrvGQHCIUMbyHMrdNnJkVW+kMBzT2P6S1bVYU6wRvJ8DHeCeIBL
WfSUOUwzsCRASi+DCLncuNXVOO21ioi3hdX2ENX5wx8ksbC9bRelhKwBgl020GlNaxDOD0qmJWoV
2k60uBXYWIO6YqqSkKFUVa9OOiU04eiIaEZy5MBAo+jwst7/aQq6VwGdxhe5QT6XZIfcePHPqi92
WZ796BhxXrVG/Ewd+oJlwrpfGC9oA4dX0QOIU91CFL0vJLSsr3lLV1hXwrmliX6JI7j+bSGggOdD
fvi3kl8f07s0VpFXkaVd5ha8dYjU/6abUSHp/wge9/aDEljPtexokPRA8zV8G0NBM2JeV5RBI+bC
mIgBFNXVN+ifeI4PqF32dKB/6t6iYq0B8zcTBMzKXUUWvYeB5KPKat4IgGQ4GeHoQzH+2LT2C2LK
DZYpHgeJ+TKM3mdpOptCAfuZVan5aSgem7I9m9A9aKzzKuxkn2HgDFUPr06KfMU48QvZ0CuBgRzy
JaTILcTBkslCv7ER0abDc9S1K0/nOZwE9Qs7PYBEjHKxLLeeYmKAJb1Eg1PHLZ2QaaPhn0aDPAQp
VvOI8CDwpYbLuLGyGCvNhBXYubEJDZTmyCk1Syf6y+WYEu25L+r/R8Cp+a9ZsqYuLEM3mFjahmMY
/5olW9RV6bVjUtFqVuuBHtR1Wj6k7mPaUINX9lQyUeKDNEo+OPIfn97/LWyJo9Q9tCk14vQLLdWj
FVaQB7QiI2bB0vEDCWE9/flQUnKqgb3I3/7bf//fIduPf8Ik/iW3+18+/Z/7zfPmnzO7//yCr/+S
+/3/L8L71184TlA/tHX81f5ThLfLO72/u6/xf4S/1f8R4n2Ow66Of/1ffuYfOd7633VpYEWwyYF1
TH7X8Ltp//1vkjhukos84Ljc50R//GeIt/13RzpcJEvqN/Kb5WeWCOjo3/9mW3+X0tFNXSe59/7V
v/1HQPk/HXVe6D8+/6/J04a4h6/8OT1LPrk0kc0L07OFSeHiOrq7ZIH8l1gULTfYO0EmpouTfZPK
9sSG/dp51XuetXuWUTzX6a405UOe2Tt8bKjA2J+z9zs7ZG7lIxZlE/zNKiXAZIppPdqdvAZhgDqv
bNBoEalHjsJWF81jLGMP0ZaG4h6Bh24B4kW2UoOLNUd5hUZTQL5Jv1s33CMj3YjcetIoOv1ekbwS
VM62jOLPWIs/sf1aOOzC19SyV5Ubv8w2Dlwr5+8R071NJogso/xlipLBkN77tqtO8RtWAsjrtXcb
guzSNuJCNt9nGGm3wvFuNlINAMXi5njYIYYKzYHH8DmjaJgFoFY3ROxHybQNGS40snzuhHHKQZyk
Nm+K2C2X7AeBWr+/4EL/dm3tVmn2E3kpuM8NCpVmZ7aMipo9O+RxVfInnViCmmViZmL4sRg7G/Q1
VmmWvnWzwDA+wfkYiKxEnY2C2mVO2S2BZEs/sqxIUucTx+Dd5SkwZ2z7cnbPHkJbTRtO4BHoKIX6
Kx2aVZTwy1PcmYwsiAOxaU8vuA/mLMQkxr5VcvDup2TmoOHj2JHB81aaw55eKKVt9FdcRzBwZ9ye
y28BKvBpdIKOJIriuBnA/lrty9zbFMQksdgBr8mL2vcsCXgQhFukAtCPaVMOXaSQe83XCVsj3Jzp
HZVNtnGSVF9FKJm6JD+zGWF6po24rmGzdDoj3kZPEt6k/YPx5gP6j2fRJrceTpyvd222sZlV3N8Y
2ss9vfQbYTT0aPN5W6N3d6E/Uoabv7Dwwd6U/CnNYubesVdZoElqBV2f0br6CxYLCg38Rl0YDxtC
7tBwg29MOp5eFvSPtOTghSiIduw7wG3Vw1UzCWArsKsurzwpoWCNUfRdCHG1sEANykO3xDBQ0dBf
eQ42Ua0Ut6rwcNcxg67GlKMVo6EHP7xyZfUtKItXpe4eEskoBnHXNWqb97L03ixvmeE3K2cczc0U
MRypVfkyB9BfSpGw04wGpmNlhSmHo9/ko7seabDCYV9pwTkYqq8+9m5CfZhmOa4rbUNghOmrcLkU
6/G3lqgtQ/RyK6v2nR3+IzdciRR9jBjJLndc26Udl1y5GyP6nUnzEY7WIdKCw2xyBd0vf/jtfsDF
jbBs2wzUOkB4b0QOn8Bvlqti5Cjfr9lljVFpc2ny+RIZ3TF01A73C6jAsfiuI4HNWV5plFnEd7m4
EgH6AQl0Gpo4SoknreOIzo39zN17qHXYuMjJaCurn3nOu+F691Y8Cuv8cD+Fw8wNuPyO5VsthdPA
bMJvtbgZs5ZeSNG85+jVVqUHz98dks88yM8yS74rXE+IR8PSh2WIcCy+wiJpyFbjLPRCf+qWC1U3
F/KltJ6GWS49qE8vn0lpBW2b52cP7DL79e7n1DgPjQNbFMaRr3vTEfvF+GEBZshAIEAVdNexfAoV
ycbO5BzguGIBii5DapbYS1PMcyFpm8ZT/dog/jYiqmQmmN9e0LxX5Y9ukQ/kuOzpF3CM+1jykorl
WpHabTl3qWTIcT/VmICwxZWvUX+be3B0cLh0JIAnqZLvxK5xLjaPpWOxb5S55zuF5gd692XKkcAZ
xu2rKUTzOnocgNKGOgKav/CIWRtS/WLjR8BplX6jY283feaOuLFVRV30WQv7KYrS0u9whlCIRuaK
3e0IYwBb/gpfC9SU/Dho7o2U2ts0A1otqGPXTKCeanfghcTaOeQpvY5sq/dRZRernM3TsobCM4pX
AQ8o/j8V8WfBmmO75ftybNgI8koz75YMJyx9y516i/T8G9LXOQ04JoMi8bu2+7NgSCtKebTt2kNd
hgg3TG66cClVJdch6i6LvD/SYzUUBaC6eEmi+5JtACYcFnLIo0NMLZmLnHU3FvXKtrJ9WfPu8Pqb
fmi534mpbwZrAF6Qv6RDo691OC94VIvLSAbLGgnvx8QR1kbtt9uW72G5iAg056q37g1Nd++3g/1k
0lag+w4xS8XfyjF7nwC4VdRrdGJCmOfQdRmK0GWK2IJ3o9qURfJYy+jTNLAR3a8Fm4cKKp4ErzTC
Cob960w6N3rpW4Q57A0lA8KRUJ2VWoKvMdymCcuasZju0+Bn5sw46NLJ9EdFupQhCZJyqABCYT+j
n4AezMlb7rTWkWvDKnZdFX23Jucwz7RfI28DJMQ19iruyWk6cwSJzg1MkClNBAw95cySPPTpcl4c
HN4dqpr7Gbh/RcKz8pvO2PM6Oys5JhD+HURrfjlRUmg02FDaZC2/x3Rvy80YJ+bT/XJly3ZLzV/s
shwoE+W7NjhX0iXXjCA+lviKuBk3SF6+JsSdf06nNJPP+18eyxRMcrEPYnMX68EBIc3VbrkyRmAY
dOWXXvqXfJGB4TdsWeCPbYIYSx24iwjOi0MhkWglpz6ABWme+848o5vZZ679WDKf08Rhtqo1HUWU
i/q5Lm2GgMWbhl6Ree6mhXykxep33hCPYeylUW+WK78Z6Zu4iwjE+9Er+zdeugc4nHDvkNnJHqVb
1nCsk2x5m/KwzIBpdrL5/It4kCadN72e70n84G8jbY/cgy1Nxq7pvs7rjY6Eqif02rYdYsqcVeLp
Ww9pyhws1iHnQDrXKurAE8kzjQWSvM/myPMEL3tFtFRsMHCYdRyZZPNq3W7kEVn22mbhcpuLXVML
NtFiilLHRHprsLzbwSifSY/wh8E60kxbOS0jCQTFGqXjOIINoadd4gPycvP+9Un/yX9BHW6LEdEK
d41ulJsGmmTdoIVyD+5QskHTNnX2S0yFb0bWBWw/lABe5pSthWYc+U6cp3ezcZ9a63DRvGXVJviI
EPtLRsqOZmHxgYGHmtvwDH907bWpfg4IYZu2Iuq528irS2op8dwAIDsydxXQkCnON70AL6SgRgX8
LbTlzrCxcVIR7rfXmFwgN7klU7OL3fa5gn3FvGLf12j2lHlGJ7FncrCBvvpC+OszzLRVNRo0gTmq
lTzwa/3KNI9Vz2im0TbL4Qu5l8xg11vTS5i8WEP8UXVbr85IHA/21dzsVESCMVLeLOek69XGFZiI
O/skygqlj3nqXXnIRjLme0RbQYAlCpf0xAUxWxejN88IIDBPQfBI/vLMU4BXiaSaWEQHg2D6XjO/
nNrwC9Nct+ShtYQG6RkoRxOZaMBD0RbXqatQMTgXstvp7KR0Np9jHIsNpHp0YGBmtYfJqHcC8XUP
W5zI46gSlzAJd9mMHxLpMX63fLCvkQPQf7CPIkyfQoaLYvIYIyEQhw8m2WeE5sXJ5MGakydgOJ+N
BLDnVas8JbjZtS+KaGlLQnGIUYc5Qziv0JU9JwarIeeT+PP6bXLLX3WB9BrAH5kZLHXbNKrTCzye
X8ScPOdBinC3njbo8C4qWPwBaKBRxvqmIss76V/SGazAlMETT7LsrRUDzmVuc9q8PSAme3gg0ODb
g8WAyabGB7IeXBDPGb4RI8uRy7YhioSSSyxEE52nyGEHA7kbD2Mqa4AyOU2Ulua6Gwbkk85nSQt5
FJ22EohACPJdnGQskDXiZijb77BN9eTL9TTqDTfaUVtg4GJTIwp+2bQoVxWF1TS6D7ZhvDGN4XFO
jgDGsUn5jg6RNvNy0Dj6AcjzragZ6URGemhFeU1G5yGOiN9lbouYG9IAvqZvIDWBRvErrALlH4YK
iXQjiYP8pCcdRHDq15jEYGPIr1mX/+CRTi6RKncDio40BiDviW+QToyGukpfM2zKgWU1+7YcGSp3
RHIrZn4xYvK11Rsvshuq84haGjGd+ZDS5F1GSo+JQbXQAmx0CCJSue1BW2ELE2D6emQlPBSpsXZ6
SKhiKBIkj8572MdnYEvdEfSc45PGd02R7/hU5ckjo41HUW7mvvuwVDNuLeY/KggfAhKosLwy0c69
7Dkixcu3frCnEL7dhz+mWVmMYnH8REuA0Lyjw968lLoZHmcBPzqK2HNLEK3GTOmqweW0671BC25k
POd07Y8kLrRTRLmOC+akbDz2jovHRgdhpmtQtDPFGN86pkzEV6aNZckR5g9JBFVdkDnoFO4lZOLo
d5XoNmlcfDm2g1/FvC5NTbqmFPQW4kEfsAPKDp0DKt9bUnp9wIJ/QSAgVURpb86MWU45H27SXkmL
cCnGYlhLFHv6GFxVFqx1bKl+7kKYZ1BOJ9BCJWPuirLr1jEz+7ZiRwDSr7e5OSPEIl4Vr9LYCNaO
qmyuE3xfojNWE/MOmtEInwOp48hwkVsTLKXRTrMiZOaAvf4SJWZik9PhM4nF4Mh9EU/dJ8P0A/Fo
I/sZ0g8my2DrLWYf/9R3o0M+IBpdP2CS/oAJWQE9y4Dqpx2Aya7rfaO3930+7Ad4iWs3jnmq8LAj
RwarVYDW3XTDZtXE8xVozxejiPFVdc3rGMJPar035mmNL8H4do2OOaG28a+pD2beJGixBKSSUB47
+GlPMyAMmImbVDc/7ayKCJkb1gZtZ+QyTCeUCXiQHXS5Tw0vuGA8uLqZF3EHju+2aN/1RcxH0dOv
XWDGk4CqFYw8EtDvJ5MGdsMGYFVlmErByR4KzcapVLK30yQDa2JzlERNjcPkL425VqSQN0nYNUC8
W59UGVDiZv61cNakfmMq1p6TjJRKbVjrGtm8IeNtz30OLCyiuuH9pXLSOwP15WCyLyF0ydoeOS2A
i+u8tA99YsEaNGMS4LMrGc3L5kOWy995jLODiop9jBLLB2vpbn/DP5Q0LLmm7fKSM9IQinaNeEFI
tB0IFzo7CemXSrOhWzrWuZG63MW9y1C8ynyj9jajvRD3Js/AMQSeRUvMbl0neeHTt7qNYfZcxRa8
IwFk/IEStfdFPX8WXW0A0sACms+YA2hz1Uyh7Y8+yLHTKcwew/8i77yWHNey7fpFOAFgw2y8KEIk
6MlkGibTvCDSwtsN//UarG5ddbd0FdGPV3o5UVWnstKQANaea84xE7mlhPj9D91K5N/EtMjCdHKb
FAfhAqELl0EQtUu97V9LLLSLIOpWIps1JIR1FT4kDcKLhAiMW+d+8vKHVGTKL53+XKecguImrdet
Vq6bKmmxgUF478z6q3Xn2acj4IyXZmfyzS4802r9xvzsxcAxTZHoNQRh1KwiFiJBKadcnmFNZLGY
u2vGxk734mYB8fmh88hPmnWzG0hUAv8gzz2Wmd/Z1rtXspxmnGKnRa+mT9iZwz16FkdHqtLSMF71
JaObmq+celys8WRtbV7e0Shj30y6ctng+SQji+U4/AXlxieS2Rt7nPDWPBDqPcGLdjsTKs1hz5Bd
eL3tmMsyOjvmUz14qGeEwWcjvcBVfaxanjpFw/VHP+WwnHPHhRT5zYkSAAKudDJ5X2ZBgC3FsrXV
QKVVHeuSeljDRiSUHRGyywlDOmm5TmmbA89a1YDZ6RYGplX4MCeAJTrE8Yy8ou6luvtT1jhY6kW5
w7Oy1BVMG9ohLwa742LtCg6EtVVpu6FTA9iVwp9jEsiyG54lPQa7qSOTnEQxVRfVsFYF2ee0JDvZ
c7qaU/c57foHNJV7KcePuM9Yj9MuvBKMTd9SEM2aEurZzNG570a57qhxtkhpL+n5pR+vSOtjGmEI
kymhuFtH3ExGVLOA6Ws2jy2LcFgXNSAasPJrTQTB0r5LRLFWOiGuEhagb9jpr2ZUJbqUe+vM1Wec
33I/Xw1CPR5HMCYqrny9ZHFRtfdQgS9obJccXAx97IzD5Dj4BdWbN2NB6cwE2KP3CPScm2LU7O1Y
LBQDE83yXyyXAVAnWbOcpqdp0J9rt5u4YWa+mnhOTikaWmNlB8Ou6HqVjZ+mQJ0TUT547QfQUPah
IcGmHNquMFA9mxZ8g8UEX+Ic9asIZxdIlHVoQ1ohink2gOx5Dm7LQHIWDaEFYsoUnH2HkyQf1gQ/
9VSeZe0+WAZmDQPxdu9BbByK+BxW1mM4IXzwCLwy17HYJ1Rl4oIlZX2gZ9OHMLawDAY0wNK+4eVg
oFS3ant5BnQQjNwrEsvau43cM8JTyiRzY5sluxBo1vDQZCmtSZZ9qWo3I1zHdSQ99GmEv7DBtaZb
P1NcxeQpu1c7ZXBifvCdxvkKcv0LBkHEll4ffFd33o1KYIpisYSl13mCykXNY/zd6fkbdmBWZepm
VZ/0C+fNx5oDFFhW6lHI0uSGtuM6g7JKMdNyrlkp8o4dV3OA3ln0w8PoGQOrLfFipng6/vwHaNVd
RCFZHj5m4YQjYbRg7/NSDbn1OMQcyfJCePeTyeKITIK1tVD2QobOvRWLL6ctNT8e2ifd4SsLeusk
cEzdgbO8N2ur9MmruetRciBWWs5bctbAC5T7Jh3NDU3jB4HVNVS4CwTNvIgH9UUIrD2ah6tkKDP4
ABbieu4FhPYsqPIBRGXIZx9lxyOxRowaxonKjSIs4BBT/jhwubl6fENjbeBObKeYAOMwgJZMrnFB
dNa2lb3IxWdpfFVyyZ2080vI94BMVga6aeMqbGol8NG0H+AMTGa3+P8mUgIbxFtGifypeareRDQi
L595jyBZjc23HX/cBH27bV9vYlJQ2Xs7CZZ2jVlJAgJeqMYkBpIdk9vxL0dfncieLhKDsH7WI6K5
0V2Wd9SB3xQUkEsLypuiVeoYD9TLvsXEKf+2Z/zbJu7/sOC6NdX/83bLJV/rStM1eFII6f3zdqsN
5IR/0tYXeSfAWfPEiyPiRwDBUyvj7mIu//295uanvPvIf9R/gd0mAYj/22bzv39SuzmX/7jZ/PMR
f99rWn+hdrmmx4LSMU2dn/3fFpuG+Es3JAtPOKesKm3BT70omz/rS/Mv/pylo+6A6sIB4fyvzabB
0pMaC2npuoTlpzv/zmbTc41/eelRH/gCHNarwhS27vKZ/nGxiU1JlprbgjmM2j0j0rDOjfRRR4Yh
mGUkK2iPHBamfutUyvbrDiQJW8S1o6f5Ko+Fti7RjF1acXBVdubK6KNqTyXpF5yQ6FLgWrIz6zl0
qPWpi7DdakYDHqCi4ZZ/iaOaNvLkFS2+5JJ5RZuhsnBPJekPslJdI8HpoGXHC3ZmeEwwkC4Iwi7q
yNpVIGgXQVKixLUEbsvQ2XEAvKFSqNKqWJgGdJfaTe13Q0mVRrTFQ8f6CHkO1fEWL6wX3Zlxxg8L
61AmKfgpg3kWoCLhcr6XBuDUjf+EkBl04y6ZEXvZqXxrA0NVUbb2JpEdnL3WWlb6/dhaCdF+/Hdj
4HyafU3zRgLOehgZTi1ECyPiIGc+RsgePuuQo4uOuSOQ4S4sLdzIaITFWs2rOaVgR5N46cLc24/9
i8o8wgagrMaQQL8NpYH9xU+ccuCIaTtdYmY76dV+jt2dTXFU/EKd0kqj7Irvg3tTlTWnzHMuPebs
IKiGhUfFJ7d9TNOD+WKOoemXip+LN4zwh2aLnrsWBJ9ZaYZff0y68xhVnAqR9X50AfnNvbglINp0
fB5lXy5NnKOE5zhGtK11KjA48zrq720/E0tMeM7ZhCgdZbHKmOZ1a9SASPL+IQRhiHI+bihDwtBm
ZSfmW4mN55cquA+ayS/wsujbeRiMgtl/ohiuOGqamEAQ6fjrGjyIWkPDnyV/RoT5Y5MycqRRxzh7
IoJzZjh/aPXoe7Kc94ZsrdEyjAPHKJlTnOGBNBKzVThUV5KsSLaAWvbtxGa+bZg7ZPdIxzXsLhTg
KY0vhk0rV2nAcaMbz7anchHb3lZFnueTv3rCifWSt9nJqNFJYB5ys66OhVXQQQcFBfcQ298IvH8j
jc+wmKKljKD5TLFe7lVUX6xO+0kLw7p6ScT+Jby6oZfieg07XO762g6rbVEN+LeqGsQ7eG3e/fO3
KkIMj/RjDc13iwA5aR2FuVwnUrEmgAlz13JYXJpVTMlEDT0sb1GU7HZXoyrhCpMf85BJgoj9Kmnt
HvBZfJrYKflVqeoN6Fsf1tm2NagjmvJ277TzCyG7C66opZMzGEVYiCh4xvuzlLrFkat/vP1eS+rN
jaTipQ3TI1iCGttbJqhGmKyrylZA11c2YYXWGdEBunLjRuwjIH/k2AKMU3DLXUXUEzGVjM5Bs6bz
hGCAjKUv7LLddzGQv1TqAAfBz68NAf5QKP1TR/l87uu6PZgtsqcq3rXkMpaAvN2UfnACM8yeHBVL
dEkEQHlJo4KH7/DYxMmdZzU+MPcnV5Jbgd7TBXWNOlKyac0NWjMHxSw0gNQYHeq2bx8NvxdnHTgJ
/EBiVcr0Dl7OAVvtiiPaxU6JvhvztAuSuxkQnUg+FJljK94POXHmwd4D5OfeymIkQLgliyYXyuBs
1uf2NqOrDGv41XbqlPb6aKa3Lk19WLoHmGr9ygrH6FomA3eTEMtDwEPELwJPvfaMfOxJy0v7gqeh
PXQTgGxuK0jG6R1S7KaYh8fZII2jTTqKKt+ZyrJF2ATG69xQeg5gd1jYBIFYyNKoY/Wuu0rz8JWE
yW6KuOFa1kuUCEzKnZafEiwFizDizkGUpFyYfQGXfuAGBPUnZWBvaOGyp8Nke/3hTwkF7083nIzX
0jaPVeISZQOsOtQ8MUqzhPmKzryQUYDt0Jy2WWvVnLg0B+U2y9ZaLvwE1WbRaOahSSZ96U7YAsP6
yLuZLU+9AQJwN1Xj422F0gxCJ2yNhgbPY4cX5NSxJQ4T0e3g0f66HNIbRueFY4IVaGx/1kB7YYDU
GHaBjuRmTxUrLt3Q4Heq5acVSQrdreRQdh6NViWAM+ghdL2s/vxM7RTALrHENp9+EZUSqHh20b/I
mNrxIjwXwX1TaXsd9rlPISTWvj+EdB2HqVBdxxklWnVpOt1I8zxeqV7LhfMVmYBoe0vtClVx0ugd
TrQK2nJBo4KRjC5VWhEbV3t6DFDpd73WnhvwdAvrhjGvJn3HDp2sQLzwrHorpunDjJnmSwGX1tO9
76ZpP9Oa3LbO7j3uTHWWFjUYGqYZiSaQ5sk9axYHY6FsUU8ifRc3dJCURgK2khHUbhp+btzUdL6i
hdFhj29McpohIKlO7oukusOomoppRtyB1RN6IccE3IMZuJKSSosseCroeaqmOj9iXMGZgJF+0kra
gIvsxBvlC1mzW0RxATkjJXkr5kfPTX6kq2541QHQoz3tLFhnCx5aQBNpp1wkWjYt+7i6H20LJ2Jb
rL3EWFFwhWbR1qey1A956n5qwICjMpW4i5KPcC42ELABajX5K1P9SZeQcbsqy9dyTtZz4gzPKcDl
tknecoCba/aG0SKJbtkQnOv0zy4TvNORx5bZQ9kZsP0aNiYlaOw+wRkBl3u6NraOlK8HmxqMeOAA
cGDoini5AfxAMFFhcmQLv1EGbUWkRFG0+B/lfK0V1mtUTpbcKT/oKSpOAf2l01Cv+5C/Q5V1CwIn
X+emdxcJMXAoKQ+5ztcpAbPkM98xvViABSJh2tyW5285D8/mRJ2ETjhXYbRSUPhZEBNZTy2z5SKk
hGgA97gQUHQz29HoDuBzl1Xxq8qeGhmcx8uqhRzOpbikihaDrvPemW68GFoyt4oC9PqO37ZLV1/C
7L6VDmesz2Ag1OSd1ynwah+zxKVpUrGu8frI1jrU0uS9FQf7sCc5O9YvBcKsDTVDYJSh8Oys2fpv
gaICgiNZTDs90PdxjTFpbvRfiolsMrzluNJqhkGASRBd2OZsWp3ndpIgY+KPRhHf13MyrrVIssRl
jiPYViEA+sioxlYFFVQQUeCJBbp/m/f0NBTsgnhTwsvbpYF8ROc6GyEDapu5yTqIATehm67imL9E
VL5hV14Ed8GkfZcs/es8Y9GcVHJTktKdb/1HnvEk9N+0RocNSpLu5FsXjha3G9kuBM5in8gjjwIK
FWHKJ/BfxTN6MysLxO85uRSuaR/s2y6biYrnZDK5zcobdK4kUfqjyYvO8fDZLEDIatZ9TfMeN7Po
Ds/0vAqJgGA0pHHOGsPF0NX7qg7vKW9xdijga5JH5irThvvITt3FJIfJz3rRQU3QQBHwrihL7ddx
ok9UCMqyQu6KOcFhC0/LwtXErq+rKzPfg2ezSfY0aS2N9m6KGDpzL5lPHfxyXq504PTADkf6KqXU
zgTANxM5XFOo5i4rMmT8W3ApLR6iymUtNaTReWwRKaA/LFKTQlJrLnsYLvK5ISWH2geRRWXqvoXz
FZ/MwWULFhNdgj+wH3ouQFeO3GtD/Nhh2L16gi0c5SprAFnUKWqog4ag37nJemQt6+XPtZGq5lu5
NsVQxJ1WtO7ejRB+pyC/prH1aMrWpOlVLUcaPCf2R1p4nABRGDy1dBgseKXzPYghTvvBTNd7P27M
fhMn2VnEVDWKTHxvOfpM+afycLKJxrk2aeDczzAQxgZfZcLLY3htjNifKlRsZoLI8vr1bFJ/lWBh
Sdvw5uFKSVsW2r7sxEvhCoYKi9mLxF+3cHLeHGmOrqYi84G5u/YT02Lxjg870YNbHKvoV5qZ+GYH
06hPI8zON7BBqh3LJsCurpg9WDQinTZYRaEnR5Q8g2rW16VRvzhjylPCqTdO/9uHCcEbCdS5owAP
xAGWp+ETRh9hIOPGb3D0cyIBbER9EN3n6uC49cXICcxSF472MQOYqFs/IpRruuGK5eopnb36ahoW
HQrS14z+EIf6zA0cSxxf5C4cNJAbcgnhActBa5MBt15s0WIoGTiQELjGCFs8NMq1Lq32nmmRQ9Iq
JWzaT+3SyoHEgIaI6SPqRhAV4H3bB6fMeoiq8XeWwQ7Jrm5dPiRFaCx6PTvKQLuCoQCPg+GBCbJy
13CksAjFBU84ataioOZwXBTXmRAVnw8WGOtGNU67PJV0K5AAY8/f8Ja9VTemEzF9MXgMaHJYp8TH
KB+FJpOl22722GCVDAa4lLj88YswtBYrWioKXyiAQkHbA5Ee5FUOqt3JuGzWePX5sgpl/dh6Fqym
3OLWNkV+JSSFX1FJvqi+eCDTZroTyQEMixLsPqTjeNtTaMoeHkMyx6d0GbXynvhntQQbPKaSjNHQ
b4qMMoM+fTea4qrcg053BobM7OLSewlpynnQA/wjnNDBfoP0ppBo39NUs0ljvFsyTgKud1tbwDCZ
WTzxFVS6/e5MR9wN3LwyyUka9wLDUUs8L9kOIHpXN0jt2HFPA9xL82Zc/SSKQHfRF1CdzfYzGynm
ntyMZVV54XH9t+zA333y/2QB/0cfPYLZf/z2v/0XEqiE7qDbkCz4T7z3iw82CfHXR/tP9vu/fdTf
VSrnL0QqwXmBnIQnyX3/h0xl/yUE+RwPqz1Oehf96n+qVMZfBh+h64hatuERtvgPlUp4CFg3Mz9Z
RMk/bHj/jkpl6Ob/LlORlLc96aFSIq79q0IpEbetrqcAqmMSW7bWIG+eeW/dtxHbP/u2gBnsV1cp
TOA1ZGb0dwwfJJJTAz6TYkWm41RJZQASxqQP27Yos6h0gzepdLDbxP3GBn1QqTJeQshRa02fjn2p
3Q8ALlCBhnEVsXbNqgqPDqtQahPxVHFVj0q/apFxAiNqroIEVWKa46dAEy9d0VebVBXn2HIhweO9
BPJ8bG3rWdbkkofYIsQLasvPavPFy4cOjwGhkn4CfyvfmOGAqkBcpAXz3ey0bjW0aUoxzBvw2KUX
zu1WDZzgjHLIfM9LthYgWdyA2ETd0F2z6wSkivhEtQxnGWxH9dx9KhFDXwoiCPjN9MhLjj20UzRu
Y/BYNab50OcJxwQTG0fn5fvZF3hJNnldsBkxk1OBT5rGulVW4/U1HIXAwNGpBQdnecFzaquKNQYl
QoynIc9ZP+iIfWseVa2FeTWmvlyNKjOWs949zJM7gORBogKasAk6dUcU24J41bGbbbC14zOD1wui
LGvZzapo1xY4IhyA5quaLt4qtI/gvoKNXglazjzjQamEU74+bDpTF4eyAMTSOY+sYhmndJZZt/WN
aKbTrXnGad4igZGilg/cnjJAcGqT6GKPw9d9QmM5dTkkJGPE3N7rt5ufxq/Izl/Kur0XpsrO4YT7
p+zibdlg9PCSgCNeOSMPeM9M82Cuh+BYBHOx8Djej8KwUEaF9LHi3+gfClcm2E02pggfmujuAlxv
46idBR6YqyDouQxhfpXaEG9BAWL2cwwEx8imu1BZ9PIA6r2zPD3wSwh2nL+8NclRJpIBH2PQwaGp
xnXabkbYd72G/3haATY/MQPtVYPcidOMo/lKj9k94MSFRzGiAc50FQQy+Z48dqcg0K+BmEEf5A9a
0fxQncOj5z62b5YfqLqq+Lb04nOCLb7BL7AyJv7COHZvQ6/ZGwRj0CkbT28vZfDNzj5blgVz4p/d
oJlweA6YfsropqmqE8/edIHtTg85eige41M7+KUZ7vSiAOXgcfKVangt0/mjs6RBrcf0QR0v/YrY
SuISeroed99miYPEcp/qHqIE539YC2NJWw6glMEu9cfG3Y8BjeNScNnYsf0euPZaz4tgKbIUp4k5
r+J64twn7Eclsotxa8xr+vzemcaRlD4UfPA1NCfXxs6c5vdyrJlI8TrUcF6WBTbeNPG2UWYzXUXT
fXv7lKnBTCei7zmJt3okaqqUtMVgGYvMqr7NWJqnOA/759vvUha/dD5S5oQpJzVeoDe92277MqMr
Ip9xiLYjLCEddwQzu8Rdcwosjcr6lmsoDYNTC01lYbMKDaPgSvXZ3uDQvLWHaq9sa9+N3AJZE36l
UbC0qktX/7nXcFcp3G8kD76jbpvnJXahYJNaDBYTXrjZ2jfmzWo4EEhxl07QNDschpSOdPnWnVmk
DtZ1suaNY/RnUrYLLT5LQN6RbqxzgIaLWB/urC69lHArcM5S5DSArJ848McVJVJtsJWh7ZMcW3X5
B9lzfdENOK4cs/ksSuqPyJYfYr3bqynmmI7hKrffC5c0J25sKmI+5IAfxpYQDrjxWSo6TcM54FuG
ysQn57SFbGK8xIb1A8iTGBYqk6tyteCORy0c2+HcU+2PyrXt1AUUqDPTokXZ9MMMFfJehIm6NhnD
idpP/O1qVP1qfLQq89bQBz/CdWf+RXOSGybrZI1zGouAN9+bbX/XjEO7iTsqxkdlEainhpUxdofB
MN9mtWM8k5Zg158+dmmryI9FE1S07l7XsiPns5GFLuvx2HXuDSfGEWV1fuueOvSBhZbW1dYDTSVl
dNYLqpsDTjtYxLOtpaZbwcME2Z03MyQ4qC7VDOA9Y2VwH85u5g/W+JFr2LVqXKtwEn1grNDnqWYh
L4ANbMzfCm2MwNy317pvPicSljuCRCfabjgnhRzjKDNaIl41wIjz8FxO1SuV4dxKAo5bSWx8EBto
HiNKbKa4CQ5BFHorADKke7ISzyyV26Gn3QbbEh/AGB2jiGbkHG0Z2q8Hgi97CTuzeJzqZI+z5mQW
/V1uOS6nGppIMgTuREsW6ZwXvgpm1jyw39YjrKbS+JZE1xfSBJ4+HpTJEJoTK/BDFZxIqjy17aEZ
C2+VYgYDvW6vgC7B3TWgVdSmsWhk5/NOyna1MeDJqIdwZ2Fvi54NmTzZ5c2036TXLlGXRN+lcvwc
kvuK9RdemX1Xga+Qo8TSh0FYZfax67qVSUs7Z1W6hcwYrzbQLBpZjOAt5lsSaA087lv4f43yh/Td
Q6+sgMdXVE3l9XDOFNGdZDeAyQW1CBO3cgH1ViaZuei5k849K4pNFAZ3KpV3lBnz2SwOdtycc86J
UItIdIMwDmBdsffH9t0tI9NdYdZ8y3gD4laurojKSK1e34E8ED/ZmD3G46ENyDBANjWSK0aFAyLA
J0Db9fin0T0rJiiXZ7TykdhIxtWRs/QQ5g4+f3OI2qk5/PnV5H3PXRlRJwW4ynOwjAO6xg6Di35k
x9xClvZurFc0J6wzw86UyNvpQId4I1i+xJceL6VV6DbHaWIVjsXpABIXDshooOOz2Y0pmkzsPpnF
za7FebgPjMdS65YuJ+ND36Y/OXsf9OHksU1dmmjb9lf0vbyzlHwdG0htOdfsMqQKBqFHgljOUdqt
BoQ6HfOLiL6jDfn8RQOiS7BfitP6jfJpw/copI0767eyoDKWUfaqZqySzFYsGHLo0SE3Lvx2RwMT
DY8cQuYQvZTI33RD7Ced4bKHhL8BdANF2/ysbgc6OGOfGWXkhT7eql50aK21/d6IymNemByScCHP
ZZDTBTs0vnsFGRYQqdLWoeDB26txXEK4MJc4VGqJma24zHP7ASG/5t0fc+ayLIbBSGPwES+uFSfL
vnGOAowZ0yZ4iNwdOfN6p16KemM4wZrOIZSZl75Wx9HlplOFxRu3WwJCGg0cCDIA0eF6xisWfexK
9OLbdV7on9YwrAHOnc+qpDwDVQJsjCIMSONppnEs95tM7zacONiYcIMDolxjeNjDZN23A2511VY+
jaHrps1YgSS5vdaI4lN1FJOWMM4TPsgCa8sMHYTF9Xunifema566ekpYtN3Y0jMzrIQXpBzTfU6i
V1k5Iy7d6clkoXqrYCsdiwzKFG6zob3kGrFt6Jsfs8TTlU1lwEkdUoKiXCBg0cgd6CXr4FSG+RdF
KykU7FknvRLSmIYwU4zyxZ7OATQYtCJCFbwDEs8+ZjrPZZtbfVsci1vb/e2qJn//O6sxoOOtnxZ2
AitCF+9uUXxp+UD6i9vqzZwDgcvclqN9HCj4SzMoQg6UWLQD2DMNVr40zH91ocalKI1DNMKRsbvi
ysx65psi1r/E1n5CKryruAKWY12pZThbrHKLAWMmRiXyyWw6RMCfY51ftW4KCJzHd1WAgTa7k233
1EgNvp2XM9BTNJVxMD+aUP+9rX7Zo2po1+MxoKFkqQT7VXQTmylqkfesJRwveY1zdSH0QGzVJCYw
QK1pnXJf6OV93oTYkKr1XIfQTeHo+lGTwGvGCGDNPc5pgxnNHmiQFKP5VSInMdTz6NDQflOMs1g3
SQnowT4xi69xkuckoNmkiRDJ4xrOp+ZmhV9P7g7649cASXERG92E2REXH8StRy2X94WB3zGe7At6
5U+emKi0jkYdAjlp00RcIkLArjmIH0bTPqNgvtu189iPbgR4WVW8f269WoQJzBk4fVns6pD1mznS
xxlBr0Fwrhg+q2tJrzLbyJU5l0dMjz1d2aTONFbnu7an49Gyfiws+sCasHQlMWgOE8vj2gTWzqU6
fgS3XgSdYBmpAWp4aO3sDOeVAkJIvmZ9rS1n3XnWJaiNF6y/8ZPmsmJp9PRM+w3DTnQqzeQsqFUa
4NkTlD5EzyUQHJeIeiNDokyUg0fpOcmTc67CU9bMT6p2NzJsWATl9bW6LT+G7/qWv2RLR94qOsFS
3Q1DcMat4POAfWNns9Z6ddt4MwAAefZMfKKJ2tofxsTVH7rpm2tZrx50b9XXDw0eeIY8lpsg5oX2
cfsCWFT9wMm+znW9BkO4Tvrqty2ANorsKtvPoWNJXwXhj+1F+sqOVk5MmHmYzTeTt+9CoEVhQ82T
Y29/xeLBqofscSadt7DCV62e7qw6QQIYku/B4Q5BoGPscbjI/ldBCV0mSAiLpPO+DSzQrHvf1Jwc
All9jSPl4RQ9cgY08DoYsrgfhEf1XP0MZCWg4pLYf5XxsHpIPe976LHnKndWKL76aialU2A2OOp0
N67tnlwKNTosK7g/Wvibd9J61dkYgJOod33cLwdB7c1Ac+IyFkGxFvSoY8ry9cJTK4v8W9yG3wbj
pRmpnw4jAlBiua7rno6nAPdMw1HK8jpCCFn9LGZO0Qm6qtWcAG4sHeh3lA0UX3gM75kdgyU5wKPT
Z0gEebdtMXazDojO/2+bvGwLaes/19CWH9nH578ALOw/H/N3Bc39y9RtJCqAJRi6XBtQxd+NXvZf
UCosx6Mc2iTJ9Q8+L/0vwzJtXFn4uaQjTD7m7wQL4f7lGRakCV03QE7w//8dBc1z9H/xeZk4zCTH
X8sWOMrsf4WhZLMjWtMhyOyy4CUd1hzpgpuWGnCfpd6AFe0jqS0h1qV3Alp+m008QEtaCGCMcZSi
Q/yj7lwIz3Pxk8KfY2DAkN0ZPIWSqAz9LOrvOD01e1Pe9bYVHLh4klv9wqxa6sG+DMPoXvIi9RmG
8mXRj9Uj9VzjYvTFXJkXliL3AmvHxkt5WE/kT7zei5+dgkID2tI5DIl+lbFbIUpCh3hAh73XzyP9
B/pxjufgOI+lXDRIT5tgjg8CMmWQi2M1o41bM37VGsT9UxBW3Y0hK9bKqWjkDDmNu0ORX+3g1l/H
ZuAuRUsk28UdBzvxS1tXUByt4K2C+chJfhq32L7iNTTAN5O2DYtl9jGmLUPOEOaaSavu5wh4LXGx
fJ20xrSzNe/XMILyFAck2gFk+bHTzbsyuDmsXC3f5yTcogKLg5xFdbTDXFs0SQ/LmIr1dcVpZEUr
TU0dhZfvGhPb/phFBxuZ5DTSWUIJSM3KB8Yy8r21oId9Jxog7+Z8i0kHSXcY6sPY1eFWiPm3prFs
Y7gslcs03BtDK1ajWbgobqZ7nO3yqS36fuMpvMOFBE5GSQdqFk/iQf8uLVxzoTH8JjlGrESrMebI
gA5QCoSbae53TlKRW2qoOuLwS+PqrXSk6rCKNObK9MwrDVQoOkr/ScnybuZXBjbA8IpBCLP2MTNz
eoCq+Vhh9r84yQv8jPxaAs1/pF1h03KrdLzWe9CUqT2Zufcwt1p250ZFSG9nqggD1hraw2/TD8bd
OFBMgCV99t22p/p9sp2TzOMtDXUAIekZMWXer2WbY393uWk6BtWY5POpqezlc2f2LzwittV8A1a6
rHgyg8hn+xQSpyI+0O2SUJ2HVsIGo9lycO19alkBLvsAN4B0wbkMxY4GVf6YA1vqmvWGG/tb0H9k
YNGJLndiO5UZ87u4uES7VqkGMp+1/rGiLsPvNPs8dcZqDLt+RSMYm02R34dO8B6n1k1pSx6VPhf3
OdU4xCssP6dmxk/KfBmxmOqV9pTgPeaaddt1qKgomkzK6YwOzmcD5aPQv4AHy03Xs553VXDLcvBV
wn1azi1ntbrvtUUmk2MhxSovXWNNq1a/kizUNz22paWTdetJL/U1X8S4EqVtIPRhulGZNa7/IFg8
SKZLRwmxz6llKKIa8tKUkroYWN5Vaw5hq0y62gGWGvC1Hjt0YwpjrZGlGCInBcLoPMqSSJQI7Lcu
ZzqqzN69oyXvxaTXib4iG/NdlNHQRkNaRDolN8rvmsqWjdUF+6m9bcGiiWLqzEBS0sgBph3Q/KjZ
5lUfkmQn5zPGHXYFoBx+SDPfwAzDSjvf5uwdqUEKH8ao4WXStuWAZa7S8NlLvDtL2w7YSicdgSCR
RzvCkh9gyVOSitRFc+fbahHW75jCEBq3j0NJG8tYem9p6eJNNPp1TOD4CRzzYWrPYd/TOIMsVpoz
edZJPefJLLY4DlkGEHqoSUUB3aRnroRf65I2IopYrJ2bZ/zPa+w6BeaYGYSCk4fTuunxiSfYazE0
hceSdSeuRYr4TE7EdwWrU7+a02wdVRzf5IRe7JHwtHUmmtmC9NDxuZ2EaEMOHmUVj5+zwIXamNG6
Aey+DV0OmQE9NC28CXw3JX80Fp+lReCNArbVHNc2Gm7Ts2hv5q1bRduo05wzS3DWAZYfG5gWy6w6
aFUR7AZKX5lDbrq2UM2m6oPNMPXeOxzifSuKnbTD5rXMovfYtIk4NJr9RG/JFfrsPhupsVa0S1Ce
Um3pz9kQDF0Zxf8g70yWI1eyJPtFKME8bH2eSefo5AZCBknDPAMG4OvrGDO7MvN1S5Z077p7ly8j
SAbd4YDdq6pHXTpWEFmKdD904Z5E4ltu2Ae7IuExwmCZIDNN2c0LruoEXofcG4c7Ru2jp9c8v5pz
OVjbXk6H9t2Z65WZJ9uZ9WIfydOgyrm9ZCuoVJxGneNxM7I/nLZjV1+TPnwpepyjVWy/CxK8VU6S
NL8LVN4lKvdxNj91tcUe79tzs4y4cr+hjpOB3dLI1ohShxpBfhejEgW++GhC9Al6UG3UihjVQir5
grZCHsMNSRPUnUFJHBFaBwGeeE9W5WooGQQeWbjtKutUD/WGJG++7pVoMqKe5KgohZJTAIHSxTPX
y7Kr6S1UokuPvyEeADcoOUZXwow1t9fAFgZwwKpcJ9WLCBFxcrYbK1t1NTlAUEAJHhMl+VhoP1pq
kRs2F5AxQ3ZpyEMxOtGcKq5OdO4r/M3UPQ5baqDb7MAHCoFJSU01mpOjxCeDQu9FRX3YUuDLtG17
OKZxaC5Z1H2WtNKlSYGMVeiLSglbk3DdDYh7HsA4NinW2o1Fo4pXmQRIWHS7Bo0sjd9YAqUbIFlk
DlHRAtQ0pGpEaGDfSmZT2dNQCW/0V7ySEZxXoxLlAiXPMfA+a+0pVbIdniJgIih5g5L0zNl4VX3C
PQM3czX74aSazxkt0rkSBK1faRCNMEUrxKmw1DzEQzm4lOWVwf0cylOqBMZaSY0umiMq0rDNlAzp
KEGyNGZWz/Swp5bVbnVA2yrgB/+4WWQCBzlOLc5HSJzkpHsSZNatSm2xTlyA6r2SRHsljqLZJUTc
E+gkXDcjp3xPHfcNzv2ZGgBCNQkwEXhqNHCYEWzjbAkMs9XEu8gMQU2P+tQxVozMF40aNIS0/E2Y
09zj9N+YpJ7qJPmymE30jCldqnHFdpeJGl/wYk1LEfsEMZlt6OPap+6QLtMG7M807HU1Bs3MQ64a
jCALsG76HZaYmkqmp3YY1GoiYT+YeV/hXWfpt6Dysi29sgQi1QTGJGaqiUyNZo2cLWICLpZP5raO
+U2Xb6Ya51LmulQNeGg53tKPu5+J2Q9KdL/GlJ664suOyEclUl7K+XX6HRq5Qz6A/23qP24dxKfG
0tKFoQbNgYlz0tgIoqplbP7XRh5+AWhEBYLaMvTZGfsEubWOxfsUZ+0yscG6OgB2mYJ5znK37xjD
OBIYfV+t2DuKMgPvKC5CPeTR877wynPUi9jHGXP70o9OeZiAvUyaPBe826UHa76srGjXLAlNOidB
wVPd1S6+MxgljtucZcFTC6PsicbAb6n3L+mELc3W5nqtZfp9ptsDcc2UHhhuDP6YkEc3ie4ludq+
RWfNsh7zGV9GXTMtRxY70s7dN+5IlNHtRkb4lDhczv2/KjgdWQMPLzfOWDFwx69av6OgsaWENjHx
THUmA0bPoyRzeQq66kQ6OzbHMfhEqVs/zHVwy0Q/vvr+1ZbIV9U86nh9yunBDedFMGIxS0dpbfVZ
ExTeMqTMmXOU5gAahFrYzM52tYYCk/duCVaC3O/kWu4GZGCyKAZHgKjKgK3a5bOVomh0+A0J/ct9
A5ijaxdeTcnSgHS0KTKDMqze21qqw8D04OnCxXoMp5xCIqfagbnfBHUe3M30ki9+X+Mi7vkhsLR3
5tzytKNNnY9VjsqIM4J4QQAPxMt4J7vW/TFd72Eq6AWJZjIIpgF7lqdnmREddnqi44As4rBO1taw
j53AxVvVh6dywzPOPMS6AXvZbHpipVQlZS3uugxzZAT3fu0KNoM1PpkG7tptMgaxyYEKHCbL5r0c
FmFpG5zTu2TdDDyCW10Oa0RCXKVads046WJipjwy1s1dzoF6P7jOcZ74t/llcDJDrcS71D8DKtQ3
ced9kPgl8ltJa9fXrdiRz+Vx2F+0Gktkqw/eiWLtpTNZ0Ai8QS59YSMoZRC4PcTelWnT+2S6tbvF
cB+vof4+a1aSLgt9egIBaZ/trLn6rOXmkcNxq4Y5rZn/OE4Gvkx4FAkGx86noDIokw/DZQ4KBeWQ
fLQmVYyBOnD0JcUD+K/XPA/iTdMQCdLG9NyAIJrqfsAXrU423bD0xKjfhf0hA/t3b4TDInLzYCNG
XHtMihdsS8GZdNE2q+IKCxs7b7sJf4aAbhVcbW9Tg7LrQRWiVGfAsOElR2vKxM6p02pFymdLrcGf
uSb94BJEGqHTLLKg/LICP9rAItmXONXIxbaHFFbGzoMvY/gYtSCH/KHA1TjnQBjnmFdhZEg9+1lx
z1nZIPIw/Dh29k7vwZ7PxEoObIgnPbwvwvyRFcPaAeC7ixX3OUiutK+2FANsHbfGM0MIamHrwYuW
uc2+LazpUPTWmY8JQwsF2YQ5c9Klk33U8jHbE++H/CrLpdDwOINNj0G1Mtr83sTwmQLMspNDK91j
NFXx1hmnL84uOyON8rWXwsaxXKNDQNCZlfOPwnSZrUxm6M7Uvx0bJq102AgKsrMkgay70miMcxRN
u4RyE7Kw07dTE0Tt44oKE56BNTNC7FInigjOdZ+uIBsQBJNQtWLdLjdFDLjEUG2UM2B8TXLcDX1F
3nWM/wNr2P8lTFbH0/+blVZefRT/ymT929f8faXl/AfwXINPnucbdmAb9n+ttOCrOsQGdd1G/Q10
H7vYP1xhjo7Pxbe4mG3L+weUFVMYhjD+vs23NA2fP/ofjrV/ceT9r6GsFj/8X0KrBrdyg05Fz9MD
y2Ljxp//E5J10qNmAkzAdUHINhghwQ3srd3B3cZTzt7VR4BAslWZEGHgYrcHeD5N8sMjC/XYCLGd
VzdD/bUhOWTasE0NjjIDMnhj2nAhGCFt/qNgW154DXVMYpNo8anTKr7cQc2e4ruizj/N2n+KbGcv
Rfb5TwvGv//K/8yd9Vj//U+/Ios7g72dg0Hf/ksuF8UZCl8BIjydIoJFXPGKPPkLKTRtaLJ9Ltcp
QW0q3viXZmG2of6cVtTop1GQQ84DbLzDeI3SdCW38NOV/j5XgM7UyM5zFe8RBk7zzL+/gn0a0KGX
FO0twieeJ+F7em55IcZG7thjF5ZxncA5sSvKTm0fPPnjFkvs0SrosMqE9l3mJJfpJMSw6zY3p1zn
c/xpB3T7KOCsiPKDoCy4N6LPjnJrQodb4VVMK/2+CtySbZsNhhDYXgBZ0kj5Dy90NgV17L/Qu3CA
t9Y2UGlltua+3C6hl5wGiv4o3jgWPvRVxYPUoZUsWviCIxJeMyVXFj5vM56TobCv//7NcRXy959D
04br2abF0d8h2MuC9y9vTl8SP5ydgSRRWCEgqYtpdHayY09KoWZxEJUBTLvGI8EucQJapImjEbib
QXIzl+FhgN4Q8reHv12sPk53BCVxxCJ3demvazOTwARYT/pOQd0CHyq3asp06eAGdLOJZphyOvE2
krixm61941SM06bi+5W6CYnb3kHcwtLta8z4yV1SF6eY61SBOH//QPT2XbAcvOKRMpXef9A0Z2OW
zi6GKJnw1ZVjbTPH2gnd3mJ+PNDVcqKNZ9G2K7ePD5aprf/9S2r8dUnNS+pwuXueZ7gsxg3uKv/8
kZ6lCeEX2tciCrQ/pUZTSx3B8nL3ARRv2zTp6QBD1BR3ZTie/puf7ai72V/eUB/JzQLu7OvcuZy/
3FB0GtzrrPKsRW5D2AVJF0lSHfx0TrSnMIHVrN6OYMILwPyFrMgHKcl0gPY94Jv0B2c+iKDGuc5N
uO1r4GOQKQsWVIX1pijHHVXcS2d04DnwvXDdIKI2K9dikrDcZpc4+WfHFf77We67h7kAzFZzPUsj
/eGY8OwzPZqQEoukAHmc/vQ5cbIygeTKjRAeRvmDvOizHEcKNbCUanq+sF1orLSgftrlxUn1BzPg
v/saXq2Iqxtpz2vN7wHggjulOwN6iom34cBJHjFHAL/wnhpUxgC1sVey44D+qCkhMo76jc6SMVAS
pT/PH6FFaKFPlIInIZI0eMYwiQfxFRLLN/vtpeekcj8pAbRWUmhf1SDzpgK86GU0XzgFkatV4mk4
wuqZCk1uI5RVSymsI2t6djPclyV4VCXDdlyugTO9Z7p3l2rpVcqJXp3G1FYZ9sHCJuCcKVkXluU3
vbxPpRJ8ReHflyjANhSsRS30aSWg2y4qdOIGvZjtX0FIG+cPGzdu8UpWntCXU3TmQAnORgAPKyNZ
rqRoti8lY04HWBm0n5KrvV/hWknYmanT4yyyU6rkbV0J3aQhNnmjIduV9wwrB+mArgwqpHElkk9t
/+TW+S3MYOy6SkgH+fylu/5ZUxI75XQAUxHdU9T3FhU+COYPpyUy5yqBHlvbykWxr1HuaxR8MSDl
c0E+RErcZ0xrqfhC8E+V9B8rE4A0XdxV2AJqZRAocQpomnYeo1WAfwB55M7FTxArY4GNw8BQVoMM
z4FU5oNW2RDi1LzDstIsRs6fZenh5TexLOBdiJWJQRTy6uNqcEmGubgcTCKIC10ZH6rQ/umQZktl
ieiLk4tDIldWCfxExCy4kfqhOJgjXfDBnReEr40yWWi4Leys09dCEVBao/yT48gIcGbgLt5Myqrh
c8PPlXlDVzYORJwPHoO0bePw4JfaVcrykeP9sPCAtJ3+qOsa0lN/863Ef9apkcPRShSrzmq8NsSH
tKl7NKX7XuExcZTZpMF14ppcfvPdpMwowpQLXdlTWmVUEYMNzrmENoCFRcfL4kcHZHR44MrkYuN2
aZXtRStW6DuaMsPgDGy3KrXT4ZNpwjttLO+kss/47isR5y8pUj7YKj9TwbjJ2Z3hZvQbqNg1TpxJ
WXIk3hzdelWXrEOHayO0mo1gcA7l8JLPQK9tZe+R+Hw0j9Bll7iv7Ri918oKJDOV9uywB+n4hGyv
ggt14CINlYlIKjtRpIxFEQ6jid1+1hntueFuPCoTUi6SL1vZklplUCL78u62jqSBHfNSjospx81U
K1uTCOzPFp9TrwxPUMfbDQ6qA0zRtwlPlMQbpSuTFJbSU6JsU2zLgdvgpGqUparAW0VfB5H30vup
inZlKPtVgg/L5h7c4stKaNIK6kZsK2skwuJSqJH6FFL4Jjsam47X0EXWQCXzYReEtyRy/QsB9p/R
xPClzxnx2amn4aH41sohPVa4x1hEGw99R5F9miv5/XHCZzbhN5uV8Yy0tvo5mNGoffzw7TG5cAZ8
IrFT7+IwPMYJozykieeC2rllNpt8zDU/X9ogDInf8rVlYCxM3EGwuKwdcLevuCyPgrXYMgD4u000
Y+tO3AGoJ/tjzO5WJwG+5FA03KccfUQ27zNh72CBHQMLN/k4CVVEp90wT3RHB82QKZkWEcO79zDd
5n19Rn8Bxjie+pnxyI/Ee9clM7fQGV5X4qlVAJs+jSBe3lgvLInpWRIhpcYbM7VDtsfhps7o8jQa
OoIs/d4ktKTeULms57U/BmSrurhYCPKtq2xuXqK3zjOJmU0mx70MyAdzwtm3+HTpRtkvgQs8WDXl
fH54V2YdgNOIKHwRxIuG4pU1wONnBSmSKR17fq5QW5zbUUybiM3DMH80k3J2hCXb8HxEtavZHqcT
i6+c21UuudcV9kMLiHFhTtmbNOwHpt81y6tzW4TbuTsS6ycyJal4VpbnGnXFnJszTrV2UeoCz5lb
3ntCyKPpAd2m1XRQ9zx71Zfxd4ERBzPoDUcuULNmI/IJe0WZPNTKgGsHLtswD/NF3BfsS01Kn0Kb
hqyAJ3GcQ5oK8L2t9Le5canfVOZ1s/0sSx5vdT2+YNp/aCPnYbKAmwZkFFVFIA1opwgpe+X0bDon
VmcLvbY2jqt/5kG5seyd0FClfIlAShXRKq/db2hil9oV7+lUIGAZhCTMfptWAb3oTEMLL5juCgzy
PBBLNnrAXUOI562LHkQqj1ehI8Dm0d/b0RgUNfY7pX2bxCmOlPaQuu/6hW001aU19A1b6RVnXkPc
UUS/rerRXnQaMNY5KPcM8MTchCCw3VvtPmvAs7Xat5YG5taO9WfdybN14MTV0vCEufe4edGaGx2J
SHKCjxDaqL82U6yQvfSOKeAk1AAAaoSXDomhn7h2nl0RlzsEhEMdT0f4aUxErbaHffde8NfTQvZb
OkXYRv1ULs+GYCiKtaZVp9IgtSaSVStJxHMNQ9cEnY8rfP7RUftn26BmtiW0pnOxr0KXB75m7o1G
5KtQ9uHK7vMXmTgAMtFhK4Mzx1C/FNYAfBWa6GLcgTPDlSrseBc6dFh4zacHz5tdIEts/h9uLISC
Cdcv9MoON6aZvscZZ9xG/zNP+msNtsW3YOqRVYfZQlSEHjlToWRvmPGqC70/y9Zx471WmNd5Ht9b
jRB37yLEyXeiP3iaQWNDjdjVlv1ZTt7Fi5PdnGp/WO3wCuIuHcFPelGK1byItr0135cDxKm8H37f
zdaujHUNdDQmAb7Jkt5aOrOk+/FkjsAPh6CgxKrje+pU/SFL8frQ70lv4xhADqAirYXhEs8nmejd
vZ/z0IoclOgKXrHgXhG6brKNsRkvi6pewuE0V3mHh7qM1nru6Ie2JuFItxqjKkitjiCv5Z8hgMaw
jFHZ+Lxwv4ggm4ScDvvBZ921j/C4GdL4qGHhPKdF9yTn6KWppr1dNNfKVJ/ubPqWrr/uZPItFNRv
MPFsz9NLGdcBY0bxmlbkdJzm4Llrw1S4WPFFjXQnyGt2ToLLdR6fCl7aRUygtnB0xGI6Qa2o+iG/
S61Fdo9+8jCrjodkik9zVYplHBrr0JjBDQXWixmAwXGtF2vWHtLWWcdSjempOa7B2a6Dxt5Wc7BN
HNACGA1V4XX96BYoKRZh8mRVamZ3QG3aFN6Md5FDJicjTkxjCjqvthXlZVKo+feYbtlRkA/XC5KW
8Hfd0oaHSU/5NsHbEY31qup9ILYzV3TqpwEQWgIRdbgsaQ1eexjmqqr/pKWdCAzOw3divgXQF5mj
N/Ycpcqo3soseXLH5tPWnQd70N70nrqJuHjDXLbWqcRe1kP/SGvQqg8Nm3l9PwTjnT0EVKs3F8+N
9G0zhyu2L69BXx5NGkRiP927HQWT2JLYinbOB+eKvUWmgQdoySmEECB/5mFThAkYRxe63GZGb73e
hGbwyJ39gDy4s4r8vaICjXj7wu8sSUXh8JAF5llaznPQpCSZGucpCB6N5rGSBimQFmTD1PCoEuPF
6RAU+OkcVAwNfKxsgjP8r7tW93d04OB8ik2xpK1200u0SK7Eg+NFj/1EVAI5DiNnYC1haA4LWfHA
zz2Yw2PQfzftZgLyauHbnhLMLoW/83nAL1K92Natdaw1+dGONquD8mS6pO+jD6NM3mrfpV/aABNY
omP6yjhaS1YlJYWxEVWBfHwAJfD2cdTsLBjVDHH0mlPq3Jwno32sPBjvcurZJ1vTR/AmXI7FYHfa
FdWpVGnU/Va2+b3RJ/Fa8MssRW+BgcomQks0TiaD7oOHpEC0GXNGvkZ9LLScAnD/Xgb8rLxCLEoE
NguPnzGFlKq1wMbL8rlhOmHbwczQR/bZ1x3MXx6PW9xG1wT+bB6JTaW1Dz3wiMUwFHCsbfYV0Bi3
AzWlrb0D3knph1rssB2nYiSCHlLIo5yMzWSyd5KaWj7RaLFsxfAwEr/yHLrLWXFtZM+XJuMbLICe
ph7KL3VTWTMb++IHIDxgzOBGt+vDUBq++sUtVDkvWHsNT3VTmjtkBUKbsluzrXgaqeywquZWcFeI
/SvVYiRmWDPlpX7rtWQLd3RV2AJfVnjog+llrNyLacgzDrWc/3uatA+v8vc1In0QRZiB55fSNtf6
GKHL8hG1LIKozWOEY8QxivcIcgI0qTl+B6+9jCX3CNYGoacdXJOpfeA7FpShzxlQb3YOLNfv3C05
QswPPlZ0+7MvIrGs9ew9s16DKAP4C2V7ctPPun2SpNVMVDK1nTCd5hbFR/5kbcCbWOqZBvS/upHH
hAB00kPjSlJsbXvoj1QKC4vhuTtHo7eJCKVQ+Ucv0O/OCD+NrQUHfwieppEAk8YKsXBYHaU/E/n6
pfNHLxixS4oUPAw6ZXFSL18sqvuG/p6x2UGlfQP/+jNW1aNptMsSg00kafosKV7JDUzvtdg0mfof
i6GzDhjmOVkHHCkC6MDiGDTiqwG4CYn30vOQrVzaEMJDXc0vadrefI2Pesbii3rEGZdUXXgXZ0Qq
NIDn4kPLh2AfCgwRgTy3qFrV2CPMpu/gQS9IvGfyHvgj+A34te3KgZq6jgZUMLUljiDO1Ay9hrfn
Nd1RJEC4l+DqzO9v2VvN9Db6hJmu8/a1hsuG+wpVEEOIOb6bX8KwuyIKaozN3G2+OotskxF3T5nO
6VYr+ZxG0a6vTFqHqZtn5PQvmqBKZZr53Ftt+VENjBf1VsdltFF9HiJhFQ78+TmQck0YtFxgywQ/
w+62tW3ivawjUaaX6v23VPmL2TxogU8HBtuXrgyeckDh6loJa6HScIdO5TQzC0wTvs8HBuZ540f2
sJxIkTbpvjVHYohq32yH8870oDz7rnkFPvME+/m5zOKDMfmvnctJDwg7rZ7SnRYRnfdO9S3x5TNW
V0iXbIln7JZYrv2nTnBd4rheuI3ToDezUOJyqXKinnXGT4LLdNN5gEgoKnw+BHcn4PGtGfwAjg8W
c0RFylRFn6n/iSiNyFecLPo+LJ4WfUxhWTWyzVbbfSEd6mf87oExMNRNnNx8d/WzMsot+H4o1hpz
vvFMImxZBp9xlx5lhICgDlK8nrvaHm4SGB0xF/eCf+Oq2nkS9V18z32o2rMjuxuHCdZ4lB8JVWnc
OH9KMP5dc6OR+EnVsvyu/CJ6SH6L0FrHvv52QMGBvNK8BsYPDYOauAs6N9mYej0W5qYCAMOhK/7b
qn+IwWVbHu+m3qefxPtW8cBzLIo0ypQl5VNji80Q/gM04uQTtw5fa/XcHqJHnDU+1QXiZxIsdLqx
xSHZ3SxVS1eAz1r8bSdJ+Rn9t3v1b4vr9mZM/DFnlYsSG/SaBN0cZSvbfApJ10+O2sL79lVdYlHh
jovwygL03oh8VqcUjku9vv3iUEHBpytN0W6I2rApowlDrTC9ij6g3xYd9e3rkpBekr+3RQV7e8Z6
MDMWUnKV4PFb8Hjd/tac1Uw7EXNrNoXAzdi3qp/uoA9VabauouReSET8DFCQkjFGkzoP+oHQwiHv
D6iQXnV2Q+0pFSbWv+kwYF0NfdyRHsCYbAgptCn0Vz1rEJID48G0uZwCTbL2Y2laDuMFqJ9beKt0
svdzSWEz3uhphbT/UJQx6TcEJmo/5002kmZkdNhEnqZv6ZalgmvatozcPGFt8SptmqHEXILWYJYh
32/ozyJrnvrGeHTnIHqOdO9Vo4G5o/M46GZzF1eAlgSxvm3BaXBo6mBbusluLHVqU+iUXoLYlFW1
yf3SXxYuB1BaBYrmSGRi1cbPRoqsi9/1J+/KWzcWJdf0spj8QzmzgGo7cpVwskb4eV52oYhRU60x
4Bea7F5w5gdwROffNBZgxIHQW6bLxRZ0DyWU8N9KJjyJnJyBvOPdNt/hxBwtDxyoKLwnBMTzxEH8
d4ndY2OzCvciglmj+qBY9xTcLcaOWqRfxSvGuzRiEabjwCCKkq4HKzvp1ANJ4nsc2zkgmH38ZKeU
2MB5gFxX32hoB4ASrn7bk6QcQ+xZFFSNPDiEW22igf6LTAfI4L2YKW+k0dFUJhODG4u/zTOQDorT
qz4BMerJjAFtlfSQa2DNLCn2At4TtmoB2fkbPLTCdeg+8GceZg6aCwvwlPOJTaRwGUf4svxNOfYv
0qQZ61fUUu1eodHeMhSaLnU2UvnOUvvKiRNogLpKG63bE2X54ULv1jz3H0p/ftKJ882EBclPd9CT
GoGzSCOXRoZ1aTrenR7KL/BfP4MpH4tPMxCf+mRd04IFbkV8hptBNAIq5TGtHphEfG+/v+AwVBs7
Da9inpmdADfkPGWAbIzcMlJOdr7YxIRwtYQFgGIRq+ObuhUw1yK98iBU3009J/Ux/VRP63DwntT9
YqJoqqOX6/eepp6CKe80DMXPCZiGgXyhfudgtDCNtzezEj+/ys7/qywXBT/5t6o9WN0s/tAeyvxD
FP8CdPn7l/5dvDeR6D2T5YBp/Upq1OP+LY8S/AdFqrBZfMO3yaPwVf8Q7x0CKUQxkNQp8fXQNf8r
kGIj+XMaCgijmH+nvfxvqPewYJSY9y/6qe0HxOwdh++mo+L/Rexrg3LQZumzMarNTeYbf3zJaiB3
Mh06nnfRBxDEEvcNz+gQWQ3PUu3hY4lBgzAIBxXeRyLjlGLkkAMhrECue3MHkHcZp+5E+js7Y8vG
AJum8ja78b1WkGso62EnBvPUhvVdMuUcLqbhh2Ml2Ynl5Nj0kHDch91A61v+bpEdbgRaHz6EbWbS
iTTqzYvpTm9RSFgLvIpJLzVrpfF7mmCLVnBAG8Ljy7Q70RvB3ttvsyWCCsssQWy91e7Sgdms4fWg
r+EX9PrYlM570OkfbpVFC2wVyzK1XxhBdrI360Vezcc0HL7D5sjiNViwQRwXkEGPiF0Y5mAWJw53
fdId6hGWUjlX2ZumtJ//v+yXDr2mVAAPg5MxhUPhOnRQUcIyvrBSP1CimBPOTZFsA6/Dihx9yUrf
KihIkTrVOUlBWxjkPPeBpPgBlj7uCnE1U2y3nPdYRRM/DaJ444xyDfr4uXnAuE6bArlR7l0OvJ7V
DPkZ+rDdRGAFiUtQ4FoenXFvCAiDMVha10/W0kXmmJwbde9sKfm7izl3SY/HIEQwvnWAuJzg5uJz
rUNS4AbKiF+C22RkgJD32hjRXesbzEpOvO6Ceil0DnZDiE188qFukHV+TlzUfyLHsZaC4rC/68l9
T8scbh21bSIer3Yb7AKqPjdCu6QUICxYnugmjjRs33FRvJeVThdjOl7DuOl2+NHW8QyFCAVXcIjg
eAL0dJV7qs/Rd0+1Dmw0xdYKU4cNyUQtVhvjeRytV+43mBk4LsqPLGn2iAV3+FiDw28fFv8cWNRJ
TT8kbT9RSFYgqPu3yZHP4YBcjlRUrfwwQpBjW0kcJfWWHbGstFrreuxsjb67sH4V7LQYjoJCj3ci
BbfoN2tuio8juZRtpQcY2fmKyOQDNGZjshr1/rltuu9qbtJNGuPU1nTvVAY9Mw7LfpJLHJsTnRIu
yeE4jKpT5F/DwIODlAwTfVXiKR3xtFqaoK8Fiu1kIMLmgoYXGtBxbPNkg7C8d21C2DVFy5ZZYbUz
g00odt3smvgrWdXZGgjNsHR3WWHEO7PhauD14PjEimZuQUj7HbGZfBIPAnlsXfItkbRbFSF6tDsX
2ERIyWRbxRDtqM+CpcT5t0k2Q/foGxRsuaVGB1LFUo1KEa4N2g5pKcfOVz2orPWqm9nJRPqJQzgI
WvoQYZ8sqbP8yBFqvIEZr075DjWV9WWM3KfPJa1zDg5wu2eZzcC0BgPO6ZHD9O/PdgJIOugHoEpL
+C4JZgJyIjvMrpiXO75VFXf7fjto9qUQHsWcvfnJy5S63oVPAZgDf7CX7Tbo8SppDAtxxoVdOTbW
5o+sNPWFixjN6au/r2FOU2/E1tWJ849IH9emyavDCplKmJALgyVTUGqfbDbG1kBgUn9VTuODphcf
XE7ECH8olnrVuvRPkPDaFWX0U2Vvgg8aMpIObDflABbgfF0KO3+fzXscox9T5e1IT0TLdBLPpqPQ
UNUWnyaEIpn8qbvpwSqLS9pl9/TyEK+y7kT462UKF/3YvyayPEV1cYFIs+J58gcP1g+VRAerO+Rl
mBFDN24DuV6vZEfnReZvlzZ+ji9jJuzQ1AUHONpdZrbWS0wH2W+Xqlt8WU3pIaFnvCzpn2rimpU7
0tJc6MLdjlpENe9IEiogAEn4+iU3qj9Z47EjboddOtSP4HXztt7b48UqZU7caHjAhE6c/ZyrzCjT
0x8/gwq9j8aIQbkYU6oCIZ0Zn9RukYqXFFkEY3Xz0vRJ1yS3K4OINnXWLNqalsN2CHwIp68MuSy4
/wKuSNbhRAGLGHRwli1cDO/eBAxbjVp6iHKXyBAH/yQgnoA9jnxyiKBTzAOOZ6/atFffb58R9WiH
ibE2lOy+dpMfXGKmTNHOW1vsJssrTlF5NfVAruIR1H/UngN7dpiKxcWSDYxF6MQb3KjMS1jQIMr8
qSPieBWlLqjfl3ZCnUxg01r36CjuJq3MjW5iRMEtWS1hTTTLpKwcBjXgjE43rKzYw8yBbg5MTR4c
Iz9OAdGRdn6l++p7anoXOYA+j9SYMMqDfKk1ttv5meq2R5mzgOW5pGNNiam/As7hut+dic3PRicF
aU1oAY/hzW54Rjh5NBy1fkNNmNuR2Olaguc8olICe+zHMneV6DZtPs9V952TLNoVHLrPQ/c8e6LY
2K6SxinJ3jipcygmnkaGKvke4inaGnwYnDr7KOogX0evTTYrMYMto2/wXUv3boodKEKtfTaDnpUc
sNioHmG8zMmdE8IkLcO6B4QK+9rWWfYkb1ZqOXtbaz5ietdlVCELloz7bTKdMptghc+xjqxFfdYV
nguxc1mVX4IahC252JMwv+rKand0BOIEaCz/IkLzGv7RXWAkLgnLpSfru1FgS3MqquqNlIuHBzlp
MtCzDZGEIN8Z1GYvK6duzo3xYKh7wd41PBO3Ap4Yc1T4mC7bwhGeH2mWw12M/a0uy31hNYTwCeQt
XGE7B24Hp0CBh6I8ulkNDaFB8x5bfrvGFXM0ioweOWx8RettzQn9xelAtg04q3cEGpa/LGzy4GvD
KCrIcWR5S+dRmg6CxJB9pVQv4IfYhrof3U/iYMmvxDF45BocRPyW2JbHg4ro90/1bkNmXGBTYzLm
dAo/25feYx6ysqb+FQjxzgfg4zREMTSazQsZa6tR+Ukm907Wo4R8LCEMR/bSnOrhIPrk5tGvgIDG
0Uk60GKb7oXAELWaVN7NaOUqhANLeS6ca2myoswVlxyK6CJBtOoqtBNYqIpvNixHxbBu8oEpkhoA
T7tZ7mxf9Jozkw9wwYTwtdQJuC5I7OnLjJbxFdk46W8BU96iwl83U3w0IvGq14gofK6cBZYo78XH
Dp8yvodloaJEufLmai8lfLj1XG3rps1OUS/Pfh+GZ8vl5li4/v1/cncmy5Ej2RX9IaEMcMxaBmJi
BBlkckxyAyOTScyDA3BMX6/jbEldXWpJpq12bVJXNZMZAbi/d+85FjGfUa5f/TKScMs98zSY7kPu
GO/gp3B1p/5j1riPccGMqYjT28BeiGwNpEkGkYsDUmKKt88G78WlYqmSmO/KrV4ZytBvfUpGxsSK
5TlSwGOGiRVU3GOfP0+W8Uzy5C7IYub8sFmpA85bqU2MbI3h6WS7IPezW4NvmJTiVub2TdHxB+SH
4LHMVtKdvyxJKWhYv4TDPxYgUEsCONxBb76XFsgvJvrwY5FnDSr5QfJ0j1SatG+YsCp0MJz1JtOA
skPg0Cgq/hNRDm9mMJZnpyZt5HbYLWvyCcnMiJZ8Fttprl/KUr2Yuf+DcdfCqJunN0EYwFH5Va3G
c93ygYPmdlumhGpAhNV7ilPXTuO7h3VKxxM9zT7LynOO4D0ZzxMfU9SVjAMAHhX8E+lKTqL+PWW5
2v3uWer3/L979t+19GM2MkDwbLwL6WQ9rBNUyTGFbm23A1mfRfNguONtxxICYdLemP7KLyOB5t/a
ydY0kmY7EA4d3BLJah4+1Zb7Mq81mw9XvnMMhKPFm6vCiMWDn/4tbaNSxj/Snk+OFUKcyfMbelYa
Fb+8m5DJD5aeRQc95VzL2cfMHPdp4hOZXP19GPPu8HmrChIRDR3Eo6umh3IFTeMH/M/YgEgfqCux
BrgrYXWeMl5IaQIV6WYUj3wLxjtrIpJu5cDPCg+ZmrusBzsPNxmGQHDMGMIQ43FMLZyroGZE7QHh
58PfHfWFOLc1FzPM6E90xRDl7U8rSb96L/N3HSb6zE5ufDOjHGkT/3JW9ZABCNzIOROgUxIAYBxE
WEhjyTk3ohYRbZwbk2XmpqCYAQvlrmyXhXDYaR4DYJFDc5wTcPahZx9snMt752fdV/MuaImQ1YOs
9o5DwRs43Ag/rp8khbr4XTBmjBgL8RDnqeQx9Vl06sXmklta7XJmNc19mXNf8OSl36VXsPgkQq9o
+oa71dcA4QQ4WEXbY5Mny60U7Jy9xDjmYXyR9kwlk802Mzyeld18KMe1J4HDZ5a/sOK2Dfk00sL7
ZOMA/KZPbG7Fd+5MDZx56Wcth6dqsD9brz4JTHCcn6tnLx4x6IX3Lm9rnPUznoJ5OlmAFfY8Grah
4TbncGC1wBWBjwVVL8VNLqL1STmw4gKkzPW+jJ0dK5HhqB/rrhG816b31HiQPkFwXkkV3HhKNcde
+hAIHEZg4PGAi4YU/aKcM8TszHfk64NL72pVEum9K9NZ6BKSIdST2wzPtUVuh0R8T6PdxJkMHp7B
9vhq6qRaY7lR0w/v80wDebx2vZQ1AL8VayIyU9PBS2oBvCZvr3LfcHeleEwrzBG5hf65FZQbzeoR
Fz1nKlfE150X7On5tbPTbwlxHvJGPprJWabloVg791JKQaavmzA05YR/+orFhLVU22Hmq268TFn2
QtGbRz3OEO0sXCzeXh3GjVSOXOHSZziq7s1IDJQxkG3t6rR4r3XQrBsfuqV6M3pg05L0HA/ONQCs
ScxJcevkzfplDMNJONaLpHO08WroS56njswodYu5AXvWyaPvqQcAtAyL6vxRTgslc4MdSpk9NjMJ
BbaN1xJfJ5cgKmBhdQCCB2rYIj9TBrSnCUrOY8dZadnPYjk2cDci0hInj1k7CsLR9aOiZM20EPyT
EH8SfDv5UNK1X5iRdt3tyqQZdgE7aU4W01JwY65i5sKwIbTsdsz0+VZWZ1G311QdezTspBod5yQL
Xkph9SyS6UL3m22kPR36hv8GWsdHN56ol6tlPzjBW427ce34N3bwvBugCWH1i+f9znD5+mPBfUrb
8mpZvvqSM+1KdYDaJoPsfi2sTdAdGl1Pztd7vnG/wrXIYfhW1nle2E7rJnJIkm4KAJLYgfpZGNan
j2HD7cL+RPDxOlScDHPb6rZ5de7DlGblMh3Zg5S3po/WJ/CcmWC28dGNIJJi+tlsHjiBr8GrVccc
5u1jllFVXhXXSGQGV6s0f2j201ryqenTQwJUbSpC0t0p/OBJB/zW2bmTrCJPNhdiqtJSg9vHV56+
OZBx9ZO/ZtqBnXVs9e2a+RwH6sPiDuDoam/ccSTsyNC37n4YCNADIM8OzNmvJzjrCIP51j/Ec8OB
Lfn0atSHTsA+aWqJUgFYUaTCdM8o3/jEQ4eEh32XG8/2LC+FXxs3fg+RoNaaYi6cBdgIdt++DgvC
tySNIz7YTo200fm7bxB72rncaTgD0w0b12P32ms58qCwHnneD2SufWQ6Bvc161DjUzYcxMohhuVO
m5arQu8f2Dv4KXZ7DrpMjuiFjFrR3EGqaQMXhyTDSJWxZEO0uXXHcY32MmheQy17zhe+TWCLv1ot
gp5tC2Ebaui0cYD6ZAaIhO4DPgJmFgEAlXQ1q2/U0lz+P0WKbBovKc88/NM9l0FFOT8hFbKdXZ9Y
gMv5jmrh1tX66kLx+WlDWAQuLxijV+KmW3e95F2P+7rSEuywtQ5lKs6r1mPXeLJXLcyuMWfDbrj0
AVxrFZsbXNk0Tdvu0vSv/PTciRvjOVxa9iCr89mCMY/GZ8/qM/xecxCtXgIJNW+0xBudtyUuroPe
G2f4L0HYd9eQNopkCi2vD9srOw7PLnbweObImWthuNOzrMcgvkIQ8cKGD+yaRZMjyVL5pHaxjvPp
hWOihhfiryQzZZQVPPo7KGkzxvJWx361wnzBZd6wmz5JavsPxpGqIs4ZrT2fV6IZ7F2egYYwfHlJ
tCA99vJ7XD8hX3YtT/ey2x4Ijl2TZsBRQCRwDLz9KgFpmpyKYJ7ehvhQjAq7XMjZDnTm2VfOK1jn
J9ERwe139dzSy8TrU1TZqRCtxT8FBWJIRHAYUAlsEQSy8s6cDy8BwY3uJQKo+bn0FQqpAFAY/ex9
b6OF7Dx0OQ5oKNq33EGSDGL6SLS/iYuj61nw5R7sO0/rBhx2ZQwjoRWXqoDAuPqg/sl02gCXipVF
HtdaJcNX1ZHxnx1mkTMUiNTH8iUdRYvdeFWWzWWsyw4jdIJts9o/FdUj7qQD07Z8LxsSSGQjHkn7
ZNvOaJjhrfZjylve1o/x0CNFaKL2MoL5o/e5eolYh865qnY5xQtS9C5BPqSpI16saLGVu4Gmsndz
j9mfqTi3EYqpql/8LDn/RdoOOISbyAYXGIV8b92GmV9jJG+m/wO0DLKZolwPY1PVJAutiPHVJzDc
BkL52Nx59VVREyuirIuEBs8dxYbha6QgR8G25Rti/25sjvY8ED9DXvzkIbgzAVYkxFpftDfEndvq
xHKR+woyhTZweLvA3EIq2W7SpeuuY95s8FIYXBXFfewI60qu112lQRxrnHBWzR8c9VwVkpWKwJeT
zWBtPP4eUva1ERtPGU2T30W+xxMqdPQMS87ACWGd7sKVNoJVhT/dUs/7BDm9pTvk1INSE8shOyvY
FTwcwxvHtoK7zG4/WcO/DDVTX/gj9bFbOLIMMv4dBJiGZU/dzPEfq2S4DrRzpAKIsaSCA5pX3nuc
9jYYfZxoXcpfKZ2O2KZ0UJi4LnwG3d8/dB7yznVwoJlJqMXwix75QcBpDRKig4GlO1+euOygJlrF
jYyt6WQ6N5UTLEAOc8UFVtwpKwpkDzQZz9JWuuPvxbC5tXb8OvKwfha5RGVniK98dO+z3nuLZz2t
CB6dmkUvq2d21TE+OvCRdd/ol+fAAJLtfPtUt433NErEWW01fJieEcE4flTzfJ5M9QzPgo4jkJOo
mDruZdCmCbiN5jYNuTWjHlmvhwzVWWPsMjtMb/Aif5klyZk8Tj6qLl93JJt5gJYLZzyUZYLRnsgh
tAD95cE1HMyl481AL961zEPvLkCUAl5ewRRcqqA8wgglSjDN28IoYTr564Yo8HYSi39UMIaWPJ83
4F0DijjqLg8YAadG+Bzk3D/cnqdTU4ptujTt1pCIlY2FD1ICTfoy2a04lnZ9QwFkqxzu62QPQWQI
gfecUaKIWbTpj1jbO/e9cYeUSi+0yLADJyAIPw/WwQYKlvfV2Rh4G6a+NPcTyUYAm5HIi/5K1I6/
Nb2HJOwAamSeu3GFnKJq7HHC5NcDiWCd5sz3hMubEywSAkHs1QolzS2EffYTz3ZXn70uuFOTbqkQ
PItYNYIrz3AQUJAq4ua1NzPydh3nBzMUARuQoD2PDsHAzP8AS5NHPsny+/wRBfhMgwvPtf60Gznu
ywpX2W2eDy9tTy1pHaydEUPR80Z5tSTFfZsC4+my29zB+JtW1q1AzMbRGGy9C4ytTA7SzA62x4d+
phDJUl/8dgN/73fLOyCoK3cgnT1V8m5W3K3Aie3osD36HV9ZuqjX7AO53vfcpJcJyl1ime+mY3KO
CYl0c9AebeacDsqegLBqz8GJi2tUgCKB5fCr587Jk42wvBvWxt6qz1Ysl0Mc+NbWlx8hFI6tIyH8
i7iLtGQ+YdUcxcbw0ZoM9sF47qSgFAs+ABYgf5nRXNu/zA+92hjr5Qfztglcv+lFN96u62ouWuNK
5FKSdk4I7VSbzzAPPlI7fe9ik5G972bbIqQFN0nnWrRDcoUvqonmCqpUrCiMrD6jKc49JLTZYOEA
XcqQe1DtMYAOsMTEsGRKnLYJ18RNbE8kIgTRD09VZPCSn9Touk06klKtJRlp6a23U8ZZaeRxsWl0
NQBb2k641+0kSkyx5BWkwxDUn+WmBIPU4LYCCIFmgdNYlbyMO8LxcIGNhtbJMDAsNhx5X80V/yxl
xqDLGIfYxePk9O8eC6Gp1AlOCDpckolXtKjNPyHnAiYF0nwN0AeNt7SOLpQcUqCrf6f8TO2ZRsZ8
3hAFGKBMHXqPSsxH1vo3k/cjyBiYc2U+xDkjLEhyzCPoFteBz+yseEK19mqONaaU3H1rR+d3XBTU
ayWuJWCNKaofHiCty/PXFBDZvg+r0HlqTbDYjh47Mn/ldNfy3NjUHevCFabpGPOtySDE5HpVmHM+
YFSjTxQ2Ujj+clE+Trh7IPBfEmbbrEIRkcfdtO9L/3bxyBbxwU2z2xZ/WZS2c4+KzInKUM3RCKeS
LUS5LbO7dXTDUxJY5zbPrR/W6tu7tkiskzE+du4dqBa1L1tWoAZVwv/f0mqLHgyRj/8eaHr9vmb/
IK3+93/i3+Mjzh+m0PGRAL4D+wyH+vvf4iOW9YeDCAiEA2F3HhwmPer/YD/grSZkiBPIF8JzPfF3
+INjamKEA8TIdOnLYwv6v8Afvpvg/xAe8SzBg0Wv8k0m5t/l/D/BH1BQJS0vQ+ScLguPLDQoEnTe
Xem47B9CBmlLwsLMaLItgmtULql6rrOJTaXDP/On39rd3/5H/0xpcP6rm8gSwCx8m1+SCfpVgwL+
9LOwEZtlt7CcnHykFp2xsGPzQZuOenJFvg84QLmTDoM9hRqYOBpYQyqVgX0KmXQfKK34WzV8p8ya
BVRpVxm7wWFq9cJIQnJaC3gik+8vV7KPvVvfqRohbjbrmfTc7Ti43ej/K7cWk2k8f76herDI4RNb
ZS7ThnV2WPtkDwj/DgjYG7nZ8n/5Fehm/F/+NogG8RrkIwPG9q8oBGZxodu2mQVmi8YiEjCsACyI
qZlwrRybgYIiB9T/+dduuZb+xf7lf9bxiBD5XmAByw3/kiDynaHNGrmKjfDV1pwInYYBXu+u5TGU
NFHhTs8ZOL8YLtx2Ai4Qxd36oXr3XGiKvBoFo238f9XyVvSJf4buyJBu8LJNsy79YfC5ArEDPphl
ZW9wYY5c6K2M3Sqe8nu8SveTS2SO4N5lHfD7+bHHsmNsj34SHp1keoeLGx6I4QYg2UmSE+vau9TF
vDgkuGOXr9Yvth7LVoUtDlR3583ru5fwwwV4kXUxhC/mUS7E4nVlZKY9t+xDa/6tTG6no66WBLlE
N6DrJqgPwRZU6sOjidLQSBENbpiJjkqccf1rdG2lT+OjmKxbfUDnk7lsDdc7kdh2yAkLei+SRpVa
AhAGuhJjkpeXj9XqP7qKX8tIc6YVpDXT5d7M4okQKRim2LjhSf9W0LkJiI8YdHCCgTKOqWs5srv0
wlq3icFmKqC4A2KTa4Iu89BpubKT4B1mAUUbXfjx2grk0BrFNIEmGkE1LupAV4QEXSGXztDKexlN
TWV5DhEwb9uO6qGoOKusbJJDWkfFQq+UFpJt0qAs1cfUlVQdOrptGueJGwoAwcrei11SLd+MkNAN
nKGPEUJXrTtPbAMiz0z0jmBurruBE4eP0LWRXBNNo+FXI45p7f9qp+kXvwDrQGWorpo2CjqfMh4r
HaasNRkTYFTcENDJPC+Z7ugIkgvs3s2Cf5Hhjj/MvvlluuObU3WEKvFMBYu4V4LxeWEYLybiwEPA
Xos5JQCu+IwRGUd7CBoOtoIzjT/R5/SojxhGWvHWNdvkwPoEhBenWYYooOlWphIDdx6zCz9h9SJE
LLjMjPyoHb13i+wt64KdD+93HyTOfVBmPDM9jqJOwtlVNfVHUs1Pi7bv9VrDp318A2K+Qhv6qFdX
5JCQ9ml7n7+Q/HHfkoKvd8a3a+PRnNyE2vlXavsf9yPwU0t+Cu1lS0AjP1jaFciXDM6XT3M4yB77
NWVYupwZmjx34jU3CbknnMsPCwJCqI/2hI8wQ0xYgjgG74SVadLWQhN9Yas9hm5OQl/xE6Dxigyr
Z27q1gC4/OtRJFsJ62bjaS9igyCR7p7LCFVbE0MYylcdIsUlZlxE17faIJ+rtqX2LWJT2ggrppOI
UGWjuGRv0NPlx5aaa0ANvhisaS8YXnCkVrqLjtcxiLunpAEBWRdQDajiXSV8IjYIJnYmWshsbp+B
vAEtRRjZa3Okrx2SnrZJNtorOWnDZLCGzxPKSYwtTGeRUCbVc4WSMgMI4WtHpa9tlaP2VuYILNuk
O0w4frpMYbaMg5CfMGa+SiW0951Ho/5Bbgo8fsfHgKMYYy3PeykHn7cF7kxaYyC4kh2eUWDx1FqW
NF5v/HYGZhZusZZdSm3inFFy2qg5M63oZM2eVRl4Vn2k1BZPH51n3Z8zbfeENcNBHeGnp82fsqY+
0BbqQ/MhOWu/WNoSOmlfqE/oUvtDfUSirSVfGsSicFL5DqAaZXKvPz+UPrSFlFsBqgEL3Rs9MCA5
pK60szSx822gLaaF9pmuYPoLgeFUaNfpgPS0rDg6gz1IolYbUYdvN6rmLSSZ9ZJY4akJOfjn2qS6
aqcqZ13SI1hWR+1bdbV5FVhKRuAOsAnv2eBgst/Qnlan8577xqXKULUfTnTlMJhxtNlVGtVtLA5+
IOZDwI2LYbHND9ucTDdlUmnBdlyT6xRd7NTFNyWYUirXVoBNlov9vWzaZ6sJn7Kxv3SVZaBfZ3cd
YDZTDsvsbvJe6nzaMj1j+Zh5De221SLOWO9jm4rCNEw/BYa3jRfMHY0GVExhkp3AAJFpnPz+OKHH
haGCKjc1cOZKbc/lK4YtgApv0S3yaFr87WjXLn9Ft52PfddGw+tpHy8mCf702tG72Nh6be3thc95
l3UcWMwwKfds/URDzVu7fr0JZZs5XAJtAXaDzoYtClGT7Cy4uStGkMRZStYEIFcoC1KMZEv1gfDr
q7eAEQYIhyukQ/v520FscsBr4+VOhKPYSUTFcJdg8qAunpU8yVDBndFWY42t4mq77vIlv2Slblsb
3h1d0AuYwqdFAD+Q2pIco0vmANDtRm1QJhmFThkEintu4Az62rQsW/5FT0r7lyfdTZm0k9nRdmaM
Rb62NadcgTexNjiXkklqgQtofZi14ZkxXpC3waHjS4uwiZsIMmguT/HF0H5ob8m9rfT8HbA8/iQk
oPYza/lItcttkBoMRL5N0+7WKnBPT7qcgh+YEqld/xoQVI+Fbx2lwlndZ882CeAce/pRNoyCBU8r
aC52NdNN8zB8Lx1AwjkMY2jFjD+GXCGxZLR9MFFmezDHeWyBlzxLbdQGwkd/wfyaiCVkzF/2FKUr
KJPmLF8M5T+AUDtlnsdXClk385tHTAH2PpgF/4GrmTdyA5+041sh+0609Ztsh6Ut4PRgLol5HLkH
DmjB2Yu9JdoavnasZ8pAvg4KnHPA7hEsgPyytW28cPGO8/zdJQJZX9DwqegL4AqyYBXawQsAMNQf
VxTm398Nf52e0sD6tCZmQRUc5V11r2oBNIBtYe+IfUYIN7NBVsSzcZlkDegROuGUkF/pc1vuVXFc
3OYmIAyDqYntTqfN6xYK9iAhVbHqRMtgPQkk7UWXXgf9fEOYCw4lFnfI4HPUIXYXrABoYVpbGIfP
+oketXYNH6HDSDZ8e3/VZZqgE4aUDMeGPXGV38WGv+yFbrBV6kq0tDpkZ52XtZ52S5m/TaZP2DJu
t6JrmR/C89rECUhmOFWn1nNZAJBS3tiz+2ty7DBKcmZGVkidie0Bf78dPNCyGxJySi1YJwZohslv
3UgwpBlTghmvMq/FFDT7LF2raDZp/Fk8QOOSApGEKb6b5XOnrKMTW4eltWCNp3veAGVzLsvSugkK
Rm2p6uRtt3R7fJf5XvGw23qQNZ1gHmjXcFalnBalvbevB0L80JydvVLlqQgDGjXJm7DkjUeHaKNq
hg+8CL7EyHBuEDAsDJ/NaJ5tG3LA20aRyuFXQFjVaW77greltcb7dRFbrFi3LCEuC1yXs9khgUgs
cc6cmHB3+tuIOdwYtoYX6dPHUjO0XaD54iUuHlxig1HuF8e1nL1rjTrkMESyrGiIlGAXv4kV8wcJ
2nvSTAnKf7Ae7PnsOkO69/Q217K8x8laoh5hRVpYv0Na+luvUo3e3W35+Uf9Jx82BumKvakZw14g
hr2klanMQd34WAw20qC9MymyTHwlDqU3vpkBY26H/TjXlu6zGjUUZeH1UOb3yuBvZsJFsqeGDqNj
gdWsxvBuMtJPJSBWJH3y4rUuWULV3wcAULZ9gv/WWjgWUglbNnba7u3MkVet11/mwjsAIDzWZJht
k4vFCNJkU8EfK0Ue8AY/YjF6deb4VU5BeVXKsDzVvQTvYnK4XOv+UFXxF0BYOMs9fm7fmbBGdWT/
nh0q5LVgyc3kkW9lnBmbHpXP5jtKL8mxoK9pzehXPyFGKIjeTCVEHP2paubxlTk1iGvJsic2xG81
/wxWyz54Wfyxmi1bsGYjc5pYtunsLQVArHZYOHG43JT0bA1COBvDImWHGeUYLtbduOYt0zxCPopP
pGTM2b0rLGFR5ddPdj9xuzb6KA3NXw0rWytQByIYglT0yCnNf1gzSKgGz9+lyz4JjhEERlWWetdV
iJfMMreiSYYtt6OjUIBTeYleqeRlrmhlO6TMVc0bxn+QnCdjM4N4NfifLCM/r+3c7tjoQUyMqRGY
kUH5PsolaTfC7xDQwvA8pKAtF0UPL4EtYYyMxcN53c3wD7nPMKYtQO7mVfvbsZk+INHdckLeyKU9
zEzS2GA+NFkY+QYPoNCNmPy+OLWr67vqwUniY1xXv4vc5SiVfy2tuDE687VLhi/lXhp3fmyldUXn
lVOrahac5IwOG2zqMvuRePNTUYBhNoMR6RHMd6mRd/CEiJDdLrDKN+vsvRt980DW0BHDkzUIAsQ9
3xhe4rPqPxzMBygxFdsJxGBi/vCJVWxbHm6nQWtPG62I6Mpn5OfeQfrWranAlsOZ3HWwsNP1YraL
ufdABkPHouNaslXoQKc0jvrBOuea/Fi0uuQTvVK8iNy85W7xKWO4b+l0g5QMgTu+vSiOAaNUU3M2
ewbHxBaA4Ywcq6AyjCfl3jejGI6hyVEozY0VCEBjEEdOfqRcmiKRlGgoQxK/r20OuZ84wSU3Z0LE
iYCRA5+2JcC2S0Iv3A5B4XIVsjbGhMjUVhlbG8hecZtPsORAGafzsuUiAly77bDFiOY1qfCJpcQP
50oYd6xmbzFicScKahAzSPhS3zytLiG/loRTx1Y3p3kRtzFLkOzTYSY189rgpXQGhwwP2QJhNxl3
Zc9xQy4KOnFlUFpBAVx7y62oC97RpbpZ3erk0eocw8vKnqwjCbvvJGdxxDvsZysDrdUly61lV7L9
dppfWearndfXv3l8FrtYH8ySVO54esUnxET3TRWf6W9y9cz8L4PkLMFp9vqKc+FpkooGSmr/rjo+
Cqrur0g0P69mseGSv94GFTIPMyWO0iF0Y+xyLY1uPIk13+WsHM2uurAKNjeVuqzK39cNoQU3kSZu
s/dBiQsar3ljmX5U2vlwPbaijvxZn4nIcoK4mTkrUY1QREph3fSnNZ+3HIruyWHctlUTpUlIsk/z
S0cysMNY7H3Yj+kkXlYPBkIblteghT57hzhiMtlWNK2/QX2qHYdc5KbovCQvGVLMv52Cx3jRzO+Z
Jz9iE7hRAX+JdNgMY8RJN37mVrs5/d3DeFbBcanm9CIT/azzvce1aI5jy3IlDoCwefYX4B2iBSyA
ooHG3xYZUADPk1nPUhAvmPL9hOtGrfymQtzbBhFohkX9kU0T5wkjj/jqMh0jc0B6SIy6ia/QNoHP
hRoaspGz14cunG+agJTbhLsEDsQ7e6VjPmYtJLdbOgWIW1mZUb/zmBMwneye7RZlhUU7HnTfq3Ke
Y/Nn4afH2cvYawBp9s655LvB4RlOhIV+zOItkBHP2GJu2LQTB1FR8bb1jc+k/gmQithP7364Wch3
rJrRBQf+u2nr7OGcsNUTHlYKwBJDQ36iLwNBA8ag7ewXfcsWeLwq8IXwP0duX62hwwaON5ywcRBP
K/cvxWF6o1IypJyit5i8r4zB5PXT81AoFPxyS3k3rWKSufTs74jW+8wb7RMz8m4bf6fqZ/udtV5+
zrzTyLJpjsv6ejbkHu+U86P1p2fhLwwK0aGDOmDZinUzOXdznp8keUpWRem+JT92ysj4b9nzckvz
Yf6hBL4eR3OvxDDv/WBKT22+cjWkuFM/DSZjVfL0bB3t9GBw4dovZz8d4lOMghqZt48UMvgB24fs
hqTm41TyMxf9s2EQicgTNlQdEbYuE1/K51vYswXYSOFioNQrLmOIXdJx3CfypdyuCbMar1z3c0zX
aQh1v4Q/fW/el0ENt5Nkyy4w6WX6yfBYZ4ygC4QMMQ9omIjllZOYJ79lQ25J+kNT10hsYzGV56rd
TaHH12PMjz7WokSd+Xhn4A67s+ePijdZi1G4c8KNOk6paC+lw+MliCXNNA/a3QR2Jc1Pw2riOJhd
UnkYE/oSv0BMYjnySxKreq9vro59pVJ5VU9u1LlTdpX5Sb/3MBh3hOX5HA/YSY9TJxx8j+H1PLCZ
QoFBEZ5mtZr0A5Ko6DU3oytuHxeod2TQFkXoIIPZx5QsSx3nVnHf8yHoUWCJ95PL8yIeZ8QCVmsh
gN6wt1wOdZ7scDGuBFu5XH9P8efZDzhzcQlsvb1v8JuXLNx3knL/zudxyEPTPzVJd1S9kmh9Auwc
nJRHZtP8eYlUuJV3F7qc65E9QKiU8qrD5xVU8qlFMNLmLA+qLIS3YgNd7Uz2AK57GEImgZldp7dh
X4AbE7ccg/KrJiBPHacM97iYkxIhnrIfKKgcy3IBxx+aV07lvvDppT6WdTmAORA9JDSPqiweFKZd
et/NMQuo8TQZUMxwcPfSJERBgx4SZmPT8dE0GlK4B2qEcODz+NQE1POIaB6JYWPPkm1k2+Z6LH2L
m2HzLFyz2AtjBBORNtAkWpO/WykP6er3t0P8NfPdOqV+fTPE413joDJKVism6xE8lmX4s7Y8Mj8T
R39nnHe8HMzN6gO0+P4Afv+WF/g+Pc+LnYfrh8kZ1+/SicCYmAcqh+CF8sY/tszBib9jJlkErAHJ
RyrNf+VebMLtj7N9/9JBOHyLmZYnBIGoIZyywZiObDaR0INqnIP1hww0eA+yDxcmflUGJznAzO41
pyDZrfceA/aDi36eMw9fT/4TQ9jZuYiRjp4gsYs5nperQdV3yzm/sGkTK2tod2XR/+5nH6el8yuI
FZJMizuNDHgyxz1lYxa4R8swruXENr+zunuHb9+5G7r7Qd81qxzYSjxkZxx2zTFZzIvDW2c7rvsK
ZUU0JyYV2bTbZUzHNu4SWjvF5XIzKCkuDIJ5dztGGQGLw4w6fq7jihHDm26DIMHt5VscEEmWbF1r
6nbOpPaidB6nEqR34sFIZcbytrQ4RXILhjj3Ug5Hr3OXwrbqqVyaS/G62MAq5pkHT2jny47Fr65i
PisOmKNNkrwDV0yLrrnNVyCsDGS+/1U8MznUOeb1v7SNr7KpsK1NyhyHIWpl7+xEpX+TA/ya//Wf
Q+n/2V7SE3ZISjCwPYfw3T/uAtdpUkx3BrKPlatAZlIIbsdp29djHRkuz4LerzAlSesxrK0DdvAP
abC2s+rlf9vJ/ROctc060hTsYyEF0/T/xx/FNn3L8cmebPqRb0+PRfvB9+OXvCveRmJ1J45rb06C
f8GIxY2yXXVtlC40KHlLEjZl6tBPl++V3f9XEkMYkJcIISD89zv0h/fu8/dfKAz/+Y/9bZEe/hGI
gD26K/hcsBkX/8lhCP6wmHUABYXRYFoahPD3Rbr1h23ZNBNdm6aS5Zh/5zDYwR/cPtig6613aPmh
/39apP91h2qidbBY2ge+45i4Qf+yQ2Xv4/PSAE6gH4FdUN0VGW12qr/3jY++zjaP3kR73KkPPXQy
vpzT3Ypl1q7fcJZdy6a6+9Pv759s01kb/2Wr+/0T8ZF1QxuajKVhGH9ep3fuyNMt5oJMvePFd8r2
G/2Fq2k7Cqb8acYdapy3tSr3U1a+Vfq4EU8MNlRQvXn2DzPPb7n7vxQk0Te+NZebzCreSqh6ir8N
VsTjPZWoF28iKm2EjwZgpAkgrKRKmraM6jLKqAN/VJHS+mVptxlGomGJPd8v1XACaHHEUXxVsDU1
qclLkXwxnr8YQwoG3GFke//95ALWd6+TZy1p/XxNDus4co2i0szSCFMcQhd4efe9lf+ix9Ns2C5Y
7R0uHuZ7vHXTOHh0WzwBdv3F2ua+d/mKKtiWp772I3phARdf+q1vPMJ+TWlx8Vsa+0n5plChFEyY
ktB4TsCCF9lWdVSeDJpsBRsy1p6cY5l0cN2PqJRc9eVtNeZv7JPJfRdbVvzQjlrG90uQPlU4PJfi
zS3JJrqsaaLA5QcknuguyU+TZCLzux8JvIRs7k7FyLio/OHI/K3ib46I4r9xdx7LjSRZFv2VsVpP
tIUWi95AAwRBEARFYhPGRJKhtYf8+jmO7rHJZJVV2sxyVl2dWUWG8HDx3r3nHiiYHAKdJrHOHXo0
RoyDVvJc6oy6q+cdW4ZZGfLDGwZewD58aiKJ8ENA2p/akTMMFYnDaMkrd51zOak0bduIXki/UAL3
qKDmQ8CfHKALIa4ELGTSiytk4Giz7MyevuaIRDKPH9xpVQy4PlVRruu4e62q/oRDD8l8Yj02oCPp
y/XwyCv+zjK9c63qFI+ahzwnlhqj7m8G+deoAdWjYKTqcP0Qw+DY/CIZAY2gNZ3RcBpKkWRmXBfd
AfgJ9trP0qM5pJ88c9jLsbaMKzrLpfJhpFvhaRddxOni76/Glt/4zzoKKfDh0zHBLbm6lNX8+sXZ
bgkLN1HbWc57w8l2AkI3t1pz6asW5lofG273CAftVUuKC4fdkoYSFNHyQY8whurem1kIZO67Yoyf
qbmeWxEf9IjTHcL3tq/x7vCdhbY4+VZ/ou28rkXGN0AQnOY3d6rBB5GF9PUq7HJaMsExMD4UO70D
WXxW2mDtpbRxY9kuMfaUOhdBpvwoy/6VdeqgIXwlbLBYKMLcaOq5MtIVCfB08LimrtQemxChm55e
ALyk8DXU5mL0+Dn4T33F/95p2fXvn6b+VQ50e5qIYdgdop9yDOb7X+avacLYPvUULhHdhHn/Gjv9
66AXMNKzSyyUZfvhWM3T7VuvauYXs+Ex0qKZVb21DYbg6lXNjp7rPu3NzZAxHeMSs0bt5e8v1JGv
9etrZ4sAHcjyOLGq8kZ+0i2VPUeK0BlbDouCkleOCgOsDaFWF7XEwiSsDbx0uozJQa4LUbb0h/Is
ECchiP9Us/E0cOwIho3Bq8ZMdDCYsMwgPQCd+MjUTaSvakySuKoAa+k+X2oOvTbqYLOqxaVGsSRM
QY2P9AUfF1A9nkYA2Byj5rpLgMuQnT3MGyqGn7rNL2bKKNFy5VwweUHmIwpE7Nq+OkZt9ClieJKl
eE3lgOl+6L4DEccPDygUD7mbHEIS8topO+pGcL2NC8W8cwqaG6x5kYpN3GearIpTT69q5nv5xbfs
DUG0B6LlF8haoYcc5IiZHPwDBrCiZg/hxPjd5vEvX4jHZ8jartvkkPz6Qlg3+kQZeSFt4OMCjbxz
SZa06QKZleE6mfS617AJKXtdzNZc9Yp7iEEgVIP6MoWcGeqw3QVNd0c2xRLd+QWi+uffDxp2F38e
NKbBJMG+xXTZo/x6ja1DvTxXmStCUBYuxWTXKI+BaF/DPt07GQvcWDag4/qTEuQXDN4YJjKkQla7
s5Vml7bKQ9q2hzBiTTWSveo5S9oQaz/M9o3T7MrEZOkBcD+Z+tUxq3tz/BZhtq5E/AlO9lgq8aF0
fOgq8ZXy8MbnDXPSehzsS9G0y5gCnFwyWHSQcOQXy2oeiyJZZ0YPBJLPkeIeBY2j5Hb6Gc83KEHu
AI5v9HBvSlhnUkKt9Jeu2T2IkT6aKGHw4QROxLCWw2gK6lXvjA9hUBzJuj203ravLzhYPojIgzRI
4y8+WJAS5ItqqnpXZs45n4xNnA4nelf7gKU9stAhyc0HIWqbCs/jzHvKvXJdpPQv3CCn192eMpMy
OLcdNNGhDO0NMW+IKLhd3aCJUPxmEfiL94p6D/GmbtoUY2US/c+TAdW+PgBUxRoQGlS/2EpITaFr
qQ+uLZ56LzHmfz+S/qTeY4Yk08pwUXDyT5rzZSQlRQ8KAycExfby3aBtqhkgL74bSXyWq7GWdSc9
ljuV9r6Jg1OUeEszUCA6xAdFIzzzN5fz520nl+OajoN6gP915ZL902wYe7GjQsRokdHRnrKSR19r
Xydq3XRd2aAFevFmJu2iN5rXTJTubx6/Ln/8l8nYgIfGRlxXLdLTvjx/4mgEGiJWjciiMK6jAdHi
5OAlNsHtGuIxoPite6bM8DhSZKEJDOw+atrXti6+oRJA/aI1z+pAiSKJETyNKTOZgugRQtkqVOnY
KIOOt6eajl3r/m7i+ovBQ4iD5WiGRYXQ+lNyEixrRdcHXqXn3dfYqw3L6QHidutOD/WZpWOwHiyO
uIH87Mka1cLy3vLpeevOBleJxqcGNqI4UgL53Tn4zzlduoMc2VUNNjkUIe0vy5xwtJGaLXwXGeE9
WqE2C17ykJp/H1pH0xlpVsuEACM+aQ2S2kJwbHAH/63RRwwk9GcGU/nuk0qmJOFLdmm5B3ajKvKe
adyFNMfndDG2VCEWdix90MiV513bvU5BuPYa9xXoEC4/eGDIQUpoX2hIVAYSXb5o5ljxNespZfd+
TsRUzs4I5uQUcxRjuQN3Bza+aV6hOnzK4YDYFaRJy3YYd85p7HIcZIqzwKid4lJTvushW9yhY3MV
1x7aufBtkCeZ0MJ9EYTlOmYzHzX5hUAKdmZO944mJP/Nh6Sr7tcdkIYC2FMpPmiuZunABn/9lLS+
Cc3UYkOXZtW6YW2e0B8RoJCzDbC3nHwS7ymM0quFMSUfybrk/NIgkKNxUUzwRh0qP5Igg+RIZl/F
dXdSp9CbdRbnLbOrFnVF6/SRfsqz0xpv3b4JkbeJBPFHOqSQJGzjJE9YEogETmZvMJfMogPlKyOs
7jlJzjX/h62Vd0H2pvp0kWtmRXofFL9h97kigXUbut/JVQISx2RTrLS4QxjqWgegY9N2gzuLfmKl
XEOHYwIbLBSGhT4blLidt/bwANOnno+09enE0UZRPED0WUxVuhuQOPRNbTDVVyknrmmrJT2hVqS6
zjwKNYvcl4HS45NVp968R70zZ8ag7wTTY96VRbiqYF3BM5hQiTbTfWTX6GP6aMVtTPcVudxUfYfV
0L5hQKmg0ZWSxZ6cjcTq5sKFIkrpq1ko6YNVBtGqQ8CA09jbEpSZL/NR65dRhIg3JSUs7rjg6dWx
HcjChsXZf4D83KDd0jsy4sGu4G2BQ2t0Ov9pWMYrDADQFisP6ZpfnorUTXZDkj/GjUmL1C6nfcwb
7Sjn0Ve07lKzAaauK8+2Y7zXNhpAFh25zjctRUkItxzc+lfXp66olhM9y+ihtThMABIKeYHsJ8Fn
v7rRcNKT9GJ1+T4YjU1fAAgLYahnjL1+6EHI9e1J7gWIJn+sOw7ggncmw/BC3eqWA+UEo4YjWXY7
XEIcQhJYXJzNsMPFdCnDVWSCvE9R4Hl70YFkwGXuTuhkMKBUQFc5DfFFXouJKNjyubVjDSFidBU6
FXpXqvGiawZnoe2mnQGeeOZDq9cqRrMMOlQNTiphFMGdqu4sRAmtke+dSIb8he++3ux6i0nfxMdd
J9dGZ/9jJBfO7yfVjq4mB2e3y07yII4A7hRmhMaZBzLfJwLU6IYqonywihxpPPfVKumFfvBl6OLP
0DBQ0oAdxpB/aLAVU23OYPd3j1nbnnQPcMx0TZNnLviMPg/sA6NujuEdOxuhhKr7pE6VspiUldpT
ileTgmiZbBPBxEPD0p3tCdBvxhskckYETG+AFbmCMrm2pK7xHV3onQpy8FAJJoxJC94myDBHHof3
8hgeO8VyFI+SEV8Z7jlruldZUFHHK3aKGk0BwkG5R3LA3Dow57NXz4et12Rnve/I8c7XiWFW84rt
VaP52wRhAv2kV4N0Q/ws5AqgzrePwJcPpFRdm4QJhp6dKIt9NyXbEDFux2ok/yzOxavc/tsjvYSi
3hkmBDzxjcibveO2F21ksi/g6slykpP2p0yWcAidWPZw9dRmkklbPP3AaE+IkA9kIy/wim4ZTtS4
ZkJN3jK6M4bwFvHonUHLnctFO7jnAASavNzeH/lmaHtjJ2G1D+udlY+vVu8811MLgp0JX0ErOtXi
1WgllTJdyCdG4MMpD7yzrJAl0M/TKH7svHXM5F/QtBCFf/Ym+PSZQf4Kp/4iGwmZ+IgAYMvf6naw
S7MAqkhyYCDFiipBTgyopwqwTxZtRupFJl6PIgF7knvFRW5fJVNPYEFPMUpIE0vECSou+pPOQ9JG
moV2dmyb+No597neLVLDx7suONPQ54W/crSU5CqPExQZT+zQctyJxlGEnI5rB+J0YKM8qyt+Lhif
hUmw6UynJMeE8JR6o3WnY7teqcnGrCeMjYLtfgEYTNErHYmFi1KpGaa5NVwVJS8WWuM7pFKHz2NB
HLJG9qIRccaqGwJMp1xZYrxUzmX6rGjjyNcXX5swuh8F+Jyw8vNt7BkPGiNv3imAeUbI5Gwa82an
Nrq1GMiKm+dD+C0NcY7UedeADu3uREZvesjB2pV5hYukqqNlN3Xf6AjGaLcbb91HrQcVCHaAC1ZQ
c9x87ZeVMSubZE9skbcC4iAWSq1vFQ1JJSjR73rUvTW9NsxANkK6aFxl6SNGoXi2DE2PcCNNiCUd
mul+fMbRmm9vF+DXriAbIFjhuidx0FSaNe5WFqZkZ0JERKBUktSlcwNEQMVpitw0ebEB8k4lIR9h
bJiryCDMRK4BrWs7c63rH9rKehQ2oHHCdFlimvQJVTYabkEQWuZSahtADOUxNhZ0ougplJKjk/H9
dkHW0HxAJcgWGvmJsVSYjPWPfOoBgjh6CA8Owc7teVsF9AFrIvTBU9kuOEZNZnlwHZVDU+t0BSc7
XehCPAK1mVZ2mKebHOBLM9WHRB9BsPr1Y0FnaRkS7L3UQ3wqNa5wjxlhZbagc+KiIQtcj5JNDdXH
QgsUTDp2cb+nAp7RXHS9hY9wfxlZkG/EoMzNLBsenJixQHSpjRbIosHLuow3EzS31zQPFQWDx0D1
HpwBL0nCoTBJa32BgY2+mbFTaLsiqfBczCOMqik+tL6nrUQI6oKFnhsn1I9aSr7vFO1ahtOFDBF1
g/f3Wtj44UnHQ6fkE5tpCMTxnSY4UrM/GLzxUkhB2wjphim234NYJ7wrCDpICigACgPfTj9GWCg7
nrHZ7lgRERck3fcpoSiJ455FtqPD7OGKaRgxSRUirr+zUme8t2pYIGkW39WYnekYolwUiQkZrzra
AfvVpmDPymgpFNCLqUYsluGn3haeyKuv8CV3nfXcwp8ANMWzVR0TnY1SfwJDNkjNi1RY+XonyLfF
NUBIos1KjltxFtokcXTksjCPvWe29dzYCPoir6N1TXrYwEe5DvjKqdru8IFQT/fprmuqQV3b/iEy
4ulkYbll3g8VmQGX3tv1cMqSY1wr9iyPlO8ZOAM4kHd2m3wSO3Yut4KkhfAVXTe7vQEqalA8iY7J
Wdj422Kkjwwxjmd+Xm3CIJvXU/4ZstBQ/c/KWT2JU8c8LJT0aOUsBk7hb3NV0HIJrm3L6gsC794X
9NmpaAwjBhfkIEvBqiQrXwPdPUSN7asY0zuD2FeKOvJfdDoW2KyKrz1cfi2/HzukYGgAZ/j0THgn
HBVG5PWgEcBQmRuD5fJWRJvYUpC/EqbOrczeHzyzecDbfImKctUj/DQC3pzcX4WKtamU4igwnmBq
2Ys8+myc8Fq44aesXHgaq3pJlIjjBAwUhtzUsrBVffQZVd/Y0k9cxjruSLCKFVD3xLuQfcZa4K6G
ShnwtduLIc3vtbh+NCVHtPX7W9vJ1cPrVLDxC30OjeCADoqpPI9Rfg8l9mqM0cGui37pOtvB4V3Z
rM+yBB3R+iejVwA2FO8Sq+qkLGuKjlIFwJ1rj7ucvfSyYWb30tjhYNdLNwgDQ6UHa6qMgpQyRN5c
cz62UO4+IyrxgqEbA/aWrYGkf/V5XvSm2PfVrfO9IpIEZuw6gx7isUpnaXoYx/TWnCkkQV9uTkX9
bWpo+VIEq32wH7Ke6ln1rlOR9/O0lfxBFXTpA0+GqYkFq+NJ7YJPS6EU4NgPOktyStIgLd2do/B2
5SGuzMNrZyFE5nAfUnVPYGn0UfAs86U7q3twiwi7VAn7NhvQsFvC3k529lRhWwCCzDBsvPyRQL6h
wzTSaXwpGkdIaVMj9wNEJ0p7zSKMQ/b59KjYy/cri6fyYmRXqM2AjVftXu6iBjo+GAzZlzoYHGvq
fDEPyYEyhgJ55DgQvQvbWkyCDwidMHGpIFFpQQu2wAMnH/KBldg/D23waeuv8eDxwfPBJo6HxNvZ
207/QKbsazIl+6Hm/E2I1aeq6TMjwjaI+q7lh7PPuoyUFAc9Xrd+dejK8Ir+YtnxrhjK0XWc2gs2
8tmtEyY7ax42itgR90xz4cy4M6v2VRfBc2CzazMpNsoPy4q4Dl2Z2WpNWhLlcA6jtxctPwz5Qm+b
NOMh85q7DrKv/GrBwK2UIb0LTbHx3XBpjhRrfBJMZJVTFsD9fmJvQ19F6ASQVYsUwR26AQLg2lNY
GJuUE7EWcMLHCpdZ5rHhlWdNvbZMypUt7pTpRbYw5R/JPWeSZRf5PcrSmOwc6jqPqNDjLek/MxpK
F5ujjDaxAwUaKqcOuZUsXXFqi0rqWw6iLtfyY5e9Txbvkyzuu3V6kPenNsnBFVT4E33bOWjBimw/
luknW9utmh/VGDpfh0RGnfyzYpPozigQWrtLSOcwmrvMrXegKPkOQvXEBzsyJEK0JN42DrtXR/Zt
M8xGenuHjfo0TuKJs/OLLObfZkYwAUcClc4RS7ZlglZln3hJud+0ZPYrwuY1oDymxcFdDpzSUsIr
0thdTzROpeYrB9+ZHR7z0T/4BVU0czFZYjNUmC7pvG/kpKqToGMb2abmsG4xACwfIOh+DNGyy33z
VBd7hZ+oeRcCbe6iKVgpNr+5anmltde/ChwtYaDvKb/TGeUlgHO4mEa9k3PY0LS72w5ZPmRbtc8E
3t3yjcqKz80J21faXEdZ/5YVdGGm1yDIDpPunZWeJ4/5VvZ4q+hFJ6tHtnkjxn2uvKYDaEE+xbTn
rKtUZ6C4Z9lzDTlleJxzKj1mdxGdFTlV5UF69CZmOYDtQBLyY0X6sA1sqUbvA8xrPPjakxr3p6gI
rrGVXIFwn1o2FrPeiM9mxrHWC7AKPcXT8FLAI1no2ZulbwQlPw7DAMgHt6DCP73odn8COcl+tbM5
/LrYVAp3EQCPg/q2gsHJgTDqBUZ2tPf+Do97NdNrjnKxRudZFE+jCWAJ+RhdfoswZdtBuReO7zDt
EVsn7EurhvDDIepAkAYHNm2YIHI6f3yijp2OS0SUbGis1ViPoCk0VuIsbre5H20ClSJcbUE1Vr97
MVytnOOF0T6jvpgHmCliwadiG9E7Pep+ZtX0KeX6MwRyM6zQIVLtGiGlbHjYHUamwsmWt6vVVEpp
hjJi7aT2mjVgWJL3WIwvyQj1L2peHIW7dP0NVv8ELFqFLS2esBXhVM78ZeiwLWLhyeO1alOfhL4K
3VQRaPybfa6GHU3oEdBzsLL69sEL2YKX7pum0hwueyxuhpes2EO9WEN3SgwsQrXZnyhWLQLB0WOK
osXQ1Bx9iuidhDVs7ADwfHAgnObsw+SRvNsYaJ012OeesRElT8Ho8G7Z3ofH5Sl6C16RO4800JMh
H2ZP50GY3LNSurvI4vua1G9pWmJtLNP33lCeSAhYa7ZUn0u5lqPMQXW8ocHlPwkSBb92uq4be52D
j+2Afc9GjxxQ1SIhSxA7ifsI2qm81IYgkAIOFX9MeTOeeBMtdZ4ci3aMVV0oykdSJd66aaLnhi77
jIzjuTagPDUcf1g6And0LbDbGpB/TbveFDrdBM/pH2mFPoRaqsxDkz62D8ROrUBKFrLJRowyK8T0
Zlddwq6RG3UqHz/NiC++ouw/dkSDhIJdh47I8+mQluamwAaxoItdb/xB3RHKUM5Mi0MY67+2AhDO
jk8iyAsPmUZabNt0eNdTLpjkpWyZTqRaedBub7/eHKLH0krfcs/GdG0EL47IH7qMm1J9IilSD8Oo
hUAlT3TYb6q6GIDXgc7WgfEZw7xgkxCbJDBZeXq8PQYt8TlyaGi5i4ZWM5xioLnFXZXrT9WUdAsH
aYZHYDACUQztFHzY3YZOuZnsvl+rCo2FMExeMgcgk2qn6ykHWTymWDKrDrt3Wofmsoz9/e1LzzDC
ekk1H7tsXPR1s08r4AdWFzJdWsMhdnnSOTMqfeaBjbOjHWNC5YpIkzlUAH4jrdHBfVHFSsgaxbS1
qFtlV2kCQUzLh1NnP0wFm/4gYyJMhAGTRc+f57aKWcGpG+u7DJH+gmPDe6oInPiQ6B2VxSlv2O/k
TbhNe841SkQ5kbGxTKLoIavJTNADBWa4tUQkyp5ayCmJAqHqAKnRUNN4VnBFlcSWh2pHL4sxyHBk
TaNq595S0b43Dp7xciSxgQmOhSZLx0XrjjPTGZ7wE80b6iU8sRaqkq9caIjZyCQxNOQQfIJoXMau
sQny9CMJncUQ16vBid7RlIq53o93TYMiiFiNJVRlGGGcxV2uKY/8N9GINcBK9D066b7MAoa2ySz1
LorevcEiQq3lY6kKFId0CZxcWpRsCzPE3WgrYNCYIRLH3pnQOjmT8AnrfCL/+qd8yi5ESN/Au74a
X1zC6bqKn4a3nW25nbzU9Uduxe+3+T6UzvtRN1eE97ClDpnjvUnHDsDOgEqMrJ26GpnTKLvD8QXc
8qcrKyOmmr7rClOO1dn4N5qVN6irTE9f2iR5N2umHbvOPseWHwI6fRE1qIgNfbhbVFbwaVj8sYc6
eqjbt0CgJfUlFzZPhpfEHT6EaZ8cD0hmjIgoVF+akAkop5tJ5ZzMYDIQOI3cpqk6XMVdsAdNLuZu
1J2gS+zc1lsFE3vrIbxvC+0aahApbw+stMeFqWYvwZC+D1r83nZyduTScDRbi86MPiKX3Dd4Doyo
fLoLUx5p0LI9Njm7ydeZwOO1hh3YNA4eCUOi1DTeKqCppuThNNaZ8PIjPMcXGUnBB/ZWusMasKkE
OlPV05hVi5HFdYnE6FPo2R4aBcFEo4yShG3ZUTBS4HspkX6nQhiY3V6KHTPM5A91Xa6lSzMpOQLn
IZeanqtv+hesiSSbtQIWFAIk3/PQwAHA7TwktQjsmNC75N2rY/blVKS4PCnOBWFyAu0GvLR5RDuG
0b5G48/RghJqr3y05gZYBlh7xwfpqWk4E/CXdRK35fucfkKnGsk0Al6r8zgCnXda5xwVFcnTM1Fe
uLSuKHrFcAiD41h0D1mVfliKm6ytnnQeZmQ1DAdKv8r3auRCRZ1LoyjmkMjbKrajrRx5wzFf7jo1
9UWbaWd9VBZ915/40nDcMTholWy8ooSkqjO6PY9QGzUgJESdvAWsQp5OOH5z8AiAEGOi7ih3o26O
1qRb8/krwx16jXfOSE9tbzwrJcuIix0eWMtVkd1ErWlPmqYjIjSHvcWXpLjxu0wgpcwXz+BQPphV
JWbRFO3MhMsratI5sCWqlcoZm2WFxcJDXE0Sgfz9ocMyqpPuyXSNhqXuiKFweT1GhMGHSJkLXo5V
UwQdvfwS2LzyzWLHBmSlHljzRjOiSeXSm/TUYQX5c1xMUfXmdnjo+HduQ/n27VkczETDoqHb2afc
+9HA4ywp1JOq9T9ag2TaVkA80WpWZmWMydkBdqFDyigmJpmGkcXyTeBtAdpRjvPbMgZIG36IEn1i
ZPy02owNV8NCGyTv0rBHoYv6kpyJPAzswBHPTFSQfwQuNF7u2PBX0EXenZFBLmIZDDZS8ci6nWHz
Eyg5zBoRfaZVh40yx8o0RNhbtIBeNEzaiA1KkiA6ay+UYFYiCpu5fP0+SUmzydxlebOS/9+Qo7Zh
uQU2QjU4YwCY7K/qKfzM3OF0GxG9tjR1ulEiHrp1KZi/8uy9TJeiHIg+agClYXswXWXeKiwS1AGd
JQ0JQyEVUYu0F/I7gNGZ5cKSW50gIJdepfSGq6lZQ1PalcJbodLWVjlTBFBRSjNsY2E+KCc7wAfr
Mb3c3lKRBQ4SdzI60uQT0ijfvsZjMeU2XNWCz9im7GA3W6Wcln6pRwt3KtJl5gJdzAA8ZLkerpyK
nxBFq9sG0kANbkGflvSbxe0HBnmFWVgBN0BpoPSHnIol+92AtPlGwOmZJvKVRs4BU2dxGNI8mJ3o
Z9Zk4kYZVb1+zN49wX6+MaKzVXf3BjUu4slTDgouG/7mqHjTj9uoltvY220NOsi7gSx1+fCF0WjQ
5lkBJuMTjIayxBLH7TWQYBOnnYcq5USCauiVOiCXqO/uRrNeOIlB+ZxE66b2zviEI3LUmZ98yBxk
vsRQ0gFPI4n5Qdil3PrwxLw6eCZTARpul2t3aQdAnEHd+dVwHAL9s8GEiWFs7dd5cS6inpUAxBdI
BuRjtULKI+QgqgcSnOmOK6cw70gjMZe14exszsBzYZPupOftBdzlOA/gtK4TXf1mtKRIgd+eQZwc
7wtaf7EAUDxweBrthhFYOq8OYc+TD5W9AfFDpCTRJw2Y1zHJ3zzZUoSQxTaHCMa5+5pPYbKtRieZ
zRWqJUuvyPghdklqEUqWqSM6U2pjGzfVFxoJT3AK7K0ncCErdU1MhXcOHLrQdqveeR3UhcjvXtsI
SoLqb2W/bGguKdQeDO0sRRMVn8BfGcImTZe+wfzii70x7lR9sGa2RxXe9ynF3miBuldIMWsBt9cn
aUs9UTjsZ1PL4t22wwPf0rvpZeQsGLSHe/Jw0oFQG3/V+ubBk6afNFIPtLr2KWp1RnJIqRejrKoZ
rKmZKlAmJjtd696nhMLx6JT3SsxEkQBSxc9pPyZDdMSweg+aQFlVqXLUquhOTqmJwU2oTDn1RLvN
GuEnUsK+tcF9mCysZxraG5WjRa9t9RickiuXWbqZbJfV7lltmfYin0FJ3xGcek9rLa1dlHn0JFDR
Yo/EfOcdTaVbZACawFbDj3FlK95ViWv2OJx2JECXVdOBtmcmIEt5ZtbtsQe1Cy6OTWugnNvI25M5
z75hir73ZGUt/Fq5Eth5Nwo2uK1OL7U09L1PbxkjGj8G3cvKLWqaOdUOCjCbW0t2o/wYKIgZPsYU
bHrOJplZ7m7JoFUJzyV0cf+TErkASnyGE14PxIs4MafGW+fDD5RuboYy9TOiKo9SophI8rj1cQwF
FTeZNMGy9RlvaRc83aYi17wYcQA0Mi2aBd3l9RT1uAzl2xkapVpgrdxJq11k08XSU7x7eR5cRrRx
y8kVL16kY0DUF2lM4d+W5Fwj94JFkuV0sXh+gFcDD6hbntGKhWEkr4/P2ew5CtkWodf25BDQYkEC
Sz88k34D5gOwmwOH/dsk37TVN4h7bku6um6tb7NFaQwb0+LwpxOpNHkfXWttbIPNvwulLUCWTV3g
tZWF00JsM9M8lZmsd0YxyuL0UwqgO1UW4pAJKLH6HoS8oj/+x2zyF2YJKQr7WTSGfwRxk+Z6piU9
HOYX4XZrNklYWDLEsuBgQiOfQ1rb4RnE9CBVAbdjBQXBv/+t2p/1Pfxa07ZsnRYkEr4vyj03aSfg
G3h5b53llTMZpxktQBA4dlvvBlS8hlums3/plf+/uoc0DSHhTw928S7e/+MjF5EYD+/Zxz//WMHk
SiPl5SP/mKL3/1jL//f+x7//le2Pf/7x75/wbx6n8Q9P9TTPw7VlUyr8icep4xVCNYxVyUO/b+q8
jv/mcdr/sC2aAq7toi1E04jqsCGwJfznH6b1Dwulv8rw0T2DAfS/43FKUftPI1HVpSEJ0RslcDR2
aBj5++v7KcqDhhv5T08VnalxtwCIyVChHIK2e95SFowItKqDiTLHlmufRwi18DVh+SNsGb3CTw/w
L74H44ub6XYZpuGqrmqiS0LK+etlKIZZdr6EjCS2aiyjZqDgAKF3QSOlnneUvWeZQjnMFdbj0An0
VVAe1GhX0uF1+uARbdK6t5WVqRDeKVKiDOotKJGNWZo75EAbYA9LXxnWRiIIVHslLG6uDljqhuqd
HiLJVLBpYDFUxLWTkDw38+6c/A43qn1Rif/rHnmduqq6KLHtL/doobOcfI9ocIlSQI4yG0RAPRMf
qC64W+LobAjt88F8GdstWG8Xd2hb5XSpngefA5BPW1tHiKAHv1H0fpmNbhdmqYZBF8HB32J+GQOJ
qIyAvbUyCxIiu8Ng65GBqkjEtaMuY2qp0W9+4c1K8euoY2xbtPhw0DiYxeSo/GnUmZWdqsPYKRTD
8ZXTJGnrDw/afpR9qAkQJ4zwHbhCD9aem3yg2lqqvNVWt+Cjv/iVtpyMPeoALz/SlZnHevcUGrDM
Y2QIATs2AfbHWteTt0kreuc49SO6o47LNj6bW2p3/PvRq/35Af56O1Ij/NPtNAmHD8PmdoT2YyKn
cIRQmunlzvG3tduvKEkeahXWXQYBgpqB1RwnAs49JDB2Qt/SWcaqstSBT//muuR8/qfHjIiWOYbJ
Hjz2r9c1mdUIzgzKM7RpPAb5vUNMwsgxMrUQahJMR+jYok0MuExsakj/cYLqN1/27VV+uQYkxqrJ
42XW0r8udTq+XuEM6L9JKGDzEk+07OqajYCb1G/SrqEONWAFsasiG3ZTeZd5nDPMJ7ewZq3RLUmG
eiDy8hxO+QKH2Z3teC+VNhBIQQwTG5PfPLKvayQfAyJ6VTVMVddMBN1flma1jYG7RXylrWetYlIx
yK/c24q1jUe6DXZJDeBkC9idJAb1kwKj5wH42AITw7ZTgqcxB5nvqrNK/wGz4jFJYYE01q7O8PdB
emnLcG0r0Y54FF+x9lTa7wjEfKgjpMswJcMJgFBNGZ8wG3ZEbM45y4J47eATbMcuWBconJihV1km
Y4PARxYB4tF+VUphgMvfR3AQE76exHkuqm5lWRgnNYLXVA63CIkFn5EApWAx2/dusuGj2xNotCiC
5qENIDJ1LmmEKCW7Mbyf/N6i5U0SQN1Up7qkSnKMSVumy2ZtWqQ+7KcY64g89OSYFcGdCAR4zn3s
VSshygsEy+9Zn91Fg+ApPoSTfuf25Vtc1g/pwH46M6/t4D9EsmEeAk3qhydDY5dmNNuEfF62yWtL
i0idd+alTw/KJQVNmsSduWoPR8MdNlrKCBjLfP+bUfBFF/9lELA8/vrhlFbuG5NVgUcPyTUOvpmk
hlhpumo744kEEfCnw4aiHUIIbOyhDawxXFdMWpjIiSZGsg6I/73Tys3/5bo0NhEYeHCqfb2u3LAF
dUsGp+Hbj71ar9T7sX+wHVm6OSi1xD3OrFejJhcCFCPnXMZwoiqbkt4vlaDkN1+L+WVDKZ+TbVkq
2TsGm1nr9jH9PPEFppP4qmAeB2ZninzmDJDiUiV4tnhDdMofCsm4QdxkGkiGk61H1XAaLqP1Q/FQ
QaZ0IjxKi//F3JntyI1k2fZX+geYME5GEri4QLuTPnsMHlIoIl6IUITEeaZx+vpeVFbdyswe6jb6
pYHKQgqpkNw5mB07Z++1y3mD+pX8Vg1daY+ogay0Jt5ZcdC6Z8YV1VNaOKzinF2JKHlchHyNPP3c
rQSt5MPu8r2RAGtFbz0LMj4rMCNMJsfs+k+u/78vU/78ff+yoHbK6dskYqfMOEUYaz5P/tQgMhig
fHWVDtJu5tZkV4KFgwG1lje9lUl9VD2MmSqd/snl1/998bZ+HJbXdW1f99E/P6aKzSQby1EjlqvZ
0dvY6IPB6w1rAmuvHbZBw57aKvOuAPJlmDWTHE5GTMf/68tCdfzXbeZPH+MvuzmY4HD01o/htCCk
rSagM3oYDIeolf6fVA7/8Q34xzf+y06Ln8Kb5vUbLpkWSDSzhUk6SfzPKqJfZe9fdi2OSZbBjoXv
g/3rz1cWjwShqfX6lXJSeiISZ1B+UKQQG7RtiX5pxw6xmrZjrLZtDLwb+vggYgKzjqibH5Vq7y35
OeNByaChptM/uQq6pa8f4C8f0JFC92yed8aefzXbl2sidEMEBU1v/Lu9Tt/cFdMeNnqzI4IGxG4V
vyA2yDzrnnKUgDRz8RdTpLuqzdqdg9bIM1EXSoiHa9BN1wZGNTpIUbRxO9i1HdBUTgKP4imxJrCv
ozc/Db8kbhpMTduoEY0VSDETlkHPLPaTneWXghw9HrB85D00ll2JcK7xknfs+fZ+Ce3HVrYQrJhd
sW042d4QBWL7GHa08T4MKcx5O27P5MeDkXFv7rEv+izoe+0FhxBZla5xSPpCHKMQHGZBxpORgZYS
hChKT/OJ3CQgT4Px1gzjHQaCjv5dfwqNEg5VkkIXamsyTfJPvZ4O45J9pSQjHI8QPqKLge7HTItG
iJGLYdDBtIl+I0kkyJDwkhqkAkVHuRH19AB5Y2ss/VdrtF7aqXxLcHVoKUp+syRjkFQNrR8+uvBH
6U2PYaI+InMs/KYvGxotJKLoeoHV816KsNqFOXzyUHnlsV+GkfGo5u162/4RayPj+dRv5vjANO3U
Vll5VyQkCeQv/TitHfCcYViCFK6bMpt9d8m5X/NPgt3qsxc6hg+1EfE04a2qFdNZardlbQMNTD63
ZUMM7wjzddMSPAb9kuTVPmG6ZUXq5hoOYMs4cxk+O/BjWmaQ08oV85AVnDvbq/aaS9fLaZKvQ25p
F1lkCN/nNzuag9I15RkqlrMx3QIxpEds9LAmgS8Ah3CUL8Xe4DnLE/LYGuxU/QDyUYyGt1dY002E
Sl57m9wCZ4cZPw6J1e4nmI6W+1FqLf4Dc5QAqGhFZnh/lmVw/EQDvCTA2IRM+48mkKBCk2cd0DoP
UNulyJlb7T0VRaAKFW2B975XsrB8LUEEt/LAhapbjD3zp4eHDDq4hctsQUtJ+oF7iLu091MAPviS
s32UiDU5yaUnPB0W2wPCg22mJfH0GDnT1zwvkSjJ25QDbC/JxSU3T5zJ7PSARyf7qBgRJJEHCI6J
4BaGcjlU/WZNwzFsDPXaEtRLaJ11pdF0tK3xWh4jxGgbj3nIjscGHJU9qIfQVkc3rnVkB+aXYkDs
R4ogUxANP4ygXiWMJ/N2xH0/gUUFb5eW+15TzX7RpzPzvgSsXJUhuy2hinbpQhSiX6/QYZnV18wY
/bkvQanTpj1CN3ovc+ouvUEcQuDm6IHfwuLeRTNw0QZ5xLjkt54vvK0F4lejoSJVCcNiS92LykNj
VxzrxQqvBn3JtOv2XQ/QybYxO31WqHyuiQbZ1hZFEyxrkvAorXmnEwu2CPvTduNuV0QjxmRoS6xU
Zh64cjAp/nCFaFpD2JPzZCe0s2JRo6gGDJUjXjgxyXrQFfg6PSZfMrQ36HfvMum9uWK092aSPDBL
TP2w5FAdo2uZ9fxhuato1SAyIaxOp0aRS/HpNcAnLPdW1lgArSUuDmrEIwBybutcTRqPZ1XbWyyK
gGkhlBWTidStcGsgLAKJdkrzso+etIjc2SxNn9FhU5dj/zzimUp2reFwvG+db8wjnfu10bw04XlU
dnbhjpd7Wac/62kg6k4CB7Twhqkh9Y6ei/QnbYYGO8N+DAHzW78CeSezOpsKxWVmPsUhQjFLL+/s
WhDkkxaIHewu3fYKNLsZK3OfTN+hiF+XvKp2TiwRSkYqOsP837Ax1AfNbXVKOjfaljFBbfMan+jd
4hh2vRhPcyLaq53DpzP6/J41S+yxdm0NA6q5WMZP5gezP6DcgOxm/Jh6wCekET5UpTwLBUXRzgjO
coiAVIqUKVUzCi6d4iPF4szI+85FqxDZn4Ayd04bvRlDS4arjdywk9V9kULTSMboWJTLIfFwkqRG
g1lSofpzoMkWML7dKbs2hvXGSFgxFrSPg8re82FgiaHtsOeVsjMjegjJE0UVqiMw7sJXtwV6PPUe
svUUHfzcA0OvptWYUVylo+4KeQVDFSKtb45JWt8nEjkR5X4dzOqxatJvbgMjtIna75PxKKbqPpcl
v56ZtfU9wC2gnQsKFJ33r/VbzEob3BnWsXYTtGB2zbAtqVyE0QlbLTCybVe/JJrxiPkrYmqUDYfK
O2LnIO9wmmPOhOwz8UJXq47Ma5c5nyBoG0DblM3oEQqFtpuYRVQgxUUZ4bEaVw6QA6dSzTiwZ7d/
agX0eAj9ax99vqlGRydRD7TeY6aLreswGsTerWz3h7fPH21kf3E97iEkI+bj/jNvmPdSVgyZBsCP
BBFhPltiYluLd2U5YtdMT944wcfo7Ro3pUUDov6ujfbNs0co1850kwZpcYUoacsM8HtKrIehnitE
1PVwyOzT0Bj47NS2a2hFpR1psa0BYtzL5lNuL8wOVHI/DA7QZCLQ8e5Fl7SFvFwREgwQ99HI2VzI
QFuhrfg0QANtRrv+XBL46UYu6pPpLDDrHa5XKSbqY6iTTW58Nxfx0+ys7DCF1D16RXW9pr1ElfiQ
WB85joQ602MyRan8MULO8Tfxzc3wFsU90aK285lo4tolYI0Lj3A7j1waKgkYB7o+PzThe75QKJZ5
fWzaqbhOU+T33vCWivxqIwrZdQm+O3PqHSK7rOWi2SwbkRXdiyLduW6VYgQi5G3MrK+8Xhy6pIlU
qgQEHpE4OrVQH/OECXodEbs8ue2j42HfJYstQV3AMREmcku94ps4d7Zzxe5a0mHtkwS1s2/LS+KM
HF9r26IcgTM4DpBAmvachiWxFlH5gJ50hDDC7ApRmUbcdWyM2xSMLAyg195xPwiUuZub+LVE+xii
dzJT4z6UM92R8Gv9xhARPIwdggMYL86g1rFieRjRuNgOo82F2SZOnKjDvjI+dbRfsmhCCZOU1mZx
MzjwGa+Xqt+7jDegcfKbq42PcsqobSyyTRxo/TwabE0Df5jpBJlT77qWEOyiRgQBFvrWDe6hdspn
mcWfMEb8HuVe8UuNSaBa4b4bWF+GgZdAGa2x7UY5Y43kAbOGCTXqt8xOHX8B/d5UH3o6lo9OQmGR
5Ii83RpC/9heGGYGk6PYugcMdGDSgzZz4Ptr+PJGsY/RKaVN+qU2q5OXIUPWEENoC0VEvQ37+pmR
GtVXkeg+cYTgrg0mV+asXlw2SwiEmp8SLrdNB2fYasneaoBcWCbQes8lGmdqHs2iQIIT34+Wdl5M
Ajy6GOqmc7ES+8RDfsns+D5KwmsibGbugggNzwFGUuQugNRO+yC8mNrF3UxjT+aFTVezSi9mJn5C
FKQ6Gt0gAyMLFAaDSra4Vy8ZDpPNQSE20ZiWjJVb4gXdPP+C0RC7apiu01mNkXpa4L7KjYOoeZnn
CCVdRg6BgiXot9MLReJxnH4kraAzoPUPRo8JBEgj3WGl+UMSvbHE975Wycss0pUP2FwXKOHyl78t
F3f2ygPo6bwHCLiqDYmDjOIPZt7fjyJ6Vxmvu25RJqa4E9xEnpsUucvk3Q/AqS3uK2mW5h4A5S4e
HyetvFtoLjNZBwncSQwEdRdMZnPX5TaBSWINTfoa9c2lLtwHjhPAfgg7CF2J+JEk2n1e2I+Q+r6b
LrcA/P8HHwz/MYEWSfcNev/Tohl3qAu3ay4DZM6nsTCZOYruZ2+VBLcXzYtKyqDJUb3W+0RLLjZs
S+59um+o1ejVq7PqdCBr86UE3M4cHWCZCjmvsYkRwYTSUkxqmw0yJDfANX2vhc4ekvjStOTyCt1+
LIe5YMw533F+uRWNflW0DpulPOZ2LZnJTk6gjekJewIM/ehWW8174Qy7mHMkMhB2jnoOkdNaG72X
17VPOUmm41NHvUCHtAVmCQX1jOD/FT0vso+em1Jol07DrDqf8XYDjnShrFFevWajOpIKQD918eMp
DjxlntzpnkyRHTLdU7oskBdwW2SYmpPiYZqta9KPxB9olzzScEqyYBfdfVaT7rA+ecUlo0MsvNlP
pXbRvujd6CvdfbbyCK0wbZHUPhTpur7EL/aUHQR/L9SWbTEu+6qmr9TesxTeWUBdsfL6IYdhPe6P
QxI/EQW+U3FywhV/GFAlliERK/39atzSO+1SzeiG0Jt3gwra3CGPhCl+Ee+ntj/CFbZMNvGiOLhd
cfQ2BXLUgpXYsnwnlSeDEYZGyBOE/X26tMEYxTe0fHjxoK825qF0kxPGV7Ls+TGXLFDSg3ptxjQw
76Hv79DebisKYVedC0KY6aiRrdA/6FiNctLHIqHdGs3exoRN2PbBYeg0j7DZGjkGk3BQ1QMxja6i
bk9NkaOKjPZ6Y28maV3XT8CFdfV2VzXPOdY+GecHWMhbqzN3KuBEcSDAIjBBD884kPOpeovz5OTm
8b6ItAstgO367xUfbb2Ya7sfuf9+0IbARjTO2iYyGsOqPy60FIp68aUdP3YcHVZLQ0eYTxtFNxGO
m7qa6CfXN5Wd6BLuS75jM2m3pCOYtPqeiuph7rVLKGK47nwvLGJ1SCRcj+qLIJkr0g4WZOs0ROKB
zS0ROgTVTuFV7bAG55d1JkW01R1u9E1pckrO7V3boCe1uXBICTy3vIB4Pq23LhvmfaF3x5UYKBMe
xbi7X3+9GuAzi6z3Lj6RsyUxXFbGlUif7TA6T5NIHg0Vnwy68kqzTm3SIAcEhj99GgpW65IfNGrx
aGhZ3uFOJ5EMbF1dI+E+Z9LgvI87qqQJ5hBr0uucJd5ImkgZblXq3BGfW3n0VostEU4sL4y8Qnyg
+puFQl8Xtwkty0R0DrZ8Csi1476EJg2u3jeH+yVGGHUVMKpDDy0IETYuefa0RZCjp1D9iVfZ9Ww/
mjB2Cy6kmREAbQDorMhvOtOP+4wmDReoYKKaFH7kmISAlJf1961ZvgOxoBG5s1KBguCPzPAcoH5U
ie3LmnyfnCUOVoMeEYVEzT+BmohQMnnx+FAik8CtdUyN+rbU3n0kiV/ETWgM9YubEiirD75s8FMK
Yw8tZrcoYmhk9FqlkH/tD6KvCo31RASCyIFUXqvY9TEbb3Ld3OtipeOSb+HhnlnKR49oWzp45Xrs
UODKwl2t++Zr0ubP+HwJk3C3GKovg4qeRPEEskLz5yYjl6G3grT0CIArnzpqzNIoDqb1PMlPzyII
RVOEzMlj1gxrOyTdR5H5OinTH2pbopLHAo5gzlsHcaxQBmMTs7PvELEI4umNPQc53+ohAUcHw43f
BnKsCQq+y0YyJFDn3zs97T1cIN4mb/iAkLRrv9a1Q6e9mIZ2TFiq2hXqECL66SZtn1Hp4Vk4DNUa
ZDt8EQUsCaTPakRVRgzrKszLiDzfSKXOmgjmuTnGvMpaKBES983XESUgVOqzRnu5pQ+mpy5RE9qX
NKLdk8Fc8JhjSSJjJjI9Fy06Aja6g8NDtPQYNI5xKaqJ2R/W+VhhNS3gu0iKl4Knr0nMnR7ln0k5
fZ2EfSGHfJ/lMqQKbG/RFHFG4XLlXnitOsxzqb7TyIwbEzvo6W41XrefU6D0S3maazNwNUIpahhZ
dC1Xv1xJDhDe3x0KI6AQOd4+BFj9LO+ciUglwt8MWufsgA3Dyl88jCQ1HheXBOxcWfdaR2kdTqm1
EcZh7AaftKy9HSIpgxaBy761b/pATrWRAM6Oogx2cS69+9m+lml9ifGC7ZuhojZVADgLFhWEfSvk
jDKImIL7Nm6eCgjom9yB3tAbFcHFcxJy9P6JCOw4Ezvn5UXQMQfrh0edFA36/dVDZBQ/wTWZ7n27
ILudoXSkGExXsqbXOV8aqa56yxvRQSetHFYmkiLi8J0HJOhb78tAdh1NOfY91mZSWNxBv08K81Jb
9Qt8w3y7IeSg1rDrRWd3tQ25on4IsXJBQCwvbAcImbLSPo4kUGCCOQ6l9VhNxcPYT77qegKvrPA0
21FMCdM998YTWXGgoD0cjFWHgpyP5axWBrPCMzOH5iOkhms0ih0O4pyHhMJCptVDZcDebJxbY2WX
kZylRufjleoO/khVmY9NZB8Tg7sG5CcYXRflnfKzRJ/p0P8AnOJCbvo+yJnRbqbfrDGBc8FO3vTy
3mXue8nrYhfCU/l9cPffkkAdglvwf9af+KhqeC1R3P/fP/+y+/3XAKtXydGffhH8kh89qh/AFH90
KudHf0dbr7/z//c//k2h9GWuETG9fxZJyZmPedVH/0fxkmm6kpn3f45O/oI/pE8IdfvXvK/+5V8/
k+jHf/DzfxM/Gb9Zrr3yk11DCgCJ/y+LWPxmwre2hM7/67/0Pn+XPjm/Cc82IH/plsl4ev0w/5A+
SQfwJbIRbP+2bsv/FkGZbJa/DFF0MmgZoRiObuPcEX9V5HS0700eILmB/gMRiMOKMyK0bYvwGZoQ
sV3maQy7+eSlVB+ZikvSUt/chUFlBMSS0OSvcHgIG7HpLNvdtY6yp0kmJNxbpxTiC0btat9H1g/T
PaQiAZrulR+yqWkiOitOxqpBZhQmqbFjaNJpGtKbNX8sKdJHTSy3jGFiITp3iyqe7O35q2l3X2rH
fWnL5Z3hPfUbzVYkqLiygXxwYwPYBvYJ+OzVFdV3SyiXPC1qD7HIi0WB2IQ/kqIGcGFjPcjqamAe
ywqcx7Slqr76yIqlYsvUfrrG9HWNonJz7yDT9BY27dXMU3hS7EsYieAYL0KQfJt8jqgEfCB855rA
WvySePbkVD0XoBq6rM/3Gh1b+t4uKbHqrnRaC8Hsg7TqZjeY5bWGrB9F9cdUcuhLnehSugO7aHzD
xEL/xFa2b5nzezuQ4VcP7o/ppc2JAZT6QlZLQgTlkKAkGc0PypclIPn0WUYmwgxyG/1otdDPABk4
3XBnW2LHZCPf8C9OMHsINC3Puow/M2v62mQkBno089rYvngRmzENGJ1llbN/Vz2OYfWtM+4tJbBH
z5StpO95zk/+eZBadeIg7ewiS96RKtsG8WC+e4ZKjpNUD+bM9Bp9bLWz3Wu/JN5J4IXOIMsGSpE8
UIWXokg5FvXVm0Oe1D7S5JGDfkhbTV51XhPfFOETyRm+h10iHN5NN3widkhoVA9d/UlDeeOYas80
gdM72Su4He0BY1ZBmCyeUvxwlLdmoziZl5V9QW2y0sXmp4IZkp8RSaAQyiuXXpkl00tEMufGIczM
WVAnFQR0HUVotJwA8maXIkEZisCUCxYIEa/OKRZ9OZWvRY2NReGFXMpSPec7adJ2a5i0XHlEsDov
1rRJXb55kg/tWTjLR7iY2PyE+yBJ/eAPWiiZAAYooiJK0s00ItZsv7OpSLLpNWsTKh5xby3eZ8WG
u023pW06O2Fj7Dfm7D3s01eY6/oOB4ja2CktqZjo3WEk14jUFBaAl8FmTOFUDTTcVd0nqfVouqT7
2S1fbexzFMzcBz1djnVMIpZJp7EsB91vDSO8QzCk+8PMnIUx5XU2TMI5MLgYVc50wkHtZSUYo+J2
NHxpdgHpVKi+iCLZ9LKQgT6Kr03Nb40M2jmljRwnX7KtUPbJnK3dkhslurXnPpmIAGeGstUackMk
lsiN5zXgznAgQJcgubi2sy1DJ/7SWDPOXDqkUz3o0b7uAzU55wiWa6JTAFlm+LCstKQoW5hzObhq
q9PStCBAoLiQse30y2H1u+J3q+n8cUJ36aEznpK91pzAh14ZEBJWzpzFT2AnYGDxnp1KEAFh4upx
dd6DcOAbqlTyN8yhcRxJVMsSxop6yDxL7oulSQ8KTMYGpTMZYyKkEOHVGmt9r8nCt4CAbSAePNOh
oV8pl8PSp8YOyKBLjIfEcMXfkerI6iCZ1VSx9b1piPpa5uGzeyooTRGWDFM+BHWTvIchbcJJdTcQ
hjnF0Gu30BOLMAGcGpcosk4zsoNyoVykGVkscVdsrd6sDsJOdhZRE7TeXL+LRwbBsccsRfPirdiT
uugG9OOqc8ksNY3m+ikbiXntB/PYaB3RXb9yLteXZRjDV5JgOadJuoYmcUeDjWpoBlLb5nSR50jf
Y1CLqSq7+C1lQZzr9xS7RuRE37q2+mgyHhFlcDqd5l09O2Tx1gm4ZNvmAuIYkRizxskk+4XISz8u
eEJXBWmYZS1EezizHHJhYUEM0kjZLeuJGKTke9YQjan16KmcpsMdl9yXq5opWYZvKJ4N2AnDsOHY
S+eFs9/GJSl2mTgFZQgx8VfWL9Mwfc9r/d4J0ZlF4XQLzf7THOm7l2SxQDsu4A8aNdEzvAeljAjC
rIzvzWjFfkzw95QnP1Oc/0faX45m/RxgktNjss07R78wFwMKX5dwfubY2HIYuZ97rkH9qoHUPVfT
fVEN4UknlpUkJk54DlOw2yy8xyY0iZPs8veIuRMnzybb1j1d+mj5agwgzeZmtRHkDrrKQX1zaaEU
csyPwLYwN2nY6SzJ1V50RlUJaGg4N2b3LLTqWAz0Six3Lves6PpdmYivoQsG0hCzufYVTRKn+7u8
Z34aWqSyRfg0YFTT8ZRaMdDDcMpgHjt9l+MkrKP00LolrfzQLo6SA2JSDX64Ig7dUECJShLmSkxU
op9aN07XcIanFzHL9pvRaHdmTfgeYJAdIk5caJiPo/QFkKW/tIa+RzyhaDoa2ROLwyv6z3vHREFs
R8+27dX3nlucu3kdHkS8T7FlHOX0KLT4VWgoiZmJfTc1/EddNGJxtYHnRdJ+TIf3gTm331bte4G6
Dr47Dp2lsYM6GT7Kkfyc2ZyQZ6hSoiZYviQRDbLUSwLbLW/FrAAZSNiNKZM5cos3VsiRbUqwOQOX
eSbTBrJYfUhR/S058waZ09u2oA76soToZYs68dO+L2k1fJoD2pQ5I5c3XvqzDjHGNzMaEWgQVrcr
owEVaT/s1hW7ONTvCJkmHVZDaFu3eKmha5bRM1/7jNpz2tWpZNurfI+NFPwrSeSkaHGLEsMfC+Vt
df1VMt3dGUJnjGWylTaCbQdzkAgnm3hWyAyChYmWSk2AsIkXsmmQRsw8ePtowkbS5AtJvel3rYqz
oKZdO4Xeu+qM6TpLdmHPo6WWdZdiUKBV0e1Yy7udNNrORb3nl82H67TfGJo+ZVBvaIIiSCnD2Diq
UVgPLUwCXKrQxNt5E1sp+L65fxsR55A4TwArERtqXgRztDHcVmHyIN0B+1JdN1AcsdoM3mxuynk1
W4VMZ9KFPnnSEMvARtBoJW1t+wElGeHhRv6F5IRqt2Rch9l974w+iHGykS76Gfc0VfLkWGlIs3nE
nqySsUYfFhrWEVBEGSnjTFiNUxUx3MXhMtOeZDGMO8hOdDuZ2KVsjoxJlm2OtzQtJuh45bSCIoTx
tV0pknV9JF/+Ez3dqxgnkBd1cdBa/AaGWJi3uooDtwBi0JekAcLJmVsJQVV+6xUaEGsuRt/11HVI
sdjmjfbNHp4NC+OSZ4pHzrD6ZnWkupLnwUFPEldUPYbTPPcrrwfDHY5BOKY8JESUm/Ew7qYsfgHE
sCGG+DTPyHQsFZRRnAdGlt7qNVIJcy90cjNBoarxRGpkBhciRyU8H5MOlLNFjJorQ0bqyIbI6KkC
RdVAa4UMXWt2D3gb7fVFsBCCFAk9IrPzHq2IaW2fG/sRU3A53GQejh9U/lRdpj8NRrSLPEgIoU33
iq2GUgI0IiS5bDO4Y3Nti7XDxrQ4mPL0IxeEdlS6ph+81t2NowDxwgCcQPmYXvQUMSC+GwsvQcuG
QrEPzWDWi+7UaAPhbSOCwqR23hkbkCogAALYc4OoRvBhy/axNaLnvJTN0QCpW+Or8psh1wPR4Q6N
Gag70jr0w/ANZGK6x9XCkJB407lDwaw3DOTNpn2aPSNneIkJs0X5YXkxSZeERm00V57kuIqxgGec
kU9pFvU8ckcgsHAANtypeVsIagyHmGUr7b/M5SCALxJ6bAptl3sKUhiPA/LSQ7tM057TJm9Aa8LV
TrOj7Pf2knz29uwc2FjotFLtxTQTd8bCu6RnQh6avj+GDtBn0r9Xja28G3s9IJIVcU16HspTGjoh
rz0phMg37mhSJzuZ2jv2eXM3lfOKXMHMT5sPKzAjNpvIv3W8pcqM3rlqt7S6P0Xs3UQl5x0t4s7P
2hHfYPPSh2O7HSG++A7l69ab9+YSlnsn7U6u5oBZZ0KHKPaS9TWVbNH2T/0Kpycwk8mA2b/lXqnd
pmi4Jmo6Sed7WXTeq3DQ6vYJnGkFAcYNEecig7D3DEUchsRti8Im34ZO7xcJnLQoRNZbrELSMUEn
EeaptplKeAxdKbJ9phH2TAYcEbbetqROLG04nT1sIimXAIUy2oBJ50wowjjIoSwZc3n2kmmjW8Ww
H7nFgNW9oGxd8pjXKPHB7U6qSvAq66Of50pc0wVXYVLKx6Zxuktq0SqvxQ438RXu0q5h0JWk8odK
2fDVMhnbpG5Oy+BSurcdlbBT+9j4Iw5IPLByqSei+VIoJk1/gtdEBEoenUMvprTX9PyM25JWO3sM
5zPiCAjo09ALOuB464dU66ygk7DCsybwEvnFsNNbPma3BlPVKg7NObWmdxyurgSvb3MkLqD+ybaI
KWHnCvB4V7n0nLIPLSPMkxn0eShg6FDYnkqr36//eE78iRWMxM6e067bGnv4Ww9ks1T4ECj2GC+B
ufjeWpF7zjADX1lT+TIen9LEgqpqcpX00EAYB6S4HZtDGuUND2s9BlXXMQHwUCtky8H1UBpkvXpw
nMFanTKKb0a1mxrt0ZFI5xI3fJ11bkjTxKBQwjbcNoUChQw7BTxZAAqMk4nsvgNiX8WxuGIb/A3Z
fDZsnlfARUeYNUAPkuldzT9DpMuBbjorHIrcZaXq01DIH+YCKMFN81vFGYizr3uApaGTmS0wz4zU
AEXHuUjMuxmvq1apI7AHbpkyf3D5CCapyTDpXKDNXQji2O7p69femzd5BD8zjMIaIS+uHE1Wqvlp
giyxrZPa3ZQ5k0KjtHmdw9eJk+zygoUeFFnWXi3R7SWhWmwTjDnmmHm6pFaYcmglhYHvyhrj+Vgn
5cEw7I845n0zsKMGlG6HckRViPAmSOPlPWl5jZQtX4DUFMFAVq/HSxtY2a2tgirbGpYL0M2kFiwm
dWoM29jMfonsxiVmTyR90BIyP9TMBVs7y3ZMAQjw21T0v323RCIkDXVHZuR7raqziqy3rKLTPIb+
iKxAq2w6HpnnL2mIxx+r8qrd/CYz+qpMlh46toOmrtotGY2bekIBas2oFq0ReHq43FB32fuK0Vcs
1tpRJPdhh3KCXYR3Px9fq9x+dEts/QJ0QhKyXg0vYRdtGju0z2HxY4wa3Sey6cbhI9lWmnsKeyPa
Q96krIaiUrXMSkxrJFzbXs9A8t0NiWZE6IfYJB6vEemVeIXyrZ7QyNFr+23MloQ6dzkM8XQcteqr
azK3SNGZD71zzpRAUcNEx1Tem0yWDw7//SY6mOvDYFW+U2D+VfONAIm7TAfxxQECTM2JUAReGWgM
8TRj2x9R24Bq641nYgrP/eoIZ5LxzjgmF/de4hxWemIYh8is8vmu0MECmf30wM36uRJc7PhJA9RO
g52xnS0MEkVBHZUQJOI03GmFfi4cAnz1FmXTwuLSFssplfOhyDi4m+Mu7+sTPbA5cG3r1kT6N1TP
dzRHweXFW9Opv0Zx+OxpBDO0KAIsQZQXlcUTrqv7KkqjXR3tSn3NZmLAMFdof2eNxJRSsofjuIKQ
FwNWi+eBTbhAPkXzI52elsEKVP1cYllaGoIsGWQ8Tp0RBnOl/RqSh5DX1FNnHhOTA8gQ68vvDob/
cV/8T13y/Y9qNd52f+6W/+qA/6OVfn3affnrb/hTs/1/R3dd9+hc/1fd9UtVfCeb8C+G4t9/6m89
df03i2wGzL+2h1aARvjfm+rubxj9+B9dEEpUl5PDnwzFZHzQ7HYweVp4h/7RVbd+k46LpUI3DRMX
Mr7Vv08XHn53HHDp/vMgzdXs8Udjgi5NjBM2dmfHtVdXEP/9D5YgXO3N0jMO2CyViT7Ifp0N5GoZ
Gr2NiGjB8pqpA+m1jHqjYXPnL2P0o2vIqP/DVfvb5/qXUiEbTcoeqzLGwtX98odPYghX6razWmNo
7tPnX20rf/gk0YKbsSYsdwMaApXQvOincpIPI8TjraJBHlhGxNsaRqeu2ovc0/Eg5WfYPY9N3xyF
ojvV5G1KhJF1qFuNbV97TeJVRRFB8+sG+out9h37NhWNw/HDAcd1n87jgQ4d7fXiTGpp69eCRraj
AakH838a4naFgrLPq39j7jyW42bSNX1F6Egk/La8oSkWPTcIihThPRLu6udJnT4TfTQx3TG7WSha
HdKvKlYByO977dvIaQ11CE2ZSQJlTHtLSq2JXIaomcE1v2htuNbjRLjovmcfQ4BWcqYKHCh9btl3
y/yT1Pkxm51nUlVZVBcHs2TxNVbZlhCkg6AbfBHFKS7dj5Agq50bjgjxKAYQfACtNe6tCnIszNWd
LOsXWm1JorVpeOERFfA3zLK+EU1xVgkC/nTmq7MQTSgHpHeaOSuKasH7NOwIBt8i42rvW3LTyrK8
a8llXLvlhNzbO3d2+qusQ0AlE1J7H2TBqaLihqe7OEhnl7uKhFGPIYv2P5+hkQPdLn5itQ8SPJGk
FxIehPQcg0xGokjyNGH7TQwn1PvRE0kV9D666jECojiIod6QDQI4WoyHpOLQSsoMZ0Bmv4Z9f7L7
H7kAodHACGqVQuHWNsa5NqzwbCX1R9EOj2kUntOFPCACtzmDjWLVYMyGJ32JWFe2VWu5EImC/vZ+
objllnQJ3m+fvdaO8dpN196yio1ADxPjiNVBXWJVYA/a5Uvr3CV1sRf1eVDdk+chMppQJUpGK9fH
GirDm05ikc1E8VTJgp8808s2LgoneQZucIlUaY62ZsDrHMlGXcqb3o9Xvcm4MkFaUKFbdv3nVJGF
vmTW0c+Hd6AiuasnkPRgqPnOTcgedviOMSKhQ/LMBrqWY+seW4SRGMVQc472dEl6BCIlP99Z2ilx
PcKut8zwQNqJrA5uGcJk9McqaBCPCffZNfxPyylgqqf+UOjBBfKqRSO4mrU/sh8poS9b79SOBrxR
jxweOr5CURpvhMrsXTaNJwOdGbn1bbw27OCq3akiLl7MCkKbptNT3lvfyzw8z1H4DW5UrIflIrPS
2iUl4R9Lkn/3WPhX41Tcb6ygg2EZFoRoUTvto+GSzeOyq62JNmV0tMg1j66DdKUMlnveMrNNhAFf
kOOz7wyHXLBlJoAsm0gLB8Wy65egCGikI3zZm0mBE7ynFNxhlbjekf9ZhLXsw8kMySn4zMqyXZGZ
zeLAzMhdWvQNkt4RpD3tu2lbfXpTQRIqspe8KNsNGYrVoc/Cs23Sgw1NnahLascx2Tojr22PtwQe
yXXQyrMVsZiM3atDlUE9JXIbZxHZYYt6xCxDQb0AR4wt7MBCfbVu4umHAE+INwMqc10T4c5uw+DE
PsCDuD8gIhQrv/NLdJK9fQyMFGstusJYJ6nJNECVPi9s0wRJjkkf38ReRK3gPFzS9HkJbselje5R
zwXRchqof5zDtfS6DqYqRnO4iGBjq/GxtJ2UoYeF2IsHyEG1qqoFrizy3oJ6cXa256AiYl6bCCHq
JPJLq58/g5l0NTtNb2sSBxEskJ3chA+oQnJUvQr5nf858CojwbTH0Gk+EewAVJoOgLbxPFU1Wkgq
MnzqWTdorZG6wElmDZxNtNyqHPrF25AM085gQbLuu1VL4P/W0FKvaDQfUwvBBVv1d6EtKUNnh7vW
3rSjd/6mMx5JnVP+DuPlqiYYgUFMjOc2Ah56U2jYSH61SZKfWT/KshlO6P3dPaGaN15Ulbs458KI
2uK+1R7MNJnOBrgrTgbqvcjanMCAqHUNHkg8JBWnfnUn4h6CmSwyzCDf067iYtqIJT05k882aDOL
diTHmjk0DFnLkiDznjA45vzINUG2CP9RKnrobATxEK9bJwWZ7dzpk+KCAYBu2Jk223G3/IhmINXe
mX4aD5UMeAUsb/jcoAhNenEfEh1KilByP3rJdnTdG9w+DJAJFCNcAuL/PnolV+IymMZLm7448/TE
5rh3RUPWMHe0mtTG6Z6JsVz3TvHuzfJzRi/ume6aJ/lLSIO8TNl2G5SIgj6vDY+Ge/kH0hq8pyn2
nkKPVSuxmceF85gEiXnCHDTxGYw/Uwyb68J2RQmyV8JzbgGHbmu9/89ISwqSpKvceMm0TBoREVgZ
SEQHKe51kwd4RVwDzzcY0y55JbPtHJX+1gn8N+GO/v4llpncQK4IbELKhICtUNSZLcdZAybpLvad
a7xFGRdYUwxPYwZhHKADisulOXY1VB4c7N4DSlrlNRue5MIua+8h1il54YMVAMTL4muxFMuCObwM
Dl/w6NBCPvnkjHn5m6qX4RT7Nl1UgidMA/jSzO79mCEdHRODFIHwxm47pg/itoYc745loSvEApwH
uKPAjAl1Wlm6S4txrPkIXfGTenW99ad25/oZLY4wVls5fk/RKRB+fBF0OhCCu1ZF9V25Pqhr5TyW
6KzRSdYHe7G3Xs5o5EKZtemIKSphjxTPcT481yKmvWTyoJccnlYddphd3clVIgN0V9MXXVXuOuq7
52iqEGu1Cc/ujsYJ0662JP4/TCVjjtN45bqck7cG5zNivAhrVt7cqxnMMi6yNaNMtiZkDNFwDBJq
JlysQRbiV1CkqqNqQB86IwGAqsN7he6oS38Jm4B3VR1yVfyYBT1JLXZldA/kY3tDjEOkgg602rPd
a/ilySFaMuNkRel0iK2ejlXPeRYuXRtReqsMXiKB0CF4YFyeQsSbO5kZ+zGaDwaSw1DNHiyEPHfC
wpfOmUnVbscRD+e/SPNj1lV6YyOJTqtxw7nhQuNsNl3N0LxXlfU7Zlyeq/JF4WBHsvdhLePeKarx
dm/OtkusV3JMQ98/yxgHhJqfYirfoYy2gWHc+Fl/0xfut5YQ68U48VGxCNotwXTm5b/cUXl1x/xV
pfK9TvLL7DTvrgfyWfDdkQZ5wGTPHNlBv5bssxTh8GYaVHweFUstIk9jkDsJNQuUNB662b1pY+87
SGSJ2NY+2B1ywQE8b4KaRstAZY4ILgt5yoBkEH9CGS/SGI+NbiCWRN6uMrPeoc+6ziOjtqql2imX
8GA77l8KDkVLYP2zCWOTs5b8d9VL6nL+idE+MQYeiyQ4EEVPPFoetZsoSTifpwfi9CBDeNOYRSHu
xjtRg/W04quu3AfVo07x8S74xVTfc4bCn9SpABjijhCdAFFKSuMtL0zoY1CTnR0wXCKlG7jdV1xt
HLrzoR2G5BAoGhTk4Bxzs4GQzY8qhUx18/qmDFIo8DTduW0wQSsfVck30RsZn85Mo7AAvmSGBKXq
okMHmYLUtjmMZv7UlOZ9FhQl5rkOpUFFsVK5B69pODXti6r8hcRnnZDZZx9uU528fq53cWMlO9mr
Q9uPD1ZPCyE83Sh3De9ronx7M5Du7FKfwi2vpQ5ugNXExMQHxaHsjaPuyJu9QwZPpmu+GSsbCeUc
XRgpHqhJqlCRNmo1CuLY6Yn0B4wqzHgH4GcNDO2SCUJiMm9K4wbL7tNI3n1UoZxVUf/apNMxttt1
OLqHCnefblIw3f5EXubaEuNRJ5HFiXMYmvhHZ9jHuX3IjtWA1LglcKVxKTowIRCoaKpMZMRyfuNo
KfgtFN9PJYcrmSyvS0PqcRN9MY0xmnIxUOe4kNqHP1e0mGBb9RLeBLX/hCWCED5dQaD7rvNmX9np
A75Gna+X/5Rmvm04tRzPR+gePlklla/CJRfKOs/0ipU5V8DiEniru7jIMoW7xR1HQ71FhXI/TTsC
6nRxnNKF9T5FDGhGfcIp062lhvdMGvs2b18cn/gUlGQT3dLac63Luzoq9+Z0J4PpOhBnPYV/elB0
pXyKRaItAeT49qcNmcAM5vO1LO2PYlkZOGqC4cWnn8hexEsWQzmhq7qxGu+prYqLYcWvXXBT0Gur
X00XwYwpnVg0qejO4cWmlbehe7ioL3EzvJbsSU52bx3coXjU5ROGNnT8qUjwURClufNmW0yVgmB9
Hlx4161TUA1Xz+9P3kTZTFRsdKaPFpTqYjFddpGZCUU2yZ3HEdKI/COK273LhJs2HrBuemeZVHvo
N+GaJ/qsLgIwj7Cm5qIzRUsUpFVVX3JKlrCf3DG53Oj+uDkn2ZJESzuLnse4uaGDDf8jbn+f90y6
3zwie80UTRiB161ucWtw6xabErXCOrRkttFVL4pKsw6lsgOqV2T4h2IiaT1a6Wg5/fAVy5trd6eO
9yui/CeeziPh7BRDguaTh0n158APn/z8afLgpSaDP4EmSgwMQR1ofXjrueHjn//gz/sJGxhxXdPR
twYD96ekrVv/y1NCHCGukJ4EavZRcqfpMNgC06JGumjIMQ2Dpz/lJmiWN3E2vfI03seLOMcMLgM5
6lRMF5QcImymPCdFFmDG48axg6eApg/bPPRNeIq4sypM1Cueyk+mDF/7IvlzsQ5RdZNSxu3iQBSE
lBYaTRXe9DkCrzYaZyXEm06Jgk96Oi4AsZNGZCXQrNQYbcQ+TZ0D8qZa3aq+W2hIBNEdgHYFEC9L
TMBqlxkb2x/P85JRaasR4RpoGOw+RoZjXysAjo2yvluNIhvAySmwcg287AEzwyVsWUQfetm/I1U0
cKlBMGtPZKIx6pE1fZYdgV+YSnO7zTY8Pq65ShjPUQLPIQcH5RJsSCml45Gl4YtX5D2oYTRCDlkd
oBV0tuOYP03hJtdYuqSXGs3cOcrnT2pg77oFrnd0jJALB+LA2XYalx81Qt+x8drS77adRu+r9bx1
OzgIlYwn9IgDWDdYP22epeIVrk5W+FtK/jakxMMMQBG4I6sZufmfSyeInB2QvfnzIWRM2CaaYbCg
GhooB0dzD6EOncHaoVYexMSiGQpuD7iKnhWoCvq9hMaoVMhx9hLgoeDcs/5wHZr1aDT/MWsmpCjF
oxg54DpIkrpkgpqqmAxUz/jIUHZufZPZYqQeZWVBs6R/+JbS/U3kCIbeWh3dpN13zq4YvHKjMIxt
w4j1o3TQ8Bhm6x9s29mJZcivqbLWreH/HhOrPuVSizhZGAzNCA3EVZjLp203gnzo9ihRTG80YqS5
pE6zSuNgnUJopkXzTbXcFkj3IY+Fs6340IiJ5bia8fPDp8UfGO+446GwOj8mBig2FG5q+C1XM12o
SW9TqK+SxazWXNiYDCNxFU2ztbz28Keklg1ergZItFmzaSjVN75oqnWumbZOc274HH8JMtQ1F0eK
KrqfhYYfzCOD5uuqQp+pUHheBMrOrzJtT17JaOLC9pxDTftB/+XV4CNpRybQUXyCs6e5KSALswbE
MOfAp4XKRwa1TUqfOxGCMcTjGkI4QuVh9YV/1Exkal4Cjy/Z1RwlHzTqSs1b1prBHDWXyeVtbvCO
n2PNc3oQnq1mPj3NgfqaDSXYnpsMgrTSmxIR1sMqhTwdNItKzkC9bxrrNxfaOmZSSSFcO4hXjQ+2
f5hYKNlMc7OFZmkJxIeu5EAngvFSeSyKzeiikLWXTT5W2F7CQzdMr1Fs6+D/eNgWiGFi0+Q39fQZ
dEj6mxSUMwl+E6vA6T55l5C9rEcsSvvGPOpds9ylvnnp0NHsGUBoo0oMVnHyw73uNs5orXZok/en
6hUrrtiENgUicb9dBm4TOgBjGsQWFhd4VZMsQJ9HTe0rXOG+TYZ/hXHaUDUSu9TZhkSRNWT1r5yo
7XaDNENKOtGZFohqINLpJBUvbZ4cMLzgXyzpV+8JS++H+kpUes4st6ENjNHdhEy2oR9HltJNn7Uf
VoywcQ6yezB4H19d2Zxs8y6H7oqkj4RiKH5FTfdKq2e9w+JM3lVKhvZAqkQ3EyNMh+XBDtWaqy3c
Mj5AjvGbsRHTJxtMz8IftBC5fGVWXx3tEEh9Gs07SHeYs7m5i4vg2SHn4diCUY5e+Msjsq4esXpg
18HkCBe76iIOH6J+sZHk3GuCYRFFoF2eex7Q7FXfgwXY4XXsXVLt5VjKfUu6rzThRqtlItpndtCH
c5OW1W3XReemwFgjDJvyovmmMYxg3dkx7uY+i1ChLPUuEqV103fEqFtt/bvqy4eKJi4kHfY59cp3
A4xnXyfLO0Siy2eGhDvF8B7qr012yHyiCJVBezUcuYBpmsAuHbIVW8wPBVF7AYmBPAYseysLcBpa
npSqytt+mOiOoFmAnHOTI2lEhQORaPowhcZM+r2/bFozpoRP92M0n3Qc1Eh2cAOj6QDjbN27ZOlH
gs3K8RyR05eK8TGUfsAoO7+QHDdvW+PBNOKP2bMeAFsWGqvjjLIDjiJ34TNKrMLcLDbyywodivSR
xjb2Vyad8aE23GdGGOtsLMOjaN8SO7rDsewBOlrkXLe04ZZGuPORzuGSYj8bMXyNsclDSWBeECl1
KL5r7xo1303KKO4cHvauPzcnZaYeT3yBuZZUKXqQX9uWGhjEivE+p31t1YxWDNilUU8RA+XOd/kU
j9u+IOvG4zAYJxtAtU7w7Em+SpWbKI7ZGnEpXOJZMAoUWMkcmZ0Qg7KRUoJJj+b0Qer6Y8A7B0ks
fHT/HYAzqtb4DYB73kYHHbwPoKn6/kkQsn8Xz9NBFnNyQC/zTLsriR1odWE42WTS0SSf34K4tHaN
NM5z3UxrQWlI1Xfzthl/LZBB27jgsVeUJaeJOiA5AOlNuaNx5c6W3V4tlE4d5Z4EBYTcYq2fcEmN
z0lbu1vPmPrtZOblLqnxpGLVXpuepaWIwW3cSCYAsrHnvrDOef/JyeTdmLQflWG7W8Lp2OFYJLc0
aLYk/9wtMbrx2olOrkL4G5Ud3pA6OiWEv+bIEFdkjbzXqnuxW44dyiLWqOTUzu/aewBDA0XXfOSZ
Wu+7RL2F8K+Hysh+YfSKTpakwdWKlnU1IDyoWkmVsKOSR+W5J59+zwniiwHBO1PoSCFbf1L28OXk
6W+VW9wxgULjOSkUMNhSku6JGFoHhsHOt0EufuejvFZWxw5qS6y2vndf9ukvdgK1K5qoX1PIgcx7
iRrigitGVugXyiPJLWKfGE6Oyp6rFOaiymkyR8mNs6NlckoWxS3QYy9O8n3tJv3Za+bDbKqIJ710
Dn0ZXNJ4XCsdUgUmMe2oZHW26dTTaeDFBAelxR7E0iNBAfGvRMYnR86W1oRraVjI6olNInXdhli+
8kNbcBVDMgIWUtjd4avpCD4SJhHBiDpusXh3VfGhfK4upPb4N7qTXt1coyPJvwOapnU5KwAHqE90
U/tH5ZLeIZ/EHw8IXWJ3WpWjg2+XPHFj+f2nU7NsxXdI+riL5mbx6I0QYT5u4K6oXXLxGeVUQKnB
wYkezME+HAK4v5jYxInY0U1bM9WH04zzNdXcY632BMVUR9nLN4rNFfB1IxDSfJG4Yhys5JEBCF9L
Or2kwv+uIQoQYRAmaxPglPQUxbjyigDmtvZMur+XwlyTakM+yhzgbW6f0oauD65Bpb3qse6xdxJp
niarZOobf01Ld9fPSJSyMY03vQFMUmJfbjzO+SHUIq98hukc8K2a/UPY5HjOkUI5aQ6CltzVpSMw
epSfkv2b9iz74EryBQbnp4txNA8cg66ignORlJ0QE1aGebgSs0OOGACeGdN3ToV4RzMYimUok6vW
CyNWV69JnH34U0omqro+2XH4Wy+0Sf9FxS0PqHnjVbxd9k2jz77GhTlLVldtNqc4FEpoTn5sM7zO
fYjMb8bR7nMoUv4wWQdTdCe9N/uuPNY4s/U/Mjb1ZQzpAGyKm2HIv8I0+CaM5Mbx8ttxeHJnY1y1
0n4K5x4+16gPQ+iNJ6egT4Mj891t0/jWKewj5T85GjmeX36KfHnEmJ9aPFgljGpr/J4t+TJg6dgh
KT+YLonUVAw4K1MijrVQ8RbBcossOiTzhnuI2/4jDluaCrh2qUvoqmMqiTprGoPtDxJUkAoRziRl
6f5HYc6fStTihPnhc7ApQMsbsvPqMPs9mbWtmQOUwPPXZM4b0QdPdm48evSAJnezDJ6yCnk4qOrF
iAto6PrS09qJFnub+EArxg6Z4rXPjSdpFhfaC+/iBqQhAjXO3H0QGluylbADRz8Nhbgx7hTdBl+G
3ZXerjnNbnwE3jhHK/wQ1qFw8Z5zevEFvf/XrZYY7atuN6wYH0MWtgl4dvYpynH5RSNiGO4J+oyA
FZ2nKgNXxWv45DIuWu8lTUdgyWS++NWzdHEN+Lq9fSHMj3+Tdkqu5GSlQaM/5Z2oZULxars42Nv0
GBGEPtrDtVM8ivRN65sp81u5c+Gp9O8rTuhVaydfPHPXDtXOKHo2gy4srWE6Y/kox+HVDdMPx5i3
RA/tPYPVwdNXkf5Lk+7Oct0r3Z6voypvECZhZeE6a6GJCL0GOvyJx/61a7jwjTEnAWV4NcSwIrlp
o6bl1PGkS4riQr3Vjf5GzAED8AKUxs9BIhH7sL0XwGx9higoyeMvMdBuAHgSls6TJftX7TdmNLzk
nB54VKAI9JW/eHvVuI8NOehFotucQAW6E50BlJHxiiIDVrUI3+r5qLUgygYog9T6EVoxb7c/CCju
+tB4RDXWATUJZ3iNqDFQCz5gfrrK6G86k/pPCu7rGHItU7+nmnGBRe3cZPW2zJ3gJE1migQuY13r
JcUa6x+bXKchohXXy+edItrotpDLwWMqsw20GGbTvLdBle1rjHiNI1GGTcYTEX1XLmPYs2j+WaL+
e5iqLY//Q5j6D1iFkBfU0Pce0TRKoFIUL84QEWU7a6nl0m8cy+61qAPJt42/faheC6rOMgqPCW2I
C6p+io8lJRaD6fqn7+qHCssyVh1ujni22f14iLNGgjcC3x0cl+7DivQBxc+Sp1F/wZ5/Pzb2TViU
ax6QuHUxHq0d3pbnexsx8Hk4HVxHTbs7KE//FEOaICG+GlnPP8rHnlKYBiD/TpRe+lLOxsuClItr
Cr23AKGpTXlnCfWDteqt8m1oDAvzgq2am7EuLiWSyioHhg9yUjCs5XbJtIsUQEXN6s5HMcSwiQwb
5nTbFAlumsU/WLT9robSqh4m5Js0+vBILSrUESk59TUZGon/juKQLkr6S5vgPU1eEUThBcRztqJH
4ORjSQR334rKOdaNsUdhf+dnyy7SdsRiMXBJTNM2I7RzB5Xw2fbdTZunNMNBHtgOiSeR69/qSPO8
yV6EwpKUd/MzrHEHbcmGqn6KqdxNMjrlMVpAa9glBVrMqXt2JvPsTva4L2T5rugdts3lJweC7wn6
2o6ojJEPk9pC1TH7SVivNfbTDcg4clbiBoxNeT/lEGyMekk2QdAfZomTrwsJ1iZcKQc68pdhnwnE
3oH2enlqozoC18PUe07KfeWsK4tbU6YD2ifn2jrHdszZeAH6DPkukdxViuNggMakW7vxDNxclBNK
aqV10Ax7EaRefeMOnANd5ZwK/k/+YwglqD9Jn2jFIkNhnFdNRegcXoY+pGdmzIgiku2tnK3fFGOF
KWAvcXG9Unyp3MU+dljiFhMdDZE9NU75GeVXy1JvRtySZzAg+0nwu67JQUoNOAPQO4WwOfQDtLhx
/AvAEBskJyGJc6MENQr0zGTNZO5DbZD5pnEzDCDYUg0uUe+yeJ2DkUUH9o3WqULu2IXmJQOYCYX5
Wo4+13hPvpDAPUyqSH7nyZoojvTJHvKX1kpf5zaj+SrP7urk2Q4jxM/iKSUSO8DsOdccnW6UXkKG
jFXlLSNmBvQAaUBAUj1kwb0/J/OpbsTXBNVIxgMvW9CfhZ51LHf9VNH7N5tErMfeeoygEUgMJHAp
z1gVFGwVuzfzXF/9co37YmT27eyZeOpA28iMT3d8oafeX0ePseliUgmi4+CBVwac8VvhPoQ2d0iI
ojKIPswiTxD4EDFsxtMz5VwKQUlgb3X+1LJU1yXx7W2fs4vRLbLBWg1MgjV9hssb6PlcUwc2rIcO
UjR0Sc2+OnGgeF7wwJzxhZE4dcBtEnGl4RnA+EDDY6PoxWAzMNTjQn7PpsqMlsjNFNzDnAmlLZdd
LNtUD1D1OnGbX54DT9zQ7k7n3nqQXArNPHUktxFBirr/ngjbaefUaYHguvyaQIB2owLsnwf8oiKJ
L/gm4zMinl2AZyS0/deE8D8U5xE2PqM7SJdtEa/FS5uMV3JqkzX6pnVKJQ8B9Z1j3zU8kbyo/Bon
LpdBGe99Lz6IeIEnPDjzB30a9NrJ/DNhDXfygYy7UDv2dTpVtuQblswb17KRQuVbwzXem1jsHYL7
iF4V90Zh/KRUdqvJ+u02S37srPnZC+ItB6Urhscgy5IdOfAEl0wJFUKZe0RYS5QekqvuF6Fut/6o
3rIABDZrQQRZYSYClXjj2QM07y10/iVLEPfldvHe2yQhxko96vGoAOK1zHNPi7u01KGcOHwGpq1k
aOgjxLyNd3O78MCNh+UtjS2s4qxpGH2Ke7Pt2jNhJ9caUkeN5ghDG+Qng2MXP/VNF6dbgYAbQAwr
Zy3630v20knDp9mJ40kMOgInOS8JasPC8wBAuccmqtzAp2C6kwLHCX+o/dofBIreSBkTTpDwXBht
4CjQfkxplI2R4tgChGxISDoTE81Igh4sarkIXZDpvuciLIvoA6DjVvZQsck8H5ckzLZGkAhwBw0u
zyNQZU3Rc0UWbKZzx/xpA6/w5PfEbprzEm2sif4H30P6FiMxaBge/NxP9hOx79zRg7PDOoKMHZUz
+aSA0C0xu4aZriqMQcJtzUM9zp8O3xKG0RRGf3g3LILn/ghN/58kzP83hfL/hwJkame8fxvvcVHR
X3VG//xP/qk+9v9ByQz6YY8agsBCg/zf6mPT/gfKY5S/PuVWOtwDZfB/Z3rIf0jJU0Y4wsWGD1j1
v9XHVvAP/qbgl+dK4gxQR/+lNv536uO/kuilyQRA0kjAW7MpmBE68ONfJL/Yrma3p1t6JVs0u1G9
NylkaP3mvolp+/r3CuO/Sl8k4SGBi6Saciefl7V0h8S/vBZlZZhlUnBicE6sMen7MlY3jDc8qUsc
VQXAinCbp3//ouZfAfj/fFUe2MSfAGQJ/ef/8qoRDG3QR42/8l1Ed7GFwxMuIXRiKPf0y1LqRMjN
M8MRCU7TTVuSPuW/jo311gZ1sLZYv/6D0PrvJPp/viMf/bjJ5UCWy/98RzUqmCJxO5w1GKAAN3dC
Bgf8L2DqaYxVhVA+qDjCgQb5XQJt/4cP5G+Vt8lHDwxFShR6MS6yv1TeVSjtoZCtv8qIUyLE0iFu
2zwtS3HiyYPCrVtuPcf8ccf0WtbWIfNj53YQzs+/fxv/x8WAL4OqAM+0+FroVvtL9R4EMiNgPOfs
8xxEuVX+jTxw2jr9GZFpjM1ezFX+n350R2fh/A+JOwVhtuSVbX3jed7fhW6ZHGWc15g8gDCvaeCS
Xtw2wb5BM7h16oQso7Y7l8W6V2fDpg5kRIZJWEO9NitMvb6tmPiChie78wLVHeAm7vVBnQnGbHJh
SpN2FdmNB8QNDcFYeUe7qV0OGzsOslNjkhIl63jjLCTfo5U9k0tNzyX5xJMRAqnHbAdK0JxZBaBL
MRO8q1DBGRaGawgRBUZwnn3E+LO10NSEkY1NCfRL+gejH19MSmEQEN6WEosz6v0BWxi27nh0mlXl
txjN4k+QcGTZtCRwGluPPLXuRhfPvzkb3m6gP8dvyJnAGzfQPZpSJb2znObUFF26yQnz3RrKv5sI
N7gZTYTV1FVAvRN+sKNB5OwSArCBH/0pG4TtYmm9HRIHooUVegqneVxoBtgBfwf7snmVTXZbA8Kc
pxzJhjmybJnwPmsmnBxTqRVuSBQBVo+bD2eBPMrQ7a2g3pbtIoyrOeWEIIPsQ44vt5Wp4AObT8/P
EEyJqLkLy+o8J85HF1Wx5g/ai9uYp3nwidSbk/MoU4Tjc2WuM9O+j1DP7pP4ezD86SxDDJgjBr7E
DKOdm+UoUUgxaXtFZuIITWGJ8mT76cMgx9sQMBuNkmGdOjOE6CPoKAjVl9NCYHeKDV0489ktfiHw
GzbO6H1MARGMtTQ+Cb75YWFFgWrj19cypiFkCbTxJzIbIXMHGArQedW2dQ3jDHPXTGx7RP4Fke9a
drzsTJXu/TTxj76fP3p2au9CRb5H48Yb0pAguMFZzL4lhBMUvasHFirXZGOSVGj3xSYoSLheEi62
2MxfDQs3Gd3LxqbPEWHiQCGL2Ey6lSf75WGOiKWLG8NEo0CmYGmYKHAT2z8WNYkjEY5wYgqII4lr
7KFcpzdCELYI4o/4H7Q5COg01e2W07Vlzc1HGCevD73dGGjBYkvxhTm4BMIn/W98tZgX7Au3Gclm
nnPx2v6OQtf67DRjdt95Wys1qTsQkuzCEImvkg5+4e5CGExAhpr4CvPqLFxvWtWYBogbhbQQLm4z
AfJK+DfYdFxdbMdhHXWB/NoOPWAev9Pz2pObgREl1gKFCE83YH97ay4EN5gRsipsC5TsNRBkddtc
7BStPN4dJK4NUlzGKz4Xv9q4rZzXDUlgG1/G7Ab9XbR0IdmZklWPwthpIrXWK+OMMNU7o27lJSPu
VBHfsQ9k8RTLnoOhMW5ik7daKPDZOQKiKpPqEAEDrVTPCjalTnlsvaQ/iJngZRmM1ySuigc0duzi
ESSPTzFzLyZYLbKeSQSX6pYQUJQ3yIRCm48u/tWYst+Tm9jv2o6CkBKhzYFHoLWqQHTWqZ1spkI6
29mjZcLunLPlvYNoGEdn1lkH1JL/goBJ9riDfDp0CBqup3sPjwFrZNVvu7Ska6XHTT7nsbvLkqzc
TCPkZuzLNfK/q/JIxAzp4OLyZ23K6CPgogJNccta7ZIku8xTTPi9B4DSRv2tWcb9vmCU3lIkRpLF
gsOQ6ix4/8NQTx/UJzRQ2rsOz/COQDk8KCYitOrZhOM/WdVE+YJfv1mm92E5ELm97un2UTb0hKTv
K1pYTHCmIkN9G8XwHzSmgun1jrGNhvJoaSE0AX45lqPyDY7206wW5MUVaFWW2zZrhWFsyT4hbAfF
gIkDsARUIF4C6e3gZmdXzbclxWZnx0Tn2dKhgW/ABiodulMRhC8L3x92Ga386Tg4lgTYzWd7KkKc
6/oncBxqaIkO8jdw98hmgvRh8VpqKCmzOPhW9lZ5bYgC9x1NIjFGEnNDZYseD5Cc1nClRFSE7r6L
g/Z/cXcey5Eja5Z+l96jDNLhWPQmtGBQBINMkhsYmWRCwx1aPP18qHt7um+bzZj1tndVmVTJQLj4
zznfOdeDu68c49DRInkpeqx/ViweMtM/11MR8OgrZ1PF4f3kz7yB0vE+G+PoPKAkMTJi2myk+gKE
4SEaC5Az8GGcmWU+gge2Ltm5jg6uZGhpO9SM5EEp3ifEk391HVf3rkHssXyOOYw4PZpXVh20DMDA
08Wu2mDvaP9p8dyNYfTlWsn4gBvCD3recknHLtkCvkmR1S6RYd/44+40SW569cgON5V6uNO0BXYj
BlbPiA7+0oLYtVuDrZKU8MgGO0AVpjRB0mQQUrLH4BtRuCnY/SdVvIn0yOZNuW6MS9EdFHfDvtkP
0kZP68eL2Yh/nBT0IiowIr+MJqz6OsjBGS9fQ7rvJGiSjYbQxr7gpCiEFscrwVOCqYotK0O2T8bx
scm3qWfq3dI7rDIAtYo0W7AcJnw0QnuYQdg0mt5g0/9xM9YWd/GxTiXPx1QH15kzPXPMpFvPZoUZ
caSh2ZefOXHenWFTCFH4GOfB3oE8k8CQ4agk9iAxz844T7iYBzzcQeEgSqUoV5gADwLfbtTvGrws
e4SmM3WMw1lPLCcdTrSkt8n31sN0mE31ZOt6Yi4vrkQq0z13iJNVzeIwNwBTbGrpd850MbwcxEOH
iG5oE7NEEexrsOTQRhPx7ImI1yaTh7yfQyZ4HDawUUOgcTBwDLm/ZSSBlcQJHg1BD3JmixPMmOcC
TzPDYxxlJcP3tg7J6PmfXZGHcPnCTdl64d3oWdh/0/orCV2M9F4lNxppO+74AfsmvueY2Z87AXgD
euYmTS18usB5gE0bb41bfBf5CHFXd69RWMCliiuJV8/+SpnQ8ZKBQMrMtD2auqcbVXhHdF509baY
7S19kBOocY9WhWGtPYVduEsuaTP/7nC5AEXIg63AkTpJuMhWT8Shz9S9OZW48aLPcZHr0kjxbBMH
MIjuTDrArWMtbi+Dy9kcRA9R55P9FMzeSFApRpfCjfdRiRldhH+MqDzVU/cgvfDdbIDieIn3A0Mc
fzZcrbzXd3QqUVtvyGEfAEBZsbk+mezRwBnxHg84E73S+wnzqXrwIaDJ3pKrfoGG2BURJDfAvs3n
69HbaIaZHbjMgbopb2R0MqKg5Z2D3kISNDGKSyPr7EgkD4Qj887Wt1bGSBK0nSz8EAvCn0OxaKY3
dXQsCgOq1MEa5N+YhsyOdQ3m9p1H5kW1iGlGjx+zb+5VVCINJf0TwbMtTXIZdF9F5escZZ9Qn/GT
Wz8Yjr8kT3tpPujmdxSrP2XJFqRjQi9UbRHST8qjIipShuMmDvCfM9UGZC+YqGyL1P8QoTqpNNt5
92XKYp41Z6fndGinG4UlbwffYZcZxaPrY8EcqA2iuQ0uV3MPHunThD3X5A3cgdikZwDpa5v2A3jA
uj0oxTC5ow2KE/BAUg5TEr3sEN4w39XnJgBQad+6NnbRgQCVWMz1/bkcHoIJRz7Ycvh+tWXuCMiC
ytFth9/T2xl5cTadcUfR4EdTtdj3w4ObEl5i/IXLQGC2DMgT1a26Ggs5mCEyh8NgevBxFa6wkuJn
NPr9aFjhPiuLQ1WF74z0eY84P8vG44PpXxshcXjbPeT87OSkv5ig7pIMaU10PZpvDxo9OI0ur732
qU0TBv/sOvaubMpXrCavrqL+L7abL5+eBFYvLOfv0vFcXq/WX48BtTDAG9wdh8pHqMbGBsbV4pzB
daE9hgMgpK8GM2a8qfUuoe7E6+M30Bu7ViU/RCRdXtiqXxWyQXAvWLRKr3pUcZlxBI4b1J36klf8
EsfugDLGW6aAyD61ZxOgs5z6S1Vn28gT1y5W7/USLjYrAakE0b6AREdw8dJXQ4lBZmQcECoSrmhU
KyGHz5JLWlEf3Rnmtt/gKXMr2tA6fAR6eMG8xl0F/3IdgyUsCWSeTRk+2DAzVeReMwVqXIYp8tLy
BqGMhTTkxGE8m52V9aq1fo1kR90aZNlVRoIcfM+2HR0GmDHvX4JujyPZW41rFzNouLMy0m0L1iDM
NoXrOHSCWK89RqNNiXRqACHmRkIjLIeLeSnA+mgp7aJqY7wr4mrXFc1F+u5JW/5jhqZ4IFm3m6qq
PVckO4YporrU6Vp2ufbMoJlaD/NIPGUbp+Qbs2aJGgf+Phm4+0xL0sWw9jKoAG6OWDZjBQwwkN/5
jGUAdWCVKlTE0oFhiJf0NEJ6AvogiQwu2ZW0G1/itKWuKQzZFrvqUFTFzaeU+r4Y8s8s1AcVux4W
b4gefXLjJP8WxYAz7XBAlJLDUYYeLhG8On0H2Nzxxx2q0nCM+OJSUJsQxru+aePNGHwPRVSfo3aq
z3//l20zlEUImjmWL9dWdMfmYcjLiZsKxSL8/nad030FiK+xhcYWUnwRf1biPM7lNaKHTgU99CTs
OCs91K9FvizVVfveerh3cwYJAa4/U7lwBnMPN1tOKs+kS4KwTkt/YBxs20zeQ4jjX5btCymxX7/Q
V/iSzwUYWFiBKyxF5RpKoPd3EHJ6aHkWldN/yrE5utOH7w/YGsLuaPtc1OKyvx/y+CMKqDm1EkiB
U4bTskPkXi2CViPFHR1GLlvSKPctSUaNB9cCft+nj6kcv3p5DHV3M8yCt7Ex4m9Mn4ciexnWI1D1
40TTCr3Xfn5kpLwBzWjhbaGopEa7VIvrdjLqu2osg23TnrXZPQ+TBNmHUbe2CQ9LcTahJPk+F+xM
Wd/DsPNtTu8wQWgpHNDZShyzs0CqXBSQ3EUiwkt8z3vtMlbpSdkVv3YrAQa5dLlNksF5zKrojvFd
GaqtIclPl1MUow+qTRNC0wriKNiC1wuJLc6HwM3qKyybTz/0KQViveDD9RsImOiBwwpXQaQbUs3V
0eL3vupy4zIypaDPqvtKvR6pBZOaHel3u83XpgWjXlo4wgzUaN3bd51GBWPK/2lMPujYjIoWNUM4
sWobB1eCNbxR07R2monNKcwPaD1QREpkRF/GD5R4c5muNGlntJDGv6QuSD2RMLsX8jF2fSDfYzSu
Z4PgZkzPnYwnnp+22WNdvzLMussqYb3YiSwOcWQedUlLxNC4i+UhPJOLbPdW29/PaTA/OrW4jQRJ
d8Ke5F74dNKSqe22jrad/fysxgbrMVIXuzltRMNgb5ds00i6VqEegbTDqpUMWpFFiSDwyfano8TG
8+SaTR51Ox/5lw0GAWjL/Uk851fcguTtqIhbFZGCdv/g8JoaC5qvLR/8wdWXZpw/K1/c8JZepsL7
iHT4Lb1FWhxOFax4pTBlT1X3BaUJCUWik7TFp8AsDY54E7Qh04hhQ0QIx89QbnqNckPty8npFtUW
/nmGDBeZFspofwiTBw+1zrf6BxFbcP7dVzEPaxwzh7D30xUoz/qYGj62ugFDB8yhGb/CZLybRX8s
DINsOlwhKOgWb83IwPLUd1uC7NzB7BvLPpfr8nfh1vRteAsxglVvucB2lqLaMvrlzjMOPI58ZiEv
dKpw+4xSgHAdhKUhJRvM3xtufOgnxJqeFd8qh19zH3+ayVvGXJ105wAxm6YiV3/HxKpfrETal+X/
eiy+HW7ZRnYVZSrJYXLib6MeXVzL01XE02OUezia0+CgGDiw76TrzA8Q2SqcEdP8kTaJdcSGdmTe
RFYe/OBd1ReP5tJf2IzpzXe8a1xNxQ6s6NbOs3jNuzHEk+hCP2ACZ2PoH0I73Vb+aQjkfMV/x92X
sEYbsyvrPgJ95vrPlgo/JKUcU5tTlhFzVOijeJWL6bN1pbUps/mzMdq3qEOdNrlyXSJt8ASCIWqY
GUhVrO1w7yl2HzC6l1rFgHzC4otEEEcD3ocge+nPtOEkleE3Fcy3It+PE3WbveHt0UvfzYkZZIgS
POJI2zPmw+9dfqd5t2Y9xRz36C9/X9Y/WVM8FTwlsW29jgE2FA+qt5zxGg9qHFfSE3czAAAgE7Da
Orqsapfcuntqg/ZCqHwwGHrnoHPNveqnHRPBazQtFwlOa1xnrWKXyJJpBB2KLWnvUxalxMFA6l1i
g7bHJu3D49y3xLPum8RLHtOoL+7Abo+YjghLWA+GDl6qaab3LKeG1NIt0XV0yROV0gxtMqjOllkZ
wKGahxm8tlnZ5woIbZ1NI52pWUL+fAn0u4beFd5QHwv6I088UEdzmXHEmmWhpiFxTn6btGahHGFa
IfOW+P7qZAROeGrIGbTJSTflF4OlcjWx/G39cIn6CeeK9/mPbVvPnn0D0zjuuMZ9RgETbowGbJGV
HZyKOnmptXsyPM5r6ejvBJdeYjEVZCe6FdkNManP8b7v6nZLSIbqDsrsuLRhpR8FLdfiM6Kqc5fb
kdg4A7jM8AOOKmNu8lheq+AjKI5BbeQFNGzQiI4lyMAyjtVNpqdzO+f0WMI9JNbACBGr7R+OOLDg
ArTm2Q+ubkpPc7Z8gxFWponQTGkHBwTSpz7pWvE0hQOYl0BjkSswu1PT9B6nzC4Gu3pLk4Fao7E5
mb2ezr1dDtuQbMMitxZnT8Xf1kjiKRdcGXXE5b3N4Y1rnEmpRzFWiU01zmx88LiqNzVdQybsqbu6
xaUo5na7VGGyW5ZLVIoSvsywiZQUX6WgmiRGBFildgxOrfWOMavdupce6XV31KzT8y7t2G/TBe8a
UO0R922xDYi2xdanC52GP+QllGzWgc3/dTIoN4bRNOx19VsEOGP2NLN96OR2YzZ7Fj2sewe3bMS6
LT8Vx6oqzo/kgDDyqhPzn7O0lmPHxHC5LtOc45F9djsLB0BPo5BMvHmFv2Zn8ZvbsHYKEkDjChyI
3KQTP3sd/qqHNNgWE2PR0MgeMC+dRw7KhyDNXSygxFry2Nm3Zor9LRNfwnKPfqGeSAzbILDnX+Wc
YpPA9rcqR2icRctlwu2fsqzaKSv0V2tskmpLKQvGyIKqrUhCyKnWsFuxAFGnSzxI9vwiJPnWciEb
OHeQUHGF+OEtgK9p6OTH6o9JxJ+BOF7c6kazNo61dr4qxazGmgWGDrpXoCPPB+1yK2PZRYXzkwne
q9OHl5IkW6ZoASic6tOsO1gJfHXbwypqO9jwqYQytg4CzT9s2xh6eAh8gDdG2xC0YeySz8xA6Hpq
8NdQKFaO3BIzh2mi03sXMLyvlXdg7PlY0ei6tiKGTWZ5LEsmn3bAQOpv3e9/rfpv2gJN/P9d7nH5
rH/H/9LnYf/jU/6p/jt/BWDCRBAEQriOKVBbh5+m/fd/s+y/kMH5C1eQczGFjTD9H+o/n4RVQPjU
qMMfozn9/6r/rv2XQDxfFFPfclFy5f9E/Yci9t/1UI+u9gAgkctJ20IT/lctuvBJB5YJzukOq8Iu
Fvl7FgwQgYrxJXOzXatzzF6QcZH6gsvsqreBS+oqwndfifQzz5Tk0ESDrRt8DZJwC/fILuS+i3Kw
jdpyN3iusU9heJUDd+OSqPOqtLCceRrPSurhcimccpdlQ7Xy5uKndOYrb8J1OzJCo/8AAmLp/i6Z
J4keKFNqYpAzOdGpCWNw4VvbsboNQbrWQBlTtI+VQa/O37SNrIJyPqSHOaju65jBeBMFuz77GCtY
7/8sK6DnM9d0V87Gu3Lx/MQ1xe55bB79FnCZdp+jiKrY/NHwdbUZAnw+mfpGzWgfMrFUQVC73dTt
V2gG38Q+DCq1mXC5E5TJrDnUIKO9ary0sX10Axqm+4aERy178JA9Vwhvuo5B7GB/pnRz9uitQGVb
mSALuQd3lPDZUXvMjXlftMFvIi9qE/I2DvOKzE4DngY/Lh+twXHObbErCyw+ZshU1fCjc5sRa7LH
eht4YLxG/gdfxG1uS1TcSBGD9yAjq6tFj7lEotkWRVds9QSNICgHIqUNJYvwJ3eBTK5jiCvfTeGu
mMNwcJRLsYZEGe8rks+cRW4eEtYUtj+JApmgmr7c+F1Kg27B+mi184aOK87jXYfzTRVEitguNwFM
+/XNyiVN6IXV7WVm+fdTT3mrokFvUs07ayxzIc03ql3DP/bxYG39LAj3DmTdF+mTmuqMg63nu7qQ
r0qyfCYDYm+yZBMlKcoTW9/OTW3/sQmohm3SkPaqykVojZqeo2kBI8u1qAdtXnJcVA+1igDfDQ6z
x2E4Bm1dPjGov4roF97UJU/FeFr0hPvdePo1Ui9A4Ss197+M32M/vc3Ak2BsjW9hwH5o8mHEsajR
G5Tkalfed26JfOGjrLtu/CwDC+ptfWbyqNAE2L60ZdB5TyM9Z+ojWK92VXGyvNNV9SSr/HxkU072
/GRgttswZwxIIl9OyzPbek9knVIx3PUQEgzT+OncblF8uvU459GlF4MgioUNAATWxgfj8lxZrkOd
Y8TYJYrWdRAnPCDNQzjm3HF146OQ+ivTqfLHaoh/K9X+hC2FNz2wr1vvY3mvOHa3UtnrUFnOW9ox
GbBJ111M7ljVMixbOBAp4F6GdwyHK8mgTxEVo2eeAuveTMJzHJTui5L21lU1A5JfRulR+bL43iLR
Z8+u2/2ZbZzzU8QKlOR4EKNlGydATplcEdwa0Lpra3ZeRs13pzvrblSVPoYSyctKtblnf2cP1E31
1Yqac1B3qdsA1kahnD38kzOckZCEO5sls03ZSYPGNE615oLn94MA1HaEFGpBTD1Gkdc8xx5i6t+v
LBf6OEujtXSh+jHcIx8K9dkz1H3FcTj2K04DIdg+RnfUb3MfhCIN/KAdOmh71i8ZuleGKtB1Qfdx
4sJNauMrpiX1LvdbG2U1YJyvCG7OFlhAQmrbXDXAFJkiD2n/pIrOpDKPdAgiW0wEhwSDWSzl2uZ9
6KgO+G1wiOL+qR79YpMqkiex+5Fn7g8D6V2fF3gNp4M0+hfhRXxWiOw5OLgyO/S7SXvJtknmP0Qc
HzrH+lVE2yY2y3Vjcd1OWufDn6uXxAve2hYyFMZRt033ANOPponltCJ8vRb129DgXZmETLeNym+M
Ig9iPNqpOttQUlZuLWmTz6InU0DT3jQBy2ZXO2TS1s2+v81O8iJGTsVxQpMpg6+k4BDaxeY188JH
z/e2XupCaEs060K22BczT186J9u6qAvA7L5FhaROVY95qApGDHOegU8h4ORhdDNg9XDSBxbKsd+v
mce7hbWNLPLXhAwNxzTJTRP2HCP3UNY7u3EflMdaYOQnywTar93odaSbURcz7eXdcaQCJsGDRFC7
+lMp92XQ7q70sXbYzoK/gT4HTB6TuW1AknAN8JJUFTgxFhGjPudh/1PqJe06c9+3h4PO3NeQ2kcS
YNwgI+cT4/rH5D77kHXwh5j+qtEUZZdd8GD1Acf5BvizAyA/nAUneXqHxUAicGzP44QVd3S6nyKi
4Fl1vFZgmggAvFuVfh3jBHJUL/B/cjlmlnDV7nucj8tj5N3QCPQWYSiIXQzd3R+wI3yrqHowOvsO
TtvBn0acTiJ5NO32zVxmkPAiytQ/ePFwmh25Doayvc9mfUwqyHN57UmgOS4d7uVBp3I+2lXl7cXo
X/vM0DdnJrvCylnN91kDyWaMOZjHPpQXxvjRhOokdPmqquCipBFv1dyjk/b+Rz8SlQm5Hf/hjtUz
YgvIntbVKShpFQ4N+VBQPe7SNbRRWNJ36Zgd56iAL6xkTDSsuJ/M4Vc20hpMvZg7l48OJoOtJedv
S8dPFvOXTAHcKMfxZQjTWzE4P1niXgPjcdbT68Q9O27KLQYYrFaQKGGCFyGqXNvU3oYl/5y1gTq8
2yOz/impuew76V0JO4acKG+4SANehCVNs3PMz+0xRvXct3RZ4nRWMJpzqRGPIzoJC1JUjJsKyHnU
YafATugCXcZHK/mrS+Udk6bk0AzIYkyTwqnpDmHb7uOMR8dhzIWLDOZ50JMGrcb9aE5vfoHAEQBO
2DQDn1mYn16RXQdreokZzm+Cwbxxfd9i+SIRUb/GAOlA4weMJtJqZ7rcjbCbHzv0DeozzDvpIa2F
Ef1UCw6sAfxSxM9N1shD1gcvGWJZF/KgYhCjPbSlAd1HS0itm6CyDppkIAiXV0x5M/eSSYA6DHo7
RJ2d8EICxWA3QghSlZl8DxHcP1s7V9vHqTNPHb3ZaQv7H58+FU5i5ersNGSg6yrf/clc5MHCnME1
BzPrgEdBihNQ1FmlAFR15+8cIQ9T4mCMaDgR1OyEtkRehhX4t3MGtaiSPmvcS6LUl5X0zw2F8qsG
iVnA5wC7j4UgRJJLG4YeFY0VJPaZvxfOJTQZSaEAvApvrp8c4Cu8J/TKsodXbn322Qw78HfxycW5
ivyYYibCLpBRZTAel1mfkf4WS55fVQu6vSDvHj17c7AlLP7wt+NgFD5VxjkNVZpQotfRSE6/0qEU
xFbnhPP0Ytzv3PZrsqH/6+Dcmu5P4Qf5frKx1CQkvzozv5Y1Pc61bDF80irpIBubjhJHGj7ux55p
WUwMhzT1Y4Nlg1gdxgi4cMc0Fn9EwYQklL/Sson3dpHCVsj9B/IxW4BaKE2da65YDFeBjj7KwP1p
Xc4XnPYOMV8Ar96HkjJBSWeUVRgCQHDlbouMXg4zWXZGh4GsWaEdNvQnbYjQj4yAV2Y8w8bK1bNX
m/kaBt4hwG64Xvhv+RQzMJySI5MJ7L70XMzCpCMHe/bOl2cnj7pD7ZW8Rv58X0Ho0fgBW25F97xW
d5nJLSfq0/PA1m1FQL/Sot1rJ7v4DndyXp/Zeff5Xru4wMhSF/pu6Pg5tegufpY9elVHX6FTryKn
j1ae6qNjWC0Sif++dFX5UeDg28SWMP3pKqF2RKghaqABlINP+zfbVO4xDw1ZnpAEE4YdR4yRDTvK
NpoaAi3leBL2Etk1dLnBpLep+2RaQGYFmfKOWBkFLHufXWA1hjwzVgrVBcbnzSfSt+WHemMLeBRT
YO7sMiXRHrKwyYGzcPNQN813XoPYQF3ZKOw/a2UjESzIsWqREtNNRXrTLnqKP7sO6rAq38NWOUdq
aKkFeCyc3N4ov8HOxfx1EjaBXpyalWaTi5ZzQXCH1E0XLNw4amg5JTp1dRkbf4m438d5fQQac4h6
TuH1vNW+/skLGey0rlK6K5S3gbX6CAqLB0wu65987DykXUOidXjxOXVVv2LfuKZOfNA5c0hc7Q8T
4OMGTdAqiJdP1AYmyby27WrEW9YfSVo+A0kRm2GitiZDdHT94OKp9svv6wtJ22c29k0Sy/jiOPh7
pkCKNUYZCDQ93tRZAyXBZyVQwMDamN9UkgPIA7+8GoL2DThcslpULGvxWbiMiTZzTs93r6301Btt
dypBNXHbtTeeQNCzrIKwDb+7EQ8LhG1CoK24x34I1EoSAKeXcq7NP13nrwW3uBPI1F3RNsfArn/y
EMSwEY17GgypHPai797jSGcjKE0T0IgmGPApK+yjwQzANav8CHfXJrTy34YRPzDDFWsdISo0PaM9
BS9uDKKTb/rQb8IYQ6kD5x47B3VQdJogdBdbUxuvxL9oTKrQrU1v+oNQYgT9Z9VyZbcQKhJuWy44
yD1LJUeKWQYQoqiUDliilfB4DXIa+4IIjGUk+VWV9GDZQVptaOzeCCv/YJZJ5ru2zpauKEibjiy1
GjeDT+tLCtUPi2YYBMOlH/SDCNEEWwxffeLtZNGiUsE/NMrwPKNMW8T9khinhQCZ949Iw//WaRYR
D5fUxf9nmkV+tfmXadY/P+Wf0yzvL8sVvBEEgyzsidZ/1tMysnJNj2kWdhlbLr76/xhm2X8RUrEC
07WJX/hMuRqFj+Xf/821/nLgLxGDAG7FhdX7n0yyfGH+90mW8BxpWr7Jz2YRjOUb/decB1n2iXu6
4fJuYxQzl3IfeMFmbJNi79SAvaa+++ri6KUbDUSwgLQbNM4oJCEYThrT0Wtl8dYzR/1IcwSeVFe9
hjQwbkzo7BvKGgNBmGvGe7EBmGPgi/KNDWTrD88jFCs4yMmRY6YkR41bOAUAKZ7g3t7FFcUsrPf0
cFPOTtJylbVOR9UjJ/Yg/miLxjgylVjx459dDxJChNGXD3lJLPPOJ/8LJA9TRMTHtxCVO5M4MLYC
aPUlQcNg6T3MknOpmv1YaPvoJaVeQz9iqaztF0hcDiXoyR/Qj1vfNBrq/NKKMw0KIyvw0aMcEbC8
tRwfRkQwqksWu5FcjEc2DiQAI4sDDFNSVN1kBXpqMSulY0lANHmIGT4hnt46LwL30F4p42J0b7r3
PttqGu+idHiOJurwjJJxdJ5Y7wgNaE/Mp+zorJzs3uljrBPTE1wiTjKSK3dzkKG+2u1S05N+hXjo
Aw58rgXE2nRJo+W4b0wAOhzAqARlwjY1h9Ts72X55prNceyfOs8+dVXzaGHGGjFl9UN3zwNQ3Csn
3ClDXM1APdIytCsXP1fM3lYji/lOey4wfLnYvjB/oU+MwvsQERX1BFhS/j0s5cc0AuC8cIYxkZEg
LzF64SvzzQhQjyDS7v9ODSzQzV3tWV8RdjRmKBsTe5rmHNo0dbdx12XJIp2CXF3cbHHV3dfSPrgS
+uEAdyFOh3fmwVckbWrpbxpbHHmiae2eJmG+Yd/eDCUJV1oc9myV3qpIDa6xUjJ6sWCnzBnNI+oi
fAwiUnAFx5YHHIPkQJtuC4NzA4JaPrmbcHHyRbUkzUnF2eLxCxa331J8iteqehAYAdvFERgs4Mam
hQT/LB7DZTeD1jjsu8VJWGApzEBBmTGXQcTeHzPH/SB1TAXb8DCPCq7y0oaIP9HHpwj9mew8zsUW
W0yMk7FaLI0z3kbirJgco2I41VySI2xQpRyLS+78vd1+mhbg/AGvpI1WQ5899kkfHyWxjmBrhwwP
pPBfc9NvjjLt7/sQAlZrNOeuv7kOHEFTckjBVJOtOqdnt0o3jYXOA02/Tm5VUO3qmHEjuo6cFBFS
pmthH0H063dugvOiTq3nznyTon43pvHOZ++kB4x9keeHS/9Cn3HzzYhkCN6LStWQ0Ngp5RLRB8a9
5Y0f2J22gr5PL2yp23Ru0JDz3Fkn5XQyuAAv480M1oVs053FrA4N+Zft9I9l4NzmMlN7Wml9pIWd
aG3GD+1j78zmXZI8jlJX9xrj1YoduNqTfa+2o+ho2CqhDpsBvlmCQtshYhbR0faxn+0XPljNGk5v
bKFZUhTBlIJfkZUfQ5BI25IzC9er0ODqHywuoAyzjc3ZUnG/CmUP1tHhCv4bh+cr8TQuntXwrfm1
rroSrXleIvccIg+ThzZq8p5ymLksMe0XPRonGSn3lU3lh8rPW0Jl4QmseLkecqzdpZq/4hj/YNrj
qgs9XBtumYMcVndWiAVu5IACjuviG86veiyeZesEiFryEMw960HNiC8dwRa0OJSz5Ba24YRVf3ij
dtCD27nSBnoAhXgW4jL4/D5M9GtRZvFGy254KsH678YceiFBjksFKrYz4++aEVXvygemABIwUymY
t+TdKO7Q5X8W7h8nXb1raDVbgxqeVnZ510zqBrlM7er8KbaL8xBMt2QKPy37T1r5cm1oN7+UHKF1
Mu7j0hvJLo9PnUXwvIc37Td4loVNP0dFyrzrZ477yvzwM0xp2rQvpgZ9EQpmaJPEfJll44vkfgbw
3XL0DjbfD8RKxIXRvYq3kBjfJuoYaPg5Lmcuv6CDmm5c+AqYbwb7V+/Q862H/lJ0BLkG7V2LQNzo
cLkkyxYRKS46cSS26S8L92o5yaOl4eW0F8Gkci1s0XI1/BExfjvEi3kdc1HDvpFs8uQX9LwTpYuw
SyWvKinjecvMcTu4xo7fKd0o9mAeAd3dMdvFE52ThYYgGfUnRfqVgEtFCskh3Z5X7lctShhhLaO+
XD9SDIeBTnbnWubePu1JuBVW9J3NjNGDjsuzL+5TkC7r2tZXgp+8EVn/CkZwLO1bo3DPY4KL/EEz
cIPLS3E3M6KcGwDjsfhgx/D2PQ67QbshzuTiLPJqigZJPUXiOLeM5ooyqanno8AmmezjSNUt+3W4
sm0y+SbvE1B1wFZV81r4d6CGJFexTm8hp+4dh4UUXFq/sg1muy5YZdJTwEp4wZqD4XFbdXP3pYiw
42Y6vlXR9NvuY32KvA5/ecv7OuLr2dlg7CY/ZJO3sWyVgomobjzMTv3Bmwp/0/ZWus0MnDe5lV15
x/W7cKhPC6sTuNOtxY/xwIXlCyrpl+rLll5g7o5wRH8aXdXYiseXVpVfYJMwxImS2VOe1DDXxZVx
tNrRk7GdLX5YKHX1oCBYcK1D/MK8VgffccvWkME2lBqFKK7lI70Q5do1dbRXOZ1rRnzAltWQOm/f
/p4ncaD6xki9YaZ1hp1/51M/MNdxuU8N41dr47wze/Oa5DPQRZQ4qdoP08l/IxQ8zZmdEx2yTJCQ
nwgcUKTC8rUy0QOXSsTJhwXJn2KYFwgdKTlOThCmZkws2t/g236HoUN6hr6Vii8kuDtUrU+8iHHP
3VTy0Md42BAig03I4HCjsFKti3ik4tvC5VDRMI5ghRdjmNeJWX4M6CmxBQ9AMHFv2Tyixbjph0sE
y2AQnHBSKHxKgMnv0TDanibOjAYqoEeXXVU9ewNW4rKhTVPNXNqoQhjMkBY8e9xWFn22Kb129mxc
G+G82qm16wPntQvBgaYhJaKapqNsSu7IqSCSNCbQ58ccHiySlf4DjGA+s4xTcohrr+HJlvN4G+0S
8am2uExzoeoozYAwIcXW9upTrmk7m/SvqB7oeAnMV1zjSL+so1oVP1FIpiYw/w9357EcObJm6VcZ
mz3KINwhxqw3oYMRFEEyqTawJJmEcGgNPP18zprbU7fq9i3rbW/SyqwyyRCA4xfnfOeXxZXOIdVd
ZLQcoyB9QhsDHivxfpij9TMCJVMMR6MbsKjCAKfazilbYxt7IKeR6yanaCIeJ4iv2HwSCjuSPm8O
G6a81pWNq0jnvOWGsDd5VYOb0UgVN1Z7OleqL4kNqYWj1gj9rDI7mFvsA8fHwm6Lq3kK7uwImUTc
6ModadTK7RIC1oNiXlsTTJjBO4tlvFKauesahrurqA0aUVlbXQpn/XAohp5ltLPclSOYVX7xGZAa
gdbU4BNl+ayMD5cfieX4Jkntd8/F7hiJTZXyXQ1vLJ5Id2Yhu5mX6S0s7IvP3z4GPnwyeu2bZHJf
2nSyb/yAiizkCCbybtxVnL/zbD7DXMHiq0eG6m2pSFX5n63EQPVAu/lf9653ya+8LLp/6l7t3//R
791r8Jv2m+u0NykZLOOA/4cWw/0N6Q/RqSSxOZaAhMD/+Uf76v5Gx2t7QBgEEVQIwP5/Ayt+o9mE
h26aAYlbjhD/nQ7W4tf8qYWFDuv4HvW85bgBcXXwIP7YwtYJezFQCDBaaxhdPCA9zDZM/uACbUfw
5DiXEDTRWn4UzruLDp99WzrA436KprE61Gpg1cdFWwx74EMAJhkogbE6qUa3KoNotzWlT+mwy3GI
BAowq0OYHfd2r5jEaer8UOL1IB5arWzHjm5qs360Q2OgvgKrZTvTnRGVcMcme9+L6qpbjEODsWQ9
+omDHmL0dhZGww16jbtFEWqQV+714jJVcs3hAd0dOZaJ8zEWCU95aTxip5SHyaaWzgqsXgyNeL5h
vkAX3MKSlts8mudNnUf3SblL7OHGUVO9+v6jn8TzHIBzgeZ5MVj6buGOTtuiDfM94CcsfKSKEyln
YVdFx5t0JzfycSTO3b1AeFgPfD6mSY3VmfkrMJlPUKTbefYfGp+WmAUD+aR58DYULmKFKo+pG8wP
r3E/sMRsIGQnuOj6lzrC30FL/musqrvEWYK1HwMuyJMt8bsZEZ3+Y5th+WvHS2QSsXNkHWcRODMR
YB4GV5oO/a1NhTPYDyyrWnJlgtzYhVjpEaLZX5HCFpURYd2gBYdrHfnoTvoeWYwZPYNdZXPbuvcD
NkvfIM9NZpiXVEeTQyY2Jr7bvgl/BS0IpfG6XuglBd1i7+kkY5dBnInXtRXJbTQYztoxUxKgQZKW
ynE4BUfgcgRurGsh6QKxuYD0Vhtlu+eJ9DKnvrSJH296qPCbaWiIOilOkwL91k4uH06YQdSkB6ql
/QOkf95XDdz3ON1FXvChiDQeJYeyr6boOqCpbTL11pXush+CiC2uTZxMm96KwXJYo7kbLhScYf5j
2d2Z+vnjmux3QzdF8wudnugRFV7lebic8zkEy81oeh0vxVcJdmXTmFCWiE/cdfImbGJYD1jzNl3c
7KRAxue2CG5CETCRwcvWxQdP4dOEqsp6Nlf1uUkx33drPNudiPCosjSZ/DvKU3/NIpb90FcKrbVl
I0fnSIj7YP6MCL4g4OjidMEPKHUVqlxn0xVQR6hYxl2f5HCXhLNnbpAeKZR+DDnbs2YpN0PP8T/D
pTsaWuCLzHVHxjL56iMI7ka0T403/uA+flbhEp7aubqBnkuKeCVfLeVQq8XsXZqO6T9sX4KRBhTw
9Hik6bmPYYpy1I8QgqTjtLN0nx0yRfIIWO0ljTm2u49hoI9fUKkv8tMwyCCsDfYgZcNPDQQBrs0i
7k1LPdIzhvQN5M7ZD6VKb5tu2g558dJb9ERWCDsNqYKPj8fFdY1Utm/K1zkrIxrV6GuW3R3L34+w
mTk5rDLZCAqlcYTJjrHD25AE8dSXaIJcjGyxx3N6wjtVuTWetzAtNn5uM2wr+WmdFG+SEI1NLMh+
I9Ln06qbYxfAt6xM7NFIJijNbQThuDlLjHAh3vBV4Ruvdsy8ubOYbwCE55ZwxlNtvzNVhMxEq70K
ZHIcmu52KuSyQY3zAUgZbF2VdqfeYHfj1fUukYMNoG66xfbXAtIqL3003XmZZD3C9N9qLoCXBeQ9
YA4DFzVrEBV1L31DkSnWjbDx+Y+nQfb+ofPyA0GInwLKst/nb+MYHDod3tyHuQf2TbxaGjXVBwpI
oMtcx5smC6mv9e4ooGaiuqvkLVWOu0cucx8F6rFNaRSbFqLeBIiaJTOOq1lQdNvMTEqXvV46+NuO
Kf++dVKQikaqEf7stGBInXNy78lceXDLtY59Esv1HFchEm7bW38qtuw7OvUIm3RxIE6olsZtAbZh
LQI0GBiyb0wTaFZPoVTnlThaIHqJ+RCapBtuJdRrUeUfRT7/XKzgM3AokuLpPs1IxNNxkyDaJlRO
V0uU9echRuBDOhCZX5Wj7QIGNbnbcT6UZckaxtlhqfwsPBpVX2dplXg0bMSFbBTFyjJTrM4sEzA/
cHMNWbuda2T1JFHMm9zD1a2e8qgCvTbxSCyL8cUzp5cgY43fpsaT7ND+D7iQxoadL02XXDEqFKuJ
UC+pqW2sZcCEpJ/GVB4eQ8nafsyqYh2H3IqK9GrIKMPW1mCuQCO6mFc+gpzYlEEhaQDDT0yKbAxZ
UaAmwigbYmFBGoUZAxWUozFg4H2vS7hgdOc4DjUqDNwFPBDWVxoi5qrq1GqsWDTJ+xLOWGlzqDIU
8dhEqcfeRBEyQyVLoJNFnQEjVF9Fk8Cm4iQ0ARpmZmusmQnfrKVBwKM1HOGOXFpcQcBLaaTQ9Wk0
mqUhaZ2mpUFNg7lwE4ssv8ojFzpdG5wTCGt20zaESanbMNLwohgMWwKPzeQlxfDZYg1qWzSyDdfe
TQnDrU9HXYxfhHXqe3djExmQQHzr9XFAPMur2TFPLqHCwRG6dqHE+RMEdXs6KInf05TcUB6ssrBD
cwphLmb8BDBh1OA5EwIdsZuKLFOgdAjuH0ay5mHVpRy3Sdlkx7x2fylodlFhfJE4dut+Y+5o6CLP
eA3g31HvHVt4eLMG44kZvUAyyitXQ/NS7tsCil434FfK4p9DdfA0Yw/W3ghzL7LQdvhQ+Fw3fgr8
Xtz0gVg7e8k0Y9DQPhaAoJXmp9xiCR0uzWEupLurO8qZvnWfpw44hCp2c2BEJ1MZt26eD5uR5eNq
1shA0qw+WKTmK5Mh0i4Pm9swnfrjXLAEHjV0MKRjW9esIyVcDbfr3v1vQKFGFZKzt1ss4IWTxhhW
CqChqdGGM4zDrLdWQTf0GwashIx25T7RQEQEbnVGFourUYluDDTRugcOSOWhKB+IPiX3hJsf8GpG
TwdykfMGkgxvgXYPIT/hTNAZYyiNqcY15oxaVjYEx1yjHG0NdWy78BWPzYMB7ZG1Sajhj4ubY1Cv
kyMrVW8VP/QaE+mNT273jhNxRnhLHWBTGrPNYJzfvE8mviJXIycTL0JKkqNLi7oY5T5BCGucwNaW
IJcTuqRdBr2y73Z1BUNzhGpZ0mn5dTNf1QPAS6XRl5R4I5skOYL1LbWhVd3VBL6tQkxxCnamNc6P
4FhY3D76kDUXjdjkIH2WMDdFlD/qwWAEi3PRUM4+5uopv0GdsXjO+K0dBE+GYPcqkVfo+Qjd0pDP
Eton6JenKCaxvtUg0IY+ERVstA41JDRKfXPtwQ114IcqvAG5lb7nAyzlPKrPdlLyhMQWh+cuH8mV
gXiwihLchAI6qRjv66b+2cIsNTW8lGEP/Fyl61eMoKMXfJIadtXOPKvdX1j9rkcyntsQbyijr0oD
UhOETa1Gpvpm9piWzChQy2i+ams7V1IzVjVfNaWDX3kEK5VgWG1wrAQebfygvO7AtBY95jewrWn2
5nEDMkLPftXySEoWhxrUYAfaayHXSbSnAv7RaRaslMOmArCD9BtRHLhYR3Nj21qeDSBNrgd4N+gO
oSbMLgP66EV8NURlLiBoG1C0hpp/KkWeLqY00DPgagfNrQVhw/KFu08X2QmIycwuXhNJL+QCvZ3b
H26jM4aA4Urb+iAnniBsrpv+y8yBjQrGJdI0fyw9NF1k60+Sb2hcwuvSVlgpak6nFgRvC4rXF8tP
83seDKS30LTeWHN7AwC+MyBfAOR7Jdwj1GwyS6a1XvhVmvwLK0LyxHrOQQLbmpmEopgHJHKgfh1N
TENnIMKoUDvuWHQlmi9MVCbKkSg8VJo97FWjA64SR6rD7j3vIKJoUjEB4U/oHGICQzkrMqKZgBpP
wI0lkOPAgXZc+Qiva3dhn9Z/1diOKk1GjvuZfgFYcgk02db05Gh8VZqmnINVbkwwDQWgZdDjhOF1
j7UmMIN3YLOgqcyp5jO7LA01r7nW5GaD8mQC5VyCdM4123mglxEZRY3HfChv4D8vmgTtayZ0Ahza
1ZToSvOi4665pG33RfZovrGC8m3QbOlMQJlmDQrApHwGfLP1NYcamCl2mlE/K4FUu5pW3ceMzKgQ
jYKIXo2zFhpsHUC4nur8sKB7JOyXTKL5K9cobHbe9yNsbHbO9bZGM1UEjJ8kyiypQdo+RO0CsraN
R/Maj9S88xy11voLGqiv+jszaADM7WhEd6lh3Q2fh4+BfNYYbyfjyTsXHjIhuOCmvOjwPQWec7Da
qwkhLGu1H52bchSy5VHecezExSxrElRrujmYR1SHF6u0Nsr3iE+XF5RkX3WWcgeM6KLZP/K7w+qI
EJ9UmNdJh0l3OWsHUt5ekPshJ+uuUjt/tx3vpq6aF832d8rgpqFJcKNrI5DH3M7hVXyaVfUaIw+L
evVEHCv+q7hlItqClK2JV5yL7TIXJIgt/Ip2tNhsBFu/b7dhMX+0JldKNOEpyyFku036ldl4SrjC
kG1sRNUeyJ7/Mm2oXQnupmw0XsoFaXpF9uHCW8Dgj3DTfBwKRvk836fB597JvnR8O+STemGeSrAQ
7an9HLoNZBX5NjH4LK1uL53iC9TjO1EyL/PoP9rtfBzImDY7IO6T5Fd6cEJoe/G2EAFUIReF3gKD
yUWNN5fuupzIFDPTr0kJ0CPdC8ODl2ZYOanHAKZPdkE4XxaBAQs7POVXgIeuJAJPRS2BRmQVz8rx
t2LybhSQZ3ewcdYwiHYdbRfv3xd3ug60/TH3yG9QQItc7r+2eSFk6JIQYYQ0hhPYJmaz916+fw+D
45dvx5c1oj8Law7WOn8fm+KWZ8Amy2DQE5AIOiEFfAJLiSDjDuesB88gWaIdMbjvpGkka+XKC56F
rTt0u8gKzjaia+Un79/8K5Y0NxGjcMsrrtB8TSuYJl+pzN9Vr7a17x6AA6fcqWw+sPYQjtL2T9A7
3LOfIrjIIKOEuBUnSuSpWE5B2xGsvsTPRW6QSpvF2SokUHKFTzfZ1xSD8VzfLbAxamtSp9DEk8lQ
isFRZpw8k6BFVBAHkyEoaV0DulSB16fRfDlp8xDl6WT00c+RkNODXTDarohdIkLdGI61A4ne4eAC
tnJRcgh3LTMVL5iztyRObu2eJ8JMaz44AG/5KIn4IvcDh+BdCpt/29ZUPrPTXhsdenij/BB8P1uJ
ZKnHObkmjedzDM0GxBBTu/niLM+x16W3ECIZJbDasfehDHLGeCgclCzmTS8HcGvcmc2Ac9wxa+YK
5kPm5fPOGJ3nRGGTotyfdvg3EFsaqEL1DdaPz43RvhpZgQp8Yd86c7bKMcsfIhgHarCm68LCcZvs
xkV2Ox5rhCC6zme7cBv1Mrv4YX1YGgemWxMsm8HBPyIXeqEhgJ+VVdTfVpP326ZAXdabCavBhARP
rPGSvQFh1gyOwoxjUxBTf+cnAnV2Dtl5yhlMNfKm81BZ8VkNm6ImT3AI2ZIvIyRBv7WwCpfhTx45
w3qKyEoRpCRwuLn3Y5kau1x4+W6oyhv0wMs9I/+7BmgJOR/pRfnjA60xHwRa66GvHirX25Vz/5p0
OoFkTJ5wdnTE0F0zzb/Om+mBBXNJQRg+mNLm5rd/JlMenhQCDhAZdRsX2zkkCbV/GVBzlIaNJJ5a
i81aZALDmDkKklady4EUjG5Q6cbM4CzHFZqAvJ5/1aG1Me3UOffobOXUvFnBrGeO/EXQQclqsMLP
oknaE1nLEWq7XmwhXXMImAWBE1mofv+Dj5gIeULpozlc9n1OWodP7Wqr+NMpkOeKJAYDageALOjk
Egv6JeIEVcH/RNceg6NqDkvVPozIgteN3muYQ/FcN/bOb5m1FljmE7CApAfchXk9kopNFNzMDGco
68csD99H5C/oaIqtsnAQjSBBVpK9k2CYQdqKQNvdDTPDih5fELDPLfsRB6LcHhALnDE4Q9iV690E
OAaUb3zrRsUmFSxGh6x+OEFjIHgwLIIdF8+4OOpYQZmwe+s58mp6gbx+T1EBFf27ExAtGknjrMLx
JxhDhgpssozxR4RTZKfi8ee0mHu73AjJu3F6Fo5uzaKNF7GM6LBEySKxat/zkn0KcqG143GkYr/Z
99SHiKA9RAE9zuOx3fcmh6g1B2g4F4UWHqBEODKlMbsRSJggNSolaqEwv5CqZPZN5KtTWxlgvGI+
JidJXyNBrZeK9JejRtSUEMATlscg9iRrYGO5n7kxNsZUnaYmP7F9eFQ46LCUsJnq420yG9lNZvt3
sIvKU1gVJyf/tTjGySRgjBoIA0pOadxUz+RjkfU+5/uxGvbzWGOQiiKSAsT4A0JTsTZHilmAs/fY
Rok7tedN2E7+uvTH6apdGOhV8w82v79mOIwJsrU27qxjs2AioPrrnea6jg3zSra4gBqD6OJ6Jlqv
LLldTPCb2Li43VytTsNrFm2d3jv7YAiPWVxuZCzOiouXZT4xWV5S7HKveS9KxpmeVZkbJPrGYhkb
pCefvkl+dMrXETdmz2M5hejWrBDLzHjy3hh8NJu8UUjGeEE+hqnFYzWP4GXErrqLErJtZ/zaKgdl
7s0/qIyKQ+s1j+DY4D5FPvY137+qhfO21NnzpCNOHYd0Ivyq6x6oy43PbS8qnKIW0j9HMFZi/F+z
fii2KGyNzRh63c5P2icX2/3GxUzA83yddukpjDA9DUxH3MZjnGQ8RA10pzL/Wbk40126YGoyJMa9
yzPv6HHX9RyjyhiPCYtGbojc36fzci07ecFwfxfk1XHKmWR4hKKtum5EQeyz1XOFytAnw7iNhqF6
r8lQJMK9M5uRp+vcrI2OMhmrCDc36V+DPx1gX86wORJiPQVHaUDvC6KVAsAH+CUjf+P5HeReSJc0
I+y58UPOKzMNiHf22GIaEzCsmmWOmljKookhd7GL+Yk+2vN2di6YJlt6dFbYZf+cl+62lKG6b8rs
MMqu39JvEZ1U+RRfTk5SYnCMW6PbKatW+z57owNjPx3ar5F08quA2QDWJLSGzWwdlpGxQIut6uhM
DJkoZgC6ldeB6/FhCs/Z+ORi91TYXEgjgEtbHf3CYDBcDRCxFjKAWtJSKwBfdFy42smqW5f5YLHg
x9bIgN7vI472kp/keXwGkeTYXix5b/TFZ9DwtPKnG+hJgq0Sh0IXY0tKF8ZN3fSRh9l0CFhQrEWJ
5qMVz9iyR1qWXl2TjolenXEufma0QR0T2bxzaXHchom4LIhLWc5mjeJmGOd9ivdk2ycxQjIfApQB
qelaYcGrnRk5CdzQfWOa0WZAVsf/lJc+SJ4ZGK5YPBKAYJQ/faK7K/cSRCK8uJlzKoxsuXaVf24n
A26ULE+uJIwtLOqvDB0dtD6AULEHSAFNATMAYnhdUpKj3sSePTAmDoLhMLcYCghAW04yCu9NG5mS
FfKG5pp7ZgT/O0IhWy3S4lFckRHbBDyOTe8qMfjOAtYrS6D64zjzjIgJKW24+ajxUaJ4cI2hSmwx
8pElmprtvT+gCTTC4CGr0h95S+DlTIiWJGgLbk3D4F6R+qBVY31Iw8xzfz3J5tFwvJPlRi7TXJYu
5MF7h3Je1lw3/tXcty2xecgG0/JS1bELbQpJY9TZb66Nhi6993vD2FEsyN3A6qcZ3F89TrfNNNER
xLm484G7OwxBjxUP1caha6q8oDmBeFo5HeWkFcnpCGx2D1byF4TTDN4UVy0tOGiL6YxW4JQXlrut
h3krGrAXAx5gpJQITaysBilt3QSIZnZqKB6d2sUs4C80T7mHCB1dGPO6Y57GcpsYM9sqsutWJsGS
Uefc93FNbk8l1S4n930tiY7GWszQOt+6hcMcQAC6UJMKEa9MBzGM72afF6jzkKbwzd+S6UrlRijj
Jp+szba0ouW8ILdcVO7sKCjXUwOViubROSw/soLZpBTTQ2imPhlC7wTF5LeD29w06mPKxjuyIIdz
5ZLRmYvlChNStrF9UjMTMZEjP/c7el/se1H8kjZoBOfidSxR9neKHVhXVARI2u4X203Jjjm+FXIK
927H6CdorB8GmjpoS9cWnejBGk0g06Z/iYzqGsx9cxK51lOY1tMwEswzq2lddMOvPmnzHbtBbO0T
b6p9jWWID8UJxu3QvBWqoUzJ5XpxuYSTjBTEwCopMYSvU5ttfLMO053g1cQ5v7Xr+bH10Y4C2XFX
qqCiDnlS0M2ebZrhw8iEpSp9VumRLA+5szyGOPLOc0BzniFowlyO2Fmu/WJjiYj8y8gCbYD/yHGx
lXZzdCPy7JcoAm8tg/7NwDLNJMoiDcUIiPGLHrGfFQw+MqCHwDO16qymbLanzShdCRGyuPURxK4s
DyiQTPatHfpXFVdV1kb1aRbdrot1m49az2IAv/ajwANpfM+QauV1ewXs9d5MrbdAARDxl1qsJwX4
b8Ciipi4Xed1SmD5lee7zs6ZvjJFwC4iQzMCZFVzOU81A2NlOtFFuSiplluysmYExvEZjjdZnahQ
NogTwl3e3ld+MROvmrDhCt2rdKzDnVnTzfXIPktL7pqpcQ9iibZzi3fQyc1bt3eYMzReunX7fDgj
4p/Wk2tsy9Q0rr2Z5qhnao+iLTfyrW14mKon1tC0jxNxjeMyvCNkzImB6sptMM+gILB3Yw1mHF2J
OblKMqCEU8jXMyzZzrsiOa491bPNNHQYh//ZqpnApw408UL817qZh+Qj+VOAyX/+q/+0fbiS1I4g
sATGClf/vP8HMbF+Q6jistiTENe/JTD/EM44/m++ZQtG+qxNbeuPzg9H/ib0j/IdT9oYRhDC/Dci
TCydG1Jmc1QWx8//+N/oZXCeoAZxUFkBLvC1eOePspkqkjzDm4Q4qJ6dQAYCu5wvgwOfrEjzn+Q+
qh3G9T3KyHFrT6LZMdw7siDGSMpFss5n8D3AAu7d6bNovWn7hw/z7vfX8b8Ym96VSdG1cF3+knSB
J4YZq+k6NiwZ14EA88eX5xjllBm0ssykWNfENhFDBCbmtfpBh3lXQVxftz2aZ5PJxXrJoeU1UX8X
IfVjudquUMVEKPKmn61TUtJ7JUJsg6rhb16lfhX//CFK38PZE3i8VEua+l38ISZlpLik6UMeFLFH
XheLkNehTRQVrGpl+yyXHHQrhcT4Xb1nhJLQAnAQz/QSNfOqpY38Q2IDIKwGt93/+9fm/MXag1PH
tTyWRrZn+q6lITZ/eG2mR1iRCKljhcmS06HiWaUGusUiLJ6ncORJFzEhbuq2JAJB3lcyiG8ALMTH
uDDFehY5q4GKtSWtQJP4uwFmBvUriRUCY0CHSHQVEr54tIl9O/KcivZGYRzZ7qzcmSkgWISHyVb3
fsqIyI4j+2/yYMRfP3pIPzCAuL98myv5T9fvUHvSC4OswSg7ypPTOG9MMQCuFtZWRcXIWr4hpiBM
1C6bS/sGb+9eBlN5O4TjA/4mRI99RLYVzxw10JJXtXi0QPOu5pQuq40g0WB1GCd5XYvJ3CUBQRqE
YJV7HusLFV7DAK4094FXN6s6Yq6mUXtd4R5DBkjQ+vvkjJaUmhb4aa6YXElWIxRJ0F+sCnmS5z4W
F2jfxyLqIMaJJd/Civ392P2Y/k/0q/wXd9G39u2fr08oRainpUWQorT1EfTHa6COh2DyOsaCdoVZ
O29eUIZUrNqviR/cLP7nUBmvvWFe0pkaqks1HMu7QbLNvJgwGX+sXmafUa9gRL2arGjnKMbKxdJC
nKsY3ZbzbplTfEuJdYlDxrOkaE2sDvnbwtouC/90ShiCfqrRwjvq+393//31lAhMz7Nsj2yawLK/
g2v+cI3jy5UTtDmqczQblJbvMnUueqyr4uI8ebxEVYV8N3BP0evyh+oMfCwZ7p9cVXovvo8gt4Cz
efE8ZlHF8Pg3d6G+y/70Dejj3zJ5ob5l+X9CRbFjpnyYmgVykP9cNcV9S+QKMq03RLGl3CP1QP8A
HnnIefFWWa1TGlOEtuod0+ce3tWlUkkA2pT5uKI8MIvtVOBGa8vgsVAZY5jdKP1HIqnPUrWXfla4
aGygZU3wuOjNgG+4NxUumb/56MW/+OiFCXmQA0Zyuvh/ysBieBCxP+VQ0b+pmYJH8i1TNr0bcPLF
yh+MR4FvcBHOJVnqQ+WkN9/rjNYWF/3lENEBCG5wjwoJyKoD/M9ShwhZ98b2UzZYd2xnnDQ8h4wJ
B2lefJ0nU1LxlmJvvC1R80Za0aUoCEwwXJ8CP0sPU6khAEWwllnHfoFBVRKxOGkcfpUtRj4owHB1
8m7N5T2JzPjwUv8jduLTv//O/8WzC5WqF+C2BESG5PNPdx0DlHToHNiCnhn8KJE+0Ow+qsrAUYdC
c2K+o2TyjvuGQU8kV5l4+742u4R1JZv9r9ppKMXT+ItwCbKE069///r+GueE4RQtr4VsF7UqA5Q/
nQqy9WYLJNEqrNN3HWbkLN2LypvVZIanLG5fJjfcGhIDJAPjOOVlXvM+IVyGWHUOjlX80puheVBf
ZlO/gHb4Khzr8r0lmzWfhpFr5L4KQzwEmqhFyYCH4j13WUXn4qktgfSUxr29MGxb9DrJaJwbA+WR
XYirVsTvoJQLuPYDAUJuyJAu/hr9HLWjDcHFcDRnaaLoZ0CmjQFz1dwRPA9eQl9331d669XnJRsv
NLnTKhXcDYOPW8y1LgFpw7Or3qvJuvQMDVBLQcPFdZWad7mUN4o3bwt++9984n99FgOsQxDt2Nwz
NnCEf/7EJzLa7aWGzLj4vOnWFxc39B7x5bMgcolQjiM2BndjLS7fd48V81byklu+T9UpeGui8dmC
rOvk4iYsjUvmmMd2BJMTObvIdOGPctEktFFG+oDQjetLt0XJjB0yydkDlj+8/pMT49z48EvS6ldo
2pcuAga3lC+tzYenM5uliK9bYaCyJzPXJNdyInuTzWpQORhf5byulv4UucZPAsgeTRhpbVIfbZJb
wALZF8evXoxUTwr0YfN99OAeW/lz+PHvP0wu0D8/+22TEhlzNDeXhd7U+VMm3tLKSmDkAFG61PW2
C2aWkcza6icYtARX2Fh74MCR/o46NDMYOtN+7tyZ98Z0GjZ/f9WWVGOsyJCqudXOsXG9+jEoJBs1
BBXjLcpwOMmuZW4AQF/ht3Px/UEUJc2YPMjEIfMoytfGFKXbYBHnuTQYp/n9C6XsI7pR6E+gw5UZ
41jL562aWaETbtSts8DKkENdxUkF4NeK7/PMl6d6EGoD3ZoUc+fKb+wrUAHtlaOwGI8+S6Z0Gs5e
gSts7Npkr0gc7vlYcF0amzRAk2FUgb/1OtZfbnABUfGz9eJqlzrWjSNjuFjQ8lYBZTNj1p5ZW3DH
iGtaN7n1hNCIWSYT2OXs1pO/KeOhRJPeb806mJBuAmsomH0A1bxxM6auZP9QF3Qj5sohIkW4Da6p
FoMDiQDzkuWHbAysXTEMJ5f11qI/lTjM/XVVWWe7LJGhm8uTZMNjIZrFTAeejfKQ2M1Pp+90Hgb9
SIERsWtfsHbf9CQQrIcexXJdJ58hbsgDB/5+LByPMKRQ7Yv0udTNh0BVa3L9wt/lbld1T7ZSujyx
vz+QdFNxSXibyFGKn5N9wd1Fmpfwd4Rc5NEwsyeVo9OdPPdQBrfm0KHD8ZMBDn97KCmUHYOPIYLC
vonZQS5FpTOeKmQzEQkh3TJsY1qmtei9G8QG/brwdcAqLNbv68/MiHyLPGzaL64x99sy9+Shrjpz
gy8Htim+8HXWbpbgSAwDvmX/vIzJsBlc0a+mhUp7Tt+WhLFx5SFCIKF+G0efSYtUKTLincHciLt9
k6qYQdlMqleB2zsZQDLOSDr4wu1znjnHkWOJ0bL/BKONSTVxIMJQL+mEY7TTgAeG81jrJV7QGwp4
0Z9Q7pQnuHiCyyjee1aYrwrBwMrr552d4z+tSb6Yhpu0quIrNq+rurKfjIFDqsR8tGHCYxFgwgFk
h/z2UVW3XePyX5K0ajcJECikYu872d2cE15TNjjDkE+iimNcC51i9301TiL7FQAymROkv4jmUPDS
3wkmIb7TMskCxcRxs4CTm5N9OvZXTUNbBWU82pqA7r7vlkkUQI5iExEAd2K58ESqcrULBp6xi7fc
joroBzLRtoXHfKfMJVpq7QyIonk7VYgVita6DvxjoiSLbSsvN7XhPXUm0zLTIOawDLDA2XMzkMwz
ACE0nWM1chbTFq1MwdaM1AJxHDLjOUQoAcZj5MTKZnmCoZkm5i6eO9YMTXPbD+1hooWq0yRe01MC
2obDx74e5yehSkXADjhR79YYyEPoqZ+GRDOGn+qD/MvX0lDiOLnVnp6PgSJwkoK09jWeGbGBHtiu
vt8vTozJ9CFUOuN7WPmvKWZblClsY2xHM0Ug8/XkN0LOC7+EVX+pJmDNJfCKhm52avyc1MYcVV6N
LmcTuVG3yfI1xuGfMRqum1pCo8GVuNe2C/bZjLmQtMppPKpiJqWo4oUbKWWcwuHotgvIp2g8cBQt
ew9yO6u2MDiH4BKaSwfL6Zyy7FlDgIwQ0M28g5poyyHqB8iIcIwHZI77pSdFbTLYx07AiOaSWzQP
EJi3UXbpRtINTP/0/WK/v9xQNNXaQ1UqQXoiO0JeWtd8jfVQ7QApMGBtxbIOSvPTq3r/aFSMdYE7
9Tjjp6ojkwRZxH4w02ijaobuJcrI44AYJ6aGCx3u6nC+K0X6MqSNcetA1RRN/8ROmN1GTLHPXICw
IivvesRwFZIm3LbspNgZiPRuZEpoGXeZTB7mzLk4w9CceD4wNAV7ytbJ/7/cndeO7Uh2bX9F0Dsb
DHq+bm9zp3cvRFp6F/T8+jsiu3VVlZKqoFd1A4UC6pzcO2kiVqw155gn0HkIiH0A0YY46q2OKApP
haYTPzvqDxMBhq1DUhoO2ytPh44j2TWW4Yx/24ifskZWmzJB3FnOd3VDfivtSR8RVbOL0/zJbDG1
QLs2lu1kvyLRubVqChVgmsPSMMr6PJTaHbhEkqf6+BhbTFBQktM2dJtDPrr6Vvb5M1siml8IDQuL
Lj0HcK7txMtO7qc/I+PSH/IKY0CegVY38P5s8Amx8iQIzHOcGwvH7uie5mvByHdDI/iRscwqs82z
E0bW3p5dcO2lv5cRYwTTdGFDZPPMyRwBQulyntWDFgdIEJCE0bzYvVuvyw5sJQjx9VA05MAomHPa
c9wmpBQc65AyESB7jBw9BOWIF6phlCfHwmRauNG+c4OnOtPMfeOFlzoXpFOQ57caekGj2MQokodc
dhIbtspfIdW1l8wUoaaPh3iMv4m7OOfIih4j4T1pFqNjhem6Ntyq4hCgQs6c6IqZNcXSd2iawfdS
7Zmx61znUCswL98iu2aMzxFyVZOYkVg6lBWIFB2s40NlDphrJOtLEw23Ru5HmMDqgQeDe2NqhrUS
miTzcoBwO44SUwSymqfOky+jG8+LRp+++oKJME+3vSSiHX21gwvUiRHnxw1TXo1oMy8mnnWuyLIJ
tG6DZZUdCPj8eoyQNaY6YytJDGKXEOTmN184yzlDpJHjQzgFF2eOpE221ZM3lPf4NdojcwlMybbT
s0I4r8zz6aHMsOvsLD5HHie5WR8QjuTkZPqjOS2BLbFgqltr8oxCFxN7ihDc+QqQlOWr3uIuhBIw
MvzHO6IAaQcifK8ZrR1KbT817qBcJMDgg+HGjqfyJoLODH8U36tgm2waJDhxnt9KCqSVmGG526J7
40cj35uSXT4R56dn3CFO9i2j9Dra+1W6+PmuGoqFSjNf5pDtUxmKNljLr6XspmMaO1dO4QagAnfJ
E367bONl2nfmih1BKVeYKeKNkO0hgJa5F5N2y+7sro2htpF70rykoAq3Vjs/MxLhmc8zeYgD7y0n
DLHXPXmBQrhrsO+tGZY9uB6ViCNohf4UStaYfQcdTQVmK88BKNhOAz8lJE8S6toRArJZMwDP4q2h
KdBBcSmGkXlIw20lu3WbuFOCpJjNz6kLf9uZi4KM+JXfaxiYk2qLfA2MjymTE0r2e0QWFU7KQanh
2LQHE8cSXrxF2LGp4z9ulqmhfFUqmFfwNC2D4q2gEl0GFRfMlugREycieC5mSMsUUQt4ZAbZnCJ6
WcQeeXCxKrgqPh20LNHGdSyoP4mdJkIqTKjwsS6ui9Af143Dc9+QiLwpo2apu/24Sb0a1BjFkWUK
DNPV2Umoj5pYISjM/qZJRbUOJO9H2E6vpdF8hpUA/BUFOJkYwoGIHnIKSuprPetp0LDnNTRjtqjY
z15XIPocsVxRRiQJtB1zwhbfHGDBgehufaAaAasWJ1AVptNvRUL1y5EZ3//kn4dInEK4zstJYx1M
gzcvJf2jbD1+G3XtZT3KHQIbUIUwNhba7Owrx5uXOt7MNaFO5ZrgDwyAOYeDFKU7m6tcMfPBX1V3
uxEN7B4fOSN7L+XbIWUks/7+Z48a/JPT2ptYG++xdEVX3A2EGm1w6Y9Ra9k7mx7VIoacy3rmbb3W
o8cyAXcx5mVY2dMRSvkU+hSpqpry6hqfXpxgY0sx0ZfgtnHGj+SiZHvbEsPaRmm8YMtAUZ/GV3r8
CP5aX1dOE2KAmRdeBdLUswFVdsM9GXI8w0Gio60HMKVXK2OKp3VSCmRc5M0uB8fi+bUGd5XNw3f1
KPomvrg8yotcD+JV1PEiDHF4OxtIjH86tE2qFAWheWUZGWUJ1IAB8c9Gk0AL3TZ/zebgbchpQqEi
vfopgUskQ7Be0GH/3IfEOFALNVuJjXExa+lDpHE+GsyWrgRGv4aggEVHbhKnF7YjX4PUmPIlM7O9
KXsb0/FE19ezOQXl07ByAGys57pcy94g6RFUKXNDJy6psQ0bADjN5AWTDCr7Dv4BUfKC7DnklL3t
8CYmGX2ybEq3UfRshV3InsUxFKnWxu0NYqQKY8nNDJaMlZCB6Y8BDded1T4l88RMhH7QuuZg5TS3
IhogQrLjA9pUM3bsi57vYAfhV7Od4oX2Sgx0MLSOpXYfeyRixZiOPk1t5zo2LzkShGCRmhDCCDLe
/fxjFJxeK0POrI+0AHJwTzuN4OO8QwuLC0hwfMVxNXpFs+6qwlVt+oQD85xuJ8qhIjH5ylV5bi5C
BtoDlxMoYn9bSSu56wz3VY/k/cTvfGrCnuM4u4fopNzqsqTdPE/mtvN14I3S19GGBZdRGwe826OO
gg7pHsUhtElqnGPqNWed4+ku9xK4QTK85TF8QW2YPDuuPmyTFHaH1Rhk6QSze7DKwjz3scNRT4fL
W3BcneuBlwQiLaIkSz8RL+tvQZXfRbNvHruybw5eQ/6z+rDaR2pg+5q2SwvJnU3i6kpKVWNF+R2k
lpwMPPDoNvObvVdK79j5kg+qMJAOYfE8cvYFKnQRhD7uWpkTZDoV/pURG/i/LHsx0Hm/oDw7i9DK
trJzfTrg0MDH2b0eVTgYKxEyCnhnSUOukpMawcGmPeHocguOoTubPQL0tgCCBMUIHpOXliThFcY5
a1Hi/8x1zCF4mBOcJaLBkZm4SmVckmPZaTcBQSYLrnp/cC0O3no2PzZxYd/PeY9kjaEgsJY7t28v
pkt72w3r+Z7PpGMFfx7VxIKqUl9rmhvvomDUseugItT1YCvi9imEZ7GrHA1xR54cO5eIFw+m8V6T
2rfpBvoSYh0tvskhdT1wMVVNKPqQfum3RqqfUQ2kO8x5Lx0eQin3w2yIXerl0NK0igyuNg73Ii33
rTeEGwHimBjhPNmllXvfIe3cdhGlDsHaBe6f0in7bTAOkHHNsd3hp3iuLE1fFJnX4pALv30yk4UI
q92Uk0TV2xnYjgL7RIbtdVmnkCQrEb1ZKT4ODUfLvgGcs3CRhh6yuVsV/mNhpzkWfbPAxunxp+2r
klHELT/NWrsS21jjtYfvxOLiWVr9VlbwncaIM2feuARlA+5eW60OlNTuvaUcXlzTpAkAgm1VYH8O
E/IoA7JjOJDPaIXyjdVMEUQ3IKdZtsleRUE9DALNpaUBe1VDbEqNr+jfdNJ0J/S35C18ULQi+gH0
E5EkzTmnIyXCaGs4ZzF/ynpNwwlecma9VJIja5BGRJq1yKjZ6WWO3sXiccydymINpxDJMKlZg6Ff
KYNLmaf6YfbHJ1QfhO6UMRr/2jjUxbyyLSpEDgL71E26TZsMOLpyANh9wMnFnQ6+HBYR1JZjiMt9
xhi+RgKCIk1hZWb/yYAqvfPviaaAHUyTqHBi6xDkqhSpn+dZkrpZEjRgWo92PDx0SFwsiaO9dKCg
Y1TajC2V7NghDmlzQt40G58VCeHjoSd3iLApt+QhDH0io3VUy4Q4QJP2RXA/SnoxwUiDrphdYBEB
26VvsDeSZH1yTReBi/lhSS5tZvLr1qVcd15/T/6dw5JI4fTToCJZacZHTJAeVNe/6Ucbv4c3VE+m
jgJBNy20PTQl/tyPjiZWYo7cNa8tt9nrEx+DkEEHFfOsTpmhkyeIAO8G6Lq/aVztqYuwa9a2vE6b
MjpJOe1b20xXrReFvIzoucHH8Vy3AbX9ZGBT7rlXWoGeO5S4pufGOeV5fEsllqzxus/L0g1Wf9MX
/q1oMBRXxHYZaai2hvV72CnGES3uwBGEEAMGrj1KGLzlO3yPnEW8YUOLa922HH6AHBDdDeZZGjF+
3vo8l9Dl+qxAp66fdD/rrnpJxNDP9/u/Sj3lCqrH4n9WwDzk7zJ++/d/+ypaoBRKVPKvv/Iv+Yv5
D8MxUR/4/BzhOLrxB/kLmVQq2wfSkeV6Nv/lP7gxJkwZx0ROYbsOf0fQ+W/K7gd8agA+Zd7Pf/vR
zPzvMnyEbvweIgiG4g4zWYdflA3b5Fv8cTae156N8BoJd0X7VTOnayw6yb4ulcIlpOlkWF2zRXu4
mLsuXo4cbg81KkHozdGr0xQvPlsUsCsGu/7NgIEMnUXLcXUkKtw2d1PqEBfdXSVlSNYt3fjGTxhT
Kyg/GWxi6YITXVVdc2tXNuKxKHhsDdT5uPI+jd69DifyZ7twIHtSAA4wdGA2dZHdWq72kM+AaYy4
+7RsLI2zx2Ydyel1TAldb5J2jVCOHr0L6qnXWwI8sHsQjNRuxEjiQJKW0UbiXyMTNOlpRKmUcpAS
nobzNEzFV5plzCyhuVAqxJhCgLzp0WYewumIBITMEFTu0+y8kpc4qXPUucFMsSIEi7VSInzFN+yc
iFje+S3wB8fL75zCMTbsyayjwYR3Hwn3IlQaAQg6X3Uc7lDQGsdZ1uTzht4x7servA4v/WhSjmob
mSqkuV7jkI8yjvv4iYeWeSDfn8x4VSTYrXEFmfAIJPS7g2fOoQ9+onK462H42uhMkYP8YA2eBf6Z
kM6wcTZdH8NWyeyF6Y3tyg66Q6tTsHdhR9qH2ZAMbNSXJpq9RVX04lyNR31cEf2+mSuxtAOx5WEF
CIDDhjvjZ06y0yGEDXrooPJE6c3qShO7GvRT4sVPcwc7MBQAQ61UMICCrTeGqP1SA1FF2dPZN4jH
RXSBZaSx8FORKplsB8WDNqJd7AA2DQBFW8VOn8W3IR2CvDU8yvRmHk1QuRrP+EIq2nQc1nDAAgjU
va+RWUiiIHcVngDTdYI34hW5OQ7gRaC1dflR5yu9CCNklzCufUW7bhX3mhMDFyb4kbCPCwaKn8MP
JRvU7hZEzA7S61cQ1HvsIxvHC2Ji6ZylDmrbm9HxF8C3MZ5RaCXO1TA8TXgHwD5gCDdE/uIocndp
wvAugXkPiuo9KL63rkjftmJ+G7qmceRFDKp44Ljyn5sSASoNW1CFQMNdA3q4rTjiOkDxuvdXfkNj
NSbpdulqEdkbNG7OvqGvZoDkHmByB0B5GXvnBGA5kxm2AsUwh390N83tnmg/wo5hTnJS8U60p3aN
169nQOgmQPRakdHBxOz0Hue5YqbnwNND0ucMOpeLGKw6/HvSTAStdBg2ddLZq1ox2HNFY2/n5gsp
wDoco0tcDbsYbDt64ausVdJtTjyK605phClQsd4DUCJwEKRiwDuKBj+Dhf8x0w9ht6ETxGW7LVGL
ElRXmnsOKC8Sn+GaghJJJyAUwaqCi69SFPpShierwOlsKEI9eBLyGprP9uIP8OuJ14N0P2OxiOsU
5EprXw9V++wp7n3nufeM7ePlpJj4nqLjE4DaI6Cq6cMXE+kziqKfg9MfFVffVYT92p4OKGN8ygkG
fERceAfLzB2ahGBvuGZIqwYSlEvA/ZhXJiyf8WevmP4JpuG8e0eeS7C6kX04uf1i+MGO0jvcE/WL
fa5SwAKSAjwiA2qiA8I0hKJAmECsUgV6RDYbM3tNRyZKpA7AXj+nebs1Qjg8I8EEEQEF+gTYEcPx
qVPZBXXv8cewXqgZac8kgMF8B7zq5NjkHlBooPEiCqFXmQj5FNMOJCWhnqpHbATeEifFzpEomTUi
FUREtsKkUhYSe9uq1AXciBqPDMsWcaBYMis8Hg1R1UaE8tiLRmjb9MD2HmEOMaEOAVOQTqU8lMQ9
oPF/7Yl/kCoHwlKJED7RECMREUEPTCZVqRFd/+T0tOdptX53/IDOcbe4zlqSWomciEGbTj2sGtts
rrwa/iY2tjUoGkYZsfyeNTgQdDdvI2zZs0HVVqh0C8Xjioi7mA2TXHX5/kP2gMRXoV5nt1KKbJWV
gSoTn+hQfrQIXLCuYRIRTnxxiNgIwjsuDrPOimcmbrOXMP1gQLqb23lfNXvy7d1S5XXYnF2RKBOY
3d3D3TCOBuEe2Mpw4QOFdFXuR0EAiKaSQDDPmOcwDFa1SglJiQtJVW4IIx2okAUkXAR5DQoZtsP+
btIzTLgPcY8Xr3JGXDwDeSQ8wRAYgC4wOs8P9DKdLby6XU2MSdwDLbJUsok2ihZSLf2+vETNqXug
VyqiULCKJgubcBRbpaR0Ki+lGftnHSzRzlRZKmZl3oZwQHGNabCZRhKiBmQuBLD0P0ksKpMl8w5J
SptbZbXkrL6bafAJqqjN+9BwsaG2VxhP0VGprBc9cG7RYDzose7thprc8HA+0vzFvQax0WfjrwL9
1KsEGThOe6EyZRwkZZspVDkzBM5wYo8NWNV0DNZRPd3HKpkmbIcHh6ga4JVvXhbt+IHEQzgSNUg+
PGNR2WZemW9j2WlLMGGY8wjB6bJmy6CxIxaL6oSYHDIo4l1PcI7/1OGVH0d/R5AE0VDE6xCrRuKY
StxBaihWE2/+ehAo9uPiqJX53iUGYdN0aIDmNCDNnBmQLHpCDF0zxujn3rQB6GBWjoNGkmD27Bol
XcE8YC/z8IngSkj7GxgOFio4PK4UTwIoi512+oLIKk6j5avhSG9V28yLQ18+0ofGJ01mVVq0ISfZ
GxeH5xg0Ypu75aP0T8NQP9Rdt51jZctp9O94BCmaB6a7sBwOfaXhrJ25Gw4e0cY4LFjfxxQWVDeG
n000viVt8Ga2ssEjPd+A0YyOkijBhZXHLOOpEW3t2bS2jPtOODli+s6IMKBf434cvYehJIseuFEy
GFA7u2kpFXfEjud7SJg2ya92zegrO/cJ65tM1BCtRBAwaYUkdct/Cn3FM+9NAE0+Nz5g7J06cokZ
rNsEgXzXy/YYC3onNa412RYfHTF1pBbVPG4EKhp0ifimya4Nreo8E06MixRa3zScReCdyxbjku54
72WLFWpy7htRXU9+uTckrv5xsr6qMdI3ZtRCYJPQjke5Z2b1Fk7vUcAUo1bpcrqOdCLo5fvUFffG
JE4tPkp9PDaOCMCiSH9DzxsSg9M1y6a074HQtXS0q33CSWyPvjuoW1pdkIetgbWQIogoywA3vu3Z
qo7bx1w3CPLByzDBZze6XQvHcJ1Y9W2f0xRyne7i0R5euzWIQaaE1J8lfpDMK9ayi1+CIdl0XU3P
g73AYhptl+ZT3c3pIUiszSS1Ew9Gs6uNr0Zzgl07ym/AsSha2xIhbBvTqZ/wbWDQ9GhYrzTR5XRN
maWUNABwnMh97Gq0W5J8BabwyyrRjnDqbJfBYAOe4K/gMk/2tlQ7R0xNrCwDK3T/W99PN7IGdDrv
65T5QjjYA34qDOfTJ2gCxfNit6hHqkIoC2LpO9pZdKTvTq8YSjZ6hCQLvwljjtxwiR1m1dILD7OO
i2hCzNohR++GROlIqpN35x+cuSpPRd8co/ypRWoBvO+c+2W4lqWNnouGk01xNM/xmlE7RLSqSHbx
Txyk9zmNyS1dANrsCn7lBxp0CKt511MuN81OuqnGgKGtvtVSg7CesIqweAUvWWA8hUlxG3i47+YR
IBRAvhqQSto68PnH/CHDH5dwmRaDokkOadZsJqNdI+CizdB6257YKVg64EqGJP9I26coAcxh9Vc4
wLQNphb2DIt/mFIHGmNcJ+Ulxu9U1OVB9/uzQGZE3TVdoCmOi6HOYc7WE5rCRrv1B41BHsqPlNlI
hQcQM+TChAo4yviTvi1bZk8Xva+pv8trjZG8W076oQ37XU0gZT8jZ62q4sLbyEQf1dgQ5iW4j/zF
qCSnExcc8hiN0yqkWgoqcGciYZE22MODwfXOwkAM46Ws0J7jkywEkx4hDpl7ZmhsYs4htdZe+fEM
4jB59fIj224LbzPD/jfHN7XVasswYV6HDABSdh60uy6748L1h6yvB5xcwC2bgTEd7bajjwuEsosj
adQykkFQfZ4ISSUn4jMIjYudGU9I6cGKV4QH2v2ptIcbKSEu6iVbVZOu7RnXG8Fu+qaISIgSS55x
bz13xUcczBeYws42ldmjShKwJ2DkUN0gggE7WiXG+F56IWp5xWib6Qx1zXtIyLbfOPe29mNwkg/Q
NIOmvJtG581BhEWfpg8uucm43rma0mQ9ez3JjqnFaWXsH2LzujRxVfS8IbIrJ0yD4EnKWuwLe7yH
ZmkSODh748tYGecEPkmS2OtAK7+s2duNsrvDrlGv08F5smK8UVp3FRbeUqfOy8gJn5ya7KRpoTXm
KtQEPfZAfkVqeTYybTNI+treOK9Z9YAoaXZC+zB5ayJJoanhrUZwuDfRlyySEWBFSiMb/H80Vuu5
deTimVi1Tz0NPn0dP0EFubGw3bsmqo6al218TtNt+NSzZAhsC0tdeGDXXRiK5sxJab70kXNK8f1j
ROIXQS7HuHmKMfjbrnsX9RjUJfbiSG+3AzPR0Nc/9LwB7401O3OLh46wmaWXyzek2ByNR7Sk0C1L
tAqTuBaMkgIhh1XgMt1ItZSYYip7CwZQVNE7k525iVnEUV5zfxDNUF69u7Mwt+2IoNb+kjXnuczj
ptBIeJlCztUsA59JO701DpNMdvARFgZHF3oJuPqZTwFEwxYLMdMmEDM39AmtQgm45/H/eFsO19hf
teUev4qvtvxzW+7nr/z/thxjFB/jgLAI/RQ+P+xfrjT9H0iTTUjPpi5MX7Xe/qMrB+mZppulO6YQ
usmQ6D+7ctY/cOHoNn45Fzeb+k//G1OaUsb/wS2h4/UykfTq/AttQ7hdf+7JBTHlm0lzelHp+U1E
adlZ+DMLhGwVHTkiJ7+KSXxkz76sSKEhB3yJS+LsDeMx8DuOiPPmD5fuvzHQ/OqT/3wfD/OxafF/
B4rCn7/P2AI3a32TJl9jrRzagJ0ZXUGR3BPStTG08Y5Y5dNff+Rv98A/P1P5+7gYNjfi12d2vZl6
ANk4d5buVVMk70kUkKcSVI+OOrBDzQnMs6cTMJN3mLGIGK6UHLZ3rgom2b7m7Hsf+b6mXQ/vf/PV
fqG2//nVHO/HOkhDz/3VMi2bpnMdk31eiHwnc7mmh8ERaTFE9bpnaNMUjCt746SB0MSSvPjrj1fP
+X95Ojyap67p21hpxK+PBxJbwZhBShsOqpaOh1cRB/DRciraHlRla7H76YzBm2Ir9FYurDrbhX75
iOQMsx0SVs7Ge39yr1iMQevkW0Z2URTsvOZZJ/dMGNOHJcTZysl49nWOK6g0orfAruAJBZc4Fyfb
1L6lSHcegJo6O//1L/jbk/lzfX2dJ5/ut6fzKv75cfOqVEoxC2/h2hNKlNI+YBTeua19MjDG1B4n
AH+cPlBk3thS7F3k7gtXjuGyDZKbPE/e59QB9CBzIEjG619/uf/u4mOxwurjEn3h2qwBf2yXR27m
1U3Nuj2VdGClcPdRlryra/E3n6O8EL/XAFx9zCkdz7dt/ZdXopl72+rxhi4QaAKHs8FOkclXqaZx
SjorVGhLuld2drHQ8hZavTaz9tSXAZ276rEeDzUdJdOVaAWZ5TvkeC+teudWFMuuI7iAnnEmh2ld
hfqHhY6Zu/HQ9iBPRm3dKtq0e8wZ1FtAdxtnXqVu9lGQImD7KbnfFVm7lKS1DYSkrWsKE3dfhsn7
SC9wkabWqdeV981AX1IXyYvuxS9tD8qHs52G2dKYeQb/+nL9HmP885n5w+X6tWQmSdM41cRywQn8
vm3FU0R/1TTEKZ64T30kntpTqTVLHAOwjbQ1etJlFpqcR+FZZi0z3yTDry8gRjjlYyLEAX2CDwA4
f7TqZ2GNt8Ocr7xMLP/6i/8sFr/uMxkBFou8cJjZYWf+0wMFP8OcAmgNi6rXQK+wt2cqzlQyn51z
bGSlc41Yjfmc9REm52iK6+VoUBnYEbN+Te5gAuF5p19eQmeZg/bbjtDQNWekhpzJoQNwEGaqh6PA
HKa1UblnkE6r0RBLy76mqbAynGLXOfYDcpSEijyu9U1JTamFRKHR5Mdxv/FrxIOQPqMuX2uOWER+
eJOLYNe71a1rJO+0+64cyzyMXb2mA3Sx6uidbK2JaEYIT0gmili7tbAt5P10Z/jFbValN6Jp0b8E
S/ieJm+TcxirjMGxe5+l1OTCOca1QY5m+WZZyGatpvmbK2//GpSqR0atn/zP5qxMUvufr7zWdU6Y
w/2Ea2du4ExrK+rVV2AsxnWL2q22qydesegW7kq3MeZkGxGSeUJ6zaC6zJ+dqXurdF2sYRotRwVV
bb1LmgUPjdkJglY5Xqfm7di4S9Ou7i0bPd0QGgQYiHPnBNe1kCA2l0k+fwRe/tXOdnXMYapQEO5T
2003um41y+jGFzt7mC6hlpO8maJ3AqHiZeaXldFAQ/Npuwp7za4vtR1ewNU4wIIKgnWQhZDc6rVs
LIKpRv9vrp74tRAaZF7gNGV+KUzbcY3fznTfMZwOhZ1LVHC+M8Lqq3Smj5rRTNYzS0iibYiSHEPc
uvf9nWzcew0xOk/6PpqNI+rgv1kv/6vHV30fHkZssMwxsXX/+W7a5TDZoxfTw8ANGsBK7ZQol8UI
7avT7gRwEp0b5IFjnZvHKPkiWGlJBtOqirqlRqt9xIjhqXTAx34DnWVNdMG6QSQkkOoE2jHCztfp
LX9cbhi2LNuUP+KiJi+tk2aozK70b6ouCASqyPnD4vBzkZGk+YbQgRQY9q9NQACo6qqIh8KDx00E
2tkxp3sxyoPg8DcjsbRG+xs6xr407AF3QuTRFtrQSQBarJuELeYgShXjF/zkYvS3AaERalEMyz7C
5NNfc3OqxdCIzSDCvS/yVZIkN2GEa9XWjuiuX9GM0tSFkk+jLSV8hgMqYyxGtE1KFw0P93EgLDx1
jXPFUHZF3A1TGIOU+5nGmFtuoaYRAJURUpRU3YqRIqKS+lYUXGm/0K6qRL8aouIRm8mNnwNfrFNF
JWV/GES2yzuxbE1j5ebOledoD6nM9zxCB85D63C2MG7els1b0LocSTuEtyhGbX8zJdhFQ8TddCAn
B4xN1BjWBkkM6co60Y8z3V0lc/nxmXbtDZ+PxhZMrXXfc6np/KHLPaig+ikk7zh7HYrwPPXdIao6
3iSAV3MyP7VAgqsEplp+SkHpJa6JRqdbzRoH8GjaEQRw5zr+UdbFupywtsc0rGJ+gDPncN/dO1qa
jG7K4+DQ0a7ylT0VjwmbL+CrTTrBbrUZRKPuT8KvEOxEEYdsZ+UdbN+VqVkvJa1yu/XvEQA9OMDy
IYWfAHLtEttjrejg2A876seFnxlHK3w0cHXnJI9p4Pa8OXkv6dZ0cEMh5xANitZm3pBvQ0xZu++R
/Q2J+9L687pxxetAcGA5yA3St4XVWWz9F5zVu4DDs6zX/hBhNpaYIe1DgIi3HlKMzTbh9WIjdf82
ieDOxuQp4I7svszRvS9hHpOgQV0jdgw/wJSVhxzjmOuZWyRka03Plwy2lg3nHTcvjkmAlsXKoi2j
4XSrN+8avVJ8K+6n46bK38lzYLw2DLrM3roi/w5ZX4BslOIjJp6cWYK+DzCLI/3jiUIv7+eQNAmc
0/M9jc9bwaWZUlp0t7HnX5HUuitkcsRFDsVcA3UomwcBT4jF+iYhLwC39ExdCUAdzU/shVtH/5TW
9IQsnqNQvizLDWrXdVljjxFMmMArCV0jidVXZqu11+Qnm7YJSZxAiolrNsl9yTtcFCSiYYblZd0O
7jdTFyr76KVIabUgSegwIJQGm/0lL/XjaCOmAEQXMk1AZDm+DjFFno5Ct4f8NerR1kLF4znGPnGm
J5JV94Ojr7N6Rsm8SqKMQWRtQ8DTdpRv6zZnggLIsh7Ya53y3sLPk8OBa0hri7xmnwlS6IAi0yF8
pfdIIh4Jj5333jhQKIuFyQ4Ky+165uPNIdzCmKJjQ2OVNJa8qQ+4EA8BA9egdNEdTfPa0rXvnAHl
wfKNDwiWhCuj7dqU5wKY6sLPq4IAu6Q+8LtaGVODkQEBxxk6x4qvy+eRkvpYpidtfAurRYBHGBP+
1mwuwcAwIMOt61yibNvgMw1yura+R9wKajadZEq1apMagpSNBuVYLuw63GKjJY+jQVb52FTlBiXE
jjnXY8bdUcAl/LAsZBsXJUuj5zSLSwUJ4k0K1qKI1xoY7YLc8AUAr3AJJBo1Pmgt/PmJSanZtns/
zs4+Deksx3gTqS/RTCS+uCEqbgb7hjcindWvB9SEzYgpebi4XD4c/CAkzFVU1lhdom1pklCbvMVJ
dR8VI8qKBjto0/KyU1Nw6eMAu/KQ7wrdu0cIsJWudz+RM7QYa23d/KxM/ADxDq55SgP69+IxRm1t
6u/OhBg38b1Ho8wBVRTkHPAbcNrTe/Ot65mXkkUCZexSAzoVyRd1PAuBtisbEsZVB5BHWE9BAuds
RH4xw0mhGY/1surx1DQI0XA7unbx6BNGWFWvA5YQstYWJt1gvAnLPn2F9b7shgDFAT8qPw3luAt8
Zo+o5Iv5kBTUUKF/6eBg5aSB2uYWTvqeiIBvtSyqABqtmhnCyUtodBdYOAsvjFe2/jIhBwAABp3M
/bDiAMU5XGiI5A2GRob+S7cY0M6cjQjJ/ORjWkK2AnJyMNG6z8bB9+eP1hNHryKJN5juIvX+kxNx
xamcbrH3jMWP1AnmQdjxWVm0FHcI0L4h0e+Ifn5ywH6D9MX9w8cO5F8YE2aiA9qTpWLDZma9ATsC
KluDTm8+VEFyagJ7kTDdCUOXR5oeQp3vWkp6GV5A863LYURu5d6bRMJCDoM4dtHnT6g5xJ+uOqa0
CUaOIS9OVZnuYg5hFamGPhVOycllDD86bHmsnswRVhWolbBblah0qfWW8GzXMfqdsZxZU2tC/MQB
Zee3tPtPImvdFd6tbzcskT2V/XNNtpasnqG/3nSIPlH67yGlhoC+PitjfMOfmi/aqP+QOM6xjgxI
vhIk1FgTtI69JuHRadJPa9JQtSK5yPt2pzzJRPltR4lctu/kljHrTetp68rSN7nuXqZkM5njGjgU
Rlno2XTHOaBzjNG2alPF+XImtfTBS8QTgop9IQAqRtnFbiHMavqT4VCRxMkyhlE4TAJgobnKSxOG
YeweNXtjWkhMdLKS5+qx740jMUUX1QLxfLltWiiwxNLmsbXSYmQ8pnPVcud8m2zuiWb1orwzyrFm
AmKeXae/Axv/mpPfPOQlZtFAg3agwCpZV4tdFrbn2MWg7UKCHggXD92HJg5hkMP4EOFFR21vjby5
M7m8nlTOvdX/Y+7MltvGsiz6KxX90k9QYLwAIrorIsWZIiVRky29IKjBmGfgYvj6XpDtLMk5VGYr
ottVD1WybJAEgYtzz9l77T7ssI+rT1QJEbMSu0RExC3kW8XRiYozXyWrxjOftDI9VF0aMVKxSkD8
1kYdjGM0OGcximp2WyrqE/ui0lYxa2885QIr8UExx90A3g8vxyYZk3Wje+uoDc4l/EX9U61vidc5
J+JRDKzsxkAxWb1g91/W2kAglb9RamU9tvo109BTrB6bCpIzGkYIOQw3qg2THawqxpkSWPvCr1ev
/YuUn4tq0SAZz4KrsVTWZDCTi52sc+EzRc3vpoepY2LTMk144VCr09zEdpis21Hf9yCBMXGsLHad
mpOsJc7/MVE2jjacJZa8A+E97xxl7QTqpQ+EKFGo1mIoRgODM48Wf1fpZxOuZeouSmg9btBjstWW
nkH7X7tOZd1SQ9ibKerX7OO7kliwHvzSedkd9IztVEXvEjqJDpogyFddoyvz0a/5QFiXi1FsY105
8zygnlVdX1olnEi8pACKmZj2GBwDqZOYBvnQO4aAWbass/bCqL0bdI77oUFIJBu+Zfq+Xah+qgpl
0Q/pY5LEuwFsuN4yipouVtnra7+9VVJl0dXNjWHcZiMzSlYGXwfpD+onC5xNG0SPReteBavo2pzS
WDMXf4C8xtKQYVKjTeqlB7vkK0GdYKjpvFcJ6evFilSexWhTVhjouQvnIp+yr+m3zjS9PQBBVOJ0
3VrNKld4nmYNTOOkHD5rVA34UaaSriRlVrmR0+A+VlbgTcFp5DceWsNgAKpljg8BWy067nvauQAr
q1VLyy8neq3X0PwUM6mzd6gzVgDrLqXtQWqOjpx/3FdwgmW9QRSwmZq+Vtis7IiHOx1C4kWCUzJh
97Yks7VAaCXzhSTOYlQJmxri+yYbH6oYLFIRp49pHENNc3qCFZBykvDxMi3bDNFx1tv9U6KE5yPp
dqaCRx77wtSG02PqLgxyT40dxXBbtnVHEBw0vWVJa62jIVMRUlyOo8R2lj6GTvkAwxQV7E6gdEEc
JHSGpg0fmoeu3R9MLKoC8b5WsmmoBdtnIMN9Pydv5m662iuTQpEKxo/Sc11gDjXQ5Us0QXrO0lOi
50/p2ybCGlYF03vsRptUenjG9G2XUsXASxTx0WYeXzDVi8YCBR/zqybccUZdu5BLnmcLEG9feuMh
se9t33xS6+jL2MNAjZJdrZXLKEv2HvPJxjhTHVARAStlNXehNMyBab1IRSWtGb9MRYXoKvIBoFsD
VFE9i21Ob1zc5lq1IwtXnTU2+BUzpm2JnytuFSCwyQIy9iFTEfUpdUseWnwwR2z8uBCChQFBlUQT
kmAwii4Ju5cT0MhY1QP4UiGlPbdiFEck6JzbaRVuavpjyDY1CBxdwl1L6AZbYxmi50DTYmgJhErR
XnbBzFQ161KNa3GJ7bbdgCXLiFQazpTJS6iaibEGsR3fNpN93EqqW6GqKAY917pOG8517dcx75Uf
/YYRd4NSl9TG+06d6Cuqs5m4Qg4Va+cF0LBtzsMrFIZC5yps2L8FaaGtAGUQm7DTfCK2sJ19yQof
GPn01K5HazfGiLKtDAp3gfLYLbKb2PC6VecHwVJ3UVunjbvpyCj2BifCTYBtLxlAXQzoyAx5VpHy
dRonERps2L9Mj3YjyTxVcuAyX5Rp+dliHsBzpf7Sp6QUWql17TQmgNsGqoN+blX6NdqgT+7o3PYh
UPzMfzIdg9227j5amX1gT5itGM9H8xENNnR0di2pc0mK885u7Fu2X3DF8fi4+Xlc1Cx2qEn9enxR
Q7w1qHjOw+4whTupfJ1dzB1qmwZ9DeWiiixG+4KLx0WBXnobGVP89ap/NCnwDTLTWn8DyTc/bQ0E
So0LOAFZwLktMD2CwZ63tEBLZELYNcVOHdHU4Il8aFv04+j3T40mJbWQXUtUqe2s73lHFRfOZzpM
OZwZ/ab3uczGVw2fRwvO5Lanih5Y00mHhnBESJcS3tQubRQ7uyRnJJ9rlqUQTCHXaj2l+fjuqZrz
pQads0ASQCMmVr/QP9+5nksGFDDTZnRREQEVqpWnlvYJ+CG0hablfhEISFddjlTXCi60utiZnbHt
GIBMaa6KViP28M5yE1YutqJEuewRlED3sI2ZWVEE4gyPpS1ncUI9PQmsa6gvc1IEPw8mmx9Qs2ik
0lAjty12Fmmc3Zkh3G/kyBv25Sm7EkShWwLub9yUbX2nrhCT+IRf2LNWLRY9KtmZZsHDGNOYxTut
dhrUaOEUK+R+hFgbcXbQteRJqZYMlMS8w6ppD+u+7XHOd2JgpwC4pZNCzFK6wJ7lHVsf0acZLYve
P0CknYd29Ezy9x07AjSm8ZWXk77YVGY9T2i6wToDwXIqaOmoI5wn+7wzndWQgWl2vPYQWtFVFSPY
VJ30iOLmoDpxNxOTwi3xSZVsNFgusrs2fB+beY34pklUmgzxuAiLbI1ylxtKbXdkdIO/LkitfegU
71YRwyYKzAvMhKegAtk0Rvduqp23tsNyea8UWo69mwBVxSX+RBXJKhdirTrXtUKop5dpSIHOemnj
n/JQ1nqFhcjIJtsHq4A1zCkNwkktjozWejQtcNE1+UhzMyAlLapVF/gU4agu8U1OdSjRDhAvNmXn
VMNE4p/8SuymIOSTx2r1+tTyux0y6lMXNNlGS4lPVYlrFbTvsBCPO7OnqHdyBPGN46S4gbN90Q4P
TRNMoULpvhrLDbtBE9D5oxT+eGkXZATrtovKQ++xOUOJDE1933Xec9jkZygn8432iRPzabBpdqGN
ZHY0enQoEhNRVa4+haIb5nqu8Pnxg5u1GQP7VQn1NB8plU5ztSd6ycafXBFKMdP7qthKF1dAbxXP
Y0NbFy/nWp+kdW1V4IbIDxT/wSKuGnzxur8LOi6wTsI7QO5ykVpcGl48bGs9k6dxjR4X2HZ0qhkg
g0t9R8cq1wvJTrNkf+rXV6Ne00/Aas4Whz1l5Y1X6HnwI5CQWBePsW2yt9IpSrwOWe3gXuuSesnL
iqNeovPu8H4EkvisgYv6dOhNnsZqtR8NADVu30MxJGj2UJDXpZCrWx9rB1mmEXATtP6I5DImb97I
1asxN2gNqkjsy6C7bgYN8qiNt7TozGwFSGgTgyxLWPCSlrShuuR8lcYki+c92O4zgtg9tnjYPz53
QDTCzAgQo87NZMsWjcBWxNDsHa1DA6lM1RgOZKjfZZhzSwVtzs40RcbWNeYm64go1HHj+EzX4xop
Vd1UkhKfyJyiaVwCMsqLJLwK1ebRLtFoZWX0qW8PsiWLJxBqehpEJHSl9SbqqFMysR/07ryq072d
09Sxh2bcE4Z7OTQuGNuRNpfjIPu2hE7SDc9QLQqCS+4pK2rUVaHzTKv87Kh20EUpz5eFbj5gxd0n
lH6qapvLpGQDIqPmczTJQrNsXLd4UzdAXjcONha2RCTvJAN78IqXGcrlaNi4M2ciOY9tm8ebnT7J
gj2qbBttBguOGLJYu1BhoSL/E2djnV42+E1nCT6TiTVFopmS7REWNptqaqT3gUYYUh5iAvV6nkrl
o2cXOSbNGoNni3U5NzsGFBPgnziRhOzDwZr3SZYu6wgeOny7lZpgQck7zYLGRDpSYZO1S4Yb174v
YfJrGMlLeDoLj2bXarT627zotHOTTIFVG8ZwRfpsIxlR34U+IuOsVAfcQxg0IiVRuG7JsEtEl2ym
ma4X1Z86W1UWw4QgNKQL1sIfb8tmmIu6jKk2KXtgxB8rj6eHGOyDHl0Vmr00FHKDKV30MvUoMC/8
ImnPpF7cw3ZnJnxBqIQGhj1ykOYTnJvVOxFJ43y0UP0aif4lovdTiHbT1MpLKNHMti5rjmM+svWD
QtUAzMkHGhwdqW25LaAfddzSaVA9+7a8cjzCVKicLgbZP8ay+JyocbRUe4ghoKln+ogKU7cTD3IH
ZwxpFc2tURLrxlsZMfxk5GNQUOM6clJ+34KgTIt+htiOCFnaUb2HmywTwKVA/ro6xDoz4lYkFwFR
OWekZNwAVsSlzUKHMATasdRU68Ktlij4CVEXPIQm/4bfeXcSDC/pEsfpwZp4/kOB63jmVeqqTlgF
QfHRX+ZhhMCut4ijK8gLc25Hasg6p60Ya3g1Uvp3MzJ1QFlo5TkSuOI6akKyAcb8DMCGvaiXtguA
zfX4A6dDXdu2sLtGIhZVLVialszZYdMstCISqRsnu6wUPV4XDsN+zAUu5gEuFD+/1wwRX6Idqa+m
ZVAzlYeIYM8FSVxErM/YaQn7rrLKYo8b4iKqhmIda+jDCTobyCYQBIAZuIjpjC2TlvlHQkedufYd
tBzYo0yQcp+beNDosMUqWYPIZqCLMO0eMZioYqV6chOxU2JWL3b2QPoM3TimBhJ3s63xGmiEGHRq
EydBte8QdMt5oEA15GpXmfrr+4Fs1m3grhSTZaAL8ntvyremsjkVAPBcP6esVu6klj9lbrq1S6Jr
/ZiEtQy6EPR6bL2TJS3ZNb1Nfk+zgNvWnVo1utDS0vSzYoQfnST41oKqIepVB+viuOXOSoGBeGVh
b+uSXXlPkiub31sj7MEh1cZSdYwtjUHiHDKrOw/0ahYqXCJBPtxa45QH1kz+bQJNl6VeLRix6STN
IPOgrNJnrcdf1XxvH+Zsrm0j2Hd4bCBLwA3M4to7t62CXCmDBxxJcgtL7Telz1kVOZ4fZl/3Qqmj
Fey9KbNQ3kgZp4txQioYtvbZjnGnkUka1u4znYyOUD62r0kqafcq/r3nh8c6V8Uc+bO95C4MiIs2
RvcZeMmF6gfrqL+vLDb+DeZ6JodlsWkk/nhc9Ds3GXfsAA3S1sWlMjLD0+zxSZDgdxY6mEmZ3qFg
7xF4wvBL99B4EIMvhyxr7xqwy2Spefw6u0+nNGxX5ZaOelplIalVC2M1iKRcOipYwJTx9kYqYAvJ
xUVBS4vFEtEuDUuBGQZlhxuT2UNopiqGaxgeRPNkubUzSzKd41LLTkH3cqIY7BMUSsYwA3jltCxz
+zSTzapCXxXUxbOmgD7roD8615knj5QqaJfnhGBfW9TZYIfMfR20ZNmBDM0aR18RkPHgTd9D3BNY
UgZLNQQDU6v+aa9bzlYb9pDqEOiAITvV7PrSQ/S8wYdzbKuIIR3dxQCx4dJSci5o+1KE1hcg+1tq
S6tV8Wjq8LvzT7LOD71B8KdTEOWXcmvJ0thJl6fvMKLvlvJWFxhpvewsHlbkJvXzwTIenAodjh+T
BzHCrAkKDdUp4tL5wEhipjdkfHbNuLA746mUfEE57UQRSA2baMcQ6a7RrZdaluQhGcMRwhVPMJNy
byiUQyW4mGx/12VsqvwqfSqd8dAZGVdvVDI1vyTzyYQA0p1HaeNsRvpwapQmq2k7FebpHSh7IGYh
CCMEu2c8rABXpcGz09H5VrsJfMhQpOo9xgtltQ/T5MpO3FdfTt3KW8VSviCnIMfbTJ7SgJoFb2c/
i4qclcWS3MZc8LOg9F6MYaU65s71Ac/kWYYhMEgftXLcB5C3iGXpnUUHsQyzvGjJqvB911zX2Xgs
beezadU3nS1v01KetwIFBwXFKQOhkRCNcGYNT1UtoysymaH4RF2+MsFF4qgcDLY0WCJpoD8ZiouX
TGULa77UGtOulnHoKMxtJ7CW+fE1Gcx7vdL8GaOjq6DTbzUgKluVeNFYe0AJna2hofk8gChuYdiF
U26vtO07WeFHMjPOZhrB0w40WPdGMrLQbmqrvVZLdgPQSH2KZRBL0Y0MO6DMu5yEw9a5NWpjocTX
6RQZ4KTDNhwkkGH0i4RY41UV0mXH3NZbkrLhgEQFqzQ3pwZLoyx8BATuhd9k13kioQ6U2aEHQQhW
3P8ENeM2xvCQlO5DUQQXQ2184qFzNWTqsEgbanyjo/lN4CNkPcVQt2oESFOvKFV7pYalqJ2Fkbc0
iVuQNsyEKWniojaMlzHVAlQN6sYAtw+bYt/SDdUFxNVm5KFhxkdynlYYlD4nHtJHuldDo97FProA
I8FEFwr7wlDXVfGlSPtLbUh4hNCZ1fFF+t2TFo9PYWwwUKuXjBOaPF+hp3DmvuddEjmwCzCAMEcM
zwdhUg2BTktdKgMNbKVgw8IAbZzZke49MZX0yn1Uu+3aUDrinir71k+X7UidXZYs8hkPlDlq96Uk
GWVmhT5huozcHLIWmePS34v3bqR2p2ktr1xHeahgymBNI1GntG8buiM0bsRnJ8NUFLaUDULygvj3
fYKV2VtyWU70c93jbHlqeDkQeFma61ZC41ECnDitK2/UIVvpkCALgqukvIILvGeiKtMBN2UOjMPF
rhmiLwK3WlPKmzVIcuOiKIazyrMl28trOwRAO8T11opVMQunMRiUEZrpDWIO2V2JuL5BCXLUPRir
amZ+HpWSRwjInTzkIuuh80EjRKwf9zev1QOZfWsbiRlqBGcPXm7d5KgXK4+lewzjQzH4l6DCpsfx
nMzagYYMesX2XONx1FT90mOF4HuYWQ5PtjALw2UblyjsVGpNOpdCJ86mmUVZ9qVuukM7UTtLjO2i
Qa0x2AVZy/FDMm2wm9yBHqkYxG3k5dI2stUQpE+dVe5VEWSQkbWLTkY3KaOMyrLcRUlsgpF3mIWD
rF1GYfpQyICs44q7tApwOrk9jyPAS6mL74nY64bcKuAw0SYwi3lSZtbGyiPyB4xwPYp14HPXtgK5
Cxo+huDlWrHgkgQohGc1fb3PTmCyx9aNamkhp8GoisXEZoB/QTa7ix02v8tzcegqnA6W/+BZ7fkU
JEgkDm2YXp3FozwoQXiWJH5Fcw7ZRBK6EG6sTa6iJWM1XiR1fte6NNNMU4chr1bsgLQtvjce1q2y
bQqdiKeGcL9w6K7qLl9qKWYrRo/DqUa2HYKbO8crgJSnhjbPVfdS8WDKgNmtyDdcGnXaM+gw106o
Z1ulMJ9r29yVZrvWrISPUmhLmxYBSrd81+dlNCMNFKFq284MeCpjblkLkMWJymcqCw3TZd7ca352
mUX6vVrP7CQ/n7aIw8AAb5wEtELhm1Dt/ghKYVGn4tlpK47s7VIKnUXizBpEVgGbZxynDm6VkCma
KW7Imsq7vT7CxxqzB6mx7R6Ku8ZDTRGIl8AxLqq4v7JQAQHyhxiJFFyflT70KyNjp2oF/SIFl9R2
ZJ9WqpGsEGmfuS06bI8RjPSHtcaMRHe4yIQZjTelhgfMs5iSU7GMQgYzm/GmO8JFwNHZAZFVYPAk
AkoCxli9AqxKma+QDjcPXBb5Muv4mClynrhNv9Rtvh7N7FwqyeMYIWLyjerapU3J+6zz046BqxN7
MD1dmuC+If1lTBIp/nqyYv005pwweMkQxl1IxkvM4N3JEf7ZpEk367JYO43T4aBqZk52k/9FViHT
oY5Eb6WubxMLcLjfPwVoP1c5m9mq9KtlYPkEbPQ2viS+u4WfyNvxVgdccYo1Qptpg8+Mi1gKR6Vg
xOs364YENydKlcGtHvTKI9Ap+tzrxOkBo9qVjo9ELoexmmJ2m+dljoxFmGvV9eZxAu81a6g0Qmbr
SelxNWns+Nl4oMkotavcoqDgkiCgHnp3hUzGD3mG+GAufb5MgOXJYwJ6YS6b+iKUmcnminaP/qVT
zINwAvdc+hTog+LVa3LpI9dEYxerK40UXZrbs9iIFyLPqn0cxrO+mFYra9ylTcj+JcDWT7zQEtjJ
seq578hIubd1ynotvMirlrvei7FXjtGFT4cD+C/lKUXU0kzEPozZWoW5wGWnCfR1xNJnCpDCT4S/
pwuU/0dVTU7bcAhAVvDLysdy7Opim5amvswTjLtwnLJlJW7T2NX2ieO567yBinrLcr9um0TM62Ay
TJbUecj3rGZqr1GBtEszDSSRM6w50k8+p63X0r/iQVvzNZ/qQrwUbAsLttwlI/xTCfkN779/jXJl
XyhTT+gBr2IzL3u+M0Gk4gzM/4vjfyYtjkGNlp6VerftDZNgrwlaZDZAMfM04+PikPSDEgmGwpXv
NHTPaon1alBwlYeEZFhnTmqd+YZ5njvVPCT8jalX+pQJcEZg2lauk6DoiXLuVMJ/e0UixgC+2of4
qVWXzzcV1mQBGD48k3pcBeZljzgsM1p3bYVROasEnXrmWLdYEFDpLdERL6QHE0Y1TfwVLjYthYYg
dw5b+l6JEWwmTFXty6ipt0oLWnMI4llbKl81o3+LrrReXC3+a/oXTzmtuNAPmn++/7H++jPhOfNj
c3z3w7QZaoZD+1INVy91m/BPv8bsTH/zr/7yGwvpZihe/vs/js90oeewcqvwqXnrxwLAaCMq/mOy
0t0xSV7+8fyfv+R18w6w9O1ffnVy2SeugZDSBVjN/+hYmb87uQSeLGI7XHRusCxgYaGu/W7lsk5c
YI6C37oM7YXDr74DlsgXE4jVufNNVejW3zFy8Q7eC3iZH/IS8CB5GKtC0zjce3W/FfWJOt3uICMT
yJewxhCCM2ZukIQwpWug/pcbeq+XjbQPSqntHQtXbxBgtY14dDbEwxqJtlRAEECCm7Jjh6qAzSmm
PFmCZRV2vBlBs6Q/2ou2Jhm3IQicKFoe79aUTDsUhZyTTH0nmS5hGEc2yMZ4odgk2kZp3BJnQQVW
MTZzbOUsjWR1HgBuww86cC+kIGi07NNQiIeS0FySugx6LahBiRy8iadk3RgB6lDVAi6T+5iPctsB
Fl56roE0NUbBhdM2MKt9wgwHKjoVBu7sjB6sDgZC1eMFwvd27oaEZdEXeMDU/2znCIkpfGQIs3ia
6M69tn2UGRpr36U1U1ZM4ALihIkVhrWNHZ+g4WFKHLam7GG4xZDrBtYh03MIBgLTulKYnENKYKpb
TAnGDRb8wqWmi6gnAzKOA9pNPU3QiPBjsqNvK8KQfdXq4eShY1EjuIpCnUDg8dU4ZSjTrc1m8Ohv
mSBB6lM7fSGJXKbln64UQdyvURE6b26zlnTmkZhmowYXp79gJz/T+jI/C3TvUogiPU+zBZA+d+aU
o78NXfumA6jsEQVdBhCMylC/8tmModpBAOM0gJ7Hpl8pMn1RDNqgVZ/cE2yD1QBf84z0wzOjVM+t
mQ0CCs7TNjKHDcp3HSwAZchAcLUmC5r3FWR+3WLXbpqIt/3yKCwfCy1gbxo8/Sv9mHY9ptmMeOyB
mOx8DNeMtXG+iml1G4l5YIKVqzrZ2jS4idomRfPYJQygbPdW8+nhlIGzRAZ1BH3u70eN6a3dPZLP
qaXlY2ADWPQEoIFGnoPpjdErrElk48KZEsBXHOg6ZtI8G9wMZ0t0MUx54XpJcrgkQpxoKxoz3ipz
HYDVPab5BJEPhly24qrCPWLlpJFDJ2MIRj55PODVK2kMmCIe6A/5T3Zb38RTqjlBYEslLQmwDA9D
y6fBxXAkgaFgfgOM1S4+0amVdG2QePuoXVYxAEqZeYfMKR4rg60VSjQYv8CDkXAKHSdVlusPUfvS
d5iAO1/V9nU7aPPCDizKnvyxN+SXMJ206IOxrbLnwaf60iCWUVMLJhf+ElBVedoZiOZQ8z5kAT7u
Ivc2WtngMs+gklQWZJcB9kkcobwB5eGoDOd9L7X2cRUtws4M1jp0eHOcYjNjs53YRTeV1Amedib5
TKYy03F4DzJaGm1Pj8fo1HWR6EhkNCghZN+ejh20HPiundmCL2wBpME00B2aRWhenHXcGvNibCAc
VcZL49hbfCKPPWcPkQ2ZoKj3L1qmHrWwgJ9ro78hd9M+1WOfwXlFKMAgyLwu4VnRY8NP0Fs3tZrd
GYZ/ZyqK2EXlJzPKR1SJkpmGTG+xdus0To1xYbTcjTlCL5Y2YknV6AXCWrJN8+xIt/TOGe1wo3km
ejFZX5GNUa6qMoQXAK/e6B2mSma9sCQ56VwZ6mSgSfrbbghehP4SWM0z51yb2xGqYtRR5UMB1Fvv
vYltwOKVF/XK7SPrkJCvjYZ1Gbb+hB8DuIReT4LIx0Q/PrBTYdm23E/u8NxVIKKSXAXoRXuq18Uz
HY+OQTqOA/LsAUxXGy/Q7x0ick4tvcJcVA4LCRV/phqzTpUtsa+tubTFdWun2gyTOp1Lc2+wR0QW
j3tglOR8Ifp7ACdzFufNQ5j5/cKiHU4yM4u/xw2C2j5j7utH6KxxWSSlsq1r/GBGD+0YoTfNFyKQ
4ZCxrEbQBYYSJmRYB3PTCQDoDXmAQs68Hl2ZbB2th6AfhBPna9tERCSVQMFp7zEPs8Wy9gaxr7So
PutSdw6DJFxomkYPpWZKR1uBjgLbT5wSAXBWOzGKVVmDjpIMlnIrSG5D6Z/SyPW2GZZaQW7MNNO6
0JA3W4MHRymrWJELwbfSor6JEDK50snYxqJAsRSyDyqu+jqH/qWADsF2IPJFO0h7xqT9nCEHz4Us
7WeNHsAiqsKFIR+xg5vzhOX41IZLR/VXkv5SDAdNIZqoFPoK65HHysP8qgmgqqqptoycemXmhAgT
OD5RiD7h09E3uQDBZWAwUKXG4DHq8XsEPN/EdVbhw7Ickg7pzMCMFSbhEJFvvbQK+Nru3kPfja0p
pZUirvUgd5eWBPndKPr/f4n4rTz93RqRYvNfFeRrzukNKS0/VJl/6S/9+YH+WtFpGLaFz+9d0fn6
pl5L3j87RnLkPbfPVLSmcYIGx8KYS6PxtUT8R4Ly6dtvNe0ERxxpyKqFvRBr4dca980p+qOT8Oef
77fl+G+P82fv/+VXPimUAqyQHzsF6gkfULc10zIcy8aj/x/vzoF54uDeNhm6w1gQVMCvr/cTnQPN
0U3MdB87CeQX48qzdIFJG0CByYX19kLQT4C38qe2CYccTNTX6+7//iQ85W3WTPs5P8yztzswzK9/
7RT8cIR3t4Klu6rOh8elON0NP54CTegaUc2CjRAn42e7DGBaTLGQH7sMxIlJd9IQtrC571/3eG8v
A+1EdzgHpLKyA9VM8+dbDyb4ycdOgX6i6zYualY+ttvGBNp+ewqME9ZB/Kts0V/32z/dcgBt8aNL
ouGeEE/DJzQAlPN00Fhe3p4DcQJkXJigmzkX8Ll/tlsBNPQE4vjYdWCeYFJ+RXcYDnuBqd3x9hxo
J9A8DJ4JpOWq/F9aNbze//2K+Ic9qanr89FzoJJPD9Tb4rkH1AEW+/tzIE5UByWwyo0yLQbGT3cO
EEmpxkSN/9ClYNgnFve6YTIS0lhlJ+7F20vBPIHsQ7+OIgnRGiCmn+1SAMXhfPhaECeaZZiAglwT
w5P74+PROCGNkxqKOwUTKjfMT3cSHPGtfv2hhv875bJJuazyHxtaBBsp6/3C6ExVEveKMbHx8Xhz
nfxca4JOE+vrF/OBc2Cw+js6ywF1Ihe9/ZsHpGawZeAMTP8VU5Lvz3USKO4mAtGHlgTTgqzG/ONf
tdK7JcHlQiDXQDNZfl63Vj/d3WCYv4XO/e3NIydhuhKoERjffn0Gvl0XtalU0uDSUCuws/j5rgSo
Vx+ulUwNkh5OK8cydXOav/zwjKSMAG02VZITaYsdxM92OyDSm4B0H70dAKhTABD1Ad8FfN6724G5
lm6oPDToNeikv020wZ9rTdAFdoKPngSVPTS7Z8OiaoaDNW2S394OIBd1SHC8EDN/4/UB+nOdhKla
otr7+GlQqRb5pDb6tGnq+PYssLOAtOSQ8q6ajuW8shB/rrNAmaf/mJLzt1dG/WSqmnk4/m6doOkn
Jo8Hl8AmtCVstP5GxfgXdhi/diCBJSfPrw3K8KV+Mwj/t3/he/vutwf41pabsoGmlsu7vzgNyb8e
+muDbvr5n+/2J6/7oze//L5fen2db//82wf87Uu/e63vn+r7H67Dl+pYPQXD6y+Gb2/z/JjS5Pzl
EdT6GL5tF7Emf//xd0f7v66Gf3bc02MdJuETaoLvx3qNTHrdd/3rQ/5GNvCXjj07JsfHH8KYvu7s
P37ktDhm72OevrZRP3pkPHpJeFSuGNXjA3l7Tr5tyD/6AssqZJSkTDzcMTz+YzX99P51vm50Pvo6
O/rjbfruA3ztsX74wCFEvR/e8tdtyYePnKePx+p5ePemvxa6Hz30frqvXuq3R/62j/jokS/Dl2dm
mc27Q38tRz566F+KH6+Nb4/4jx74pq2fjtm78/xtEPPhI1fTEbJc+SVp8n/88hz6L29PzLf+7kdf
5Y8z3l6HKv/71fCPKdUfPPA+T8L63an4Vrd/9FT8W1HWB9/4dfgUJu+ulF/7UR9969fc6+i83y1+
v5Zvf37w33u+/tq4/O1T9/us7vf+2fuSYvobT8nLsfrn/wAAAP//</cx:binary>
              </cx:geoCache>
            </cx:geography>
          </cx:layoutPr>
        </cx:series>
      </cx:plotAreaRegion>
    </cx:plotArea>
    <cx:legend pos="t" align="ctr" overlay="0"/>
  </cx:chart>
  <cx:spPr>
    <a:solidFill>
      <a:schemeClr val="lt1"/>
    </a:solidFill>
    <a:ln w="12700" cap="flat" cmpd="sng" algn="ctr">
      <a:noFill/>
      <a:prstDash val="solid"/>
      <a:miter lim="800000"/>
    </a:ln>
    <a:effectLst/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1.png"/><Relationship Id="rId1" Type="http://schemas.microsoft.com/office/2014/relationships/chartEx" Target="../charts/chartEx1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530217</xdr:colOff>
      <xdr:row>1</xdr:row>
      <xdr:rowOff>171450</xdr:rowOff>
    </xdr:from>
    <xdr:to>
      <xdr:col>6</xdr:col>
      <xdr:colOff>59259</xdr:colOff>
      <xdr:row>9</xdr:row>
      <xdr:rowOff>42334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6" name="data">
              <a:extLst>
                <a:ext uri="{FF2B5EF4-FFF2-40B4-BE49-F238E27FC236}">
                  <a16:creationId xmlns:a16="http://schemas.microsoft.com/office/drawing/2014/main" id="{359572CE-C3C9-4C76-989A-E46AA087FF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0217" y="361950"/>
              <a:ext cx="3212042" cy="14054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Sequenza temporale: funziona in Excel 2013 o versione successiva. Non è possibile spostarla o ridimensionarla.</a:t>
              </a:r>
            </a:p>
          </xdr:txBody>
        </xdr:sp>
      </mc:Fallback>
    </mc:AlternateContent>
    <xdr:clientData/>
  </xdr:twoCellAnchor>
  <xdr:twoCellAnchor>
    <xdr:from>
      <xdr:col>21</xdr:col>
      <xdr:colOff>158750</xdr:colOff>
      <xdr:row>9</xdr:row>
      <xdr:rowOff>131233</xdr:rowOff>
    </xdr:from>
    <xdr:to>
      <xdr:col>28</xdr:col>
      <xdr:colOff>433917</xdr:colOff>
      <xdr:row>42</xdr:row>
      <xdr:rowOff>63501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Grafico 2">
              <a:extLst>
                <a:ext uri="{FF2B5EF4-FFF2-40B4-BE49-F238E27FC236}">
                  <a16:creationId xmlns:a16="http://schemas.microsoft.com/office/drawing/2014/main" id="{DB79893C-DADC-414D-9A99-9CBEF1A2F2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49250" y="1665816"/>
              <a:ext cx="4572000" cy="62187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21</xdr:col>
      <xdr:colOff>158750</xdr:colOff>
      <xdr:row>1</xdr:row>
      <xdr:rowOff>127000</xdr:rowOff>
    </xdr:from>
    <xdr:to>
      <xdr:col>28</xdr:col>
      <xdr:colOff>433917</xdr:colOff>
      <xdr:row>9</xdr:row>
      <xdr:rowOff>31750</xdr:rowOff>
    </xdr:to>
    <xdr:sp macro="" textlink="">
      <xdr:nvSpPr>
        <xdr:cNvPr id="14" name="Rettangolo 13">
          <a:extLst>
            <a:ext uri="{FF2B5EF4-FFF2-40B4-BE49-F238E27FC236}">
              <a16:creationId xmlns:a16="http://schemas.microsoft.com/office/drawing/2014/main" id="{1690F606-A38C-4921-A365-EC9BD6B3A965}"/>
            </a:ext>
          </a:extLst>
        </xdr:cNvPr>
        <xdr:cNvSpPr/>
      </xdr:nvSpPr>
      <xdr:spPr>
        <a:xfrm>
          <a:off x="13049250" y="127000"/>
          <a:ext cx="4572000" cy="1439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 editAs="oneCell">
    <xdr:from>
      <xdr:col>22</xdr:col>
      <xdr:colOff>148171</xdr:colOff>
      <xdr:row>3</xdr:row>
      <xdr:rowOff>31750</xdr:rowOff>
    </xdr:from>
    <xdr:to>
      <xdr:col>23</xdr:col>
      <xdr:colOff>563181</xdr:colOff>
      <xdr:row>7</xdr:row>
      <xdr:rowOff>97484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94D9E5E-7CA4-477C-AA73-75784C824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52504" y="412750"/>
          <a:ext cx="1028844" cy="838317"/>
        </a:xfrm>
        <a:prstGeom prst="rect">
          <a:avLst/>
        </a:prstGeom>
      </xdr:spPr>
    </xdr:pic>
    <xdr:clientData/>
  </xdr:twoCellAnchor>
  <xdr:twoCellAnchor>
    <xdr:from>
      <xdr:col>6</xdr:col>
      <xdr:colOff>130175</xdr:colOff>
      <xdr:row>10</xdr:row>
      <xdr:rowOff>87313</xdr:rowOff>
    </xdr:from>
    <xdr:to>
      <xdr:col>20</xdr:col>
      <xdr:colOff>429312</xdr:colOff>
      <xdr:row>26</xdr:row>
      <xdr:rowOff>10583</xdr:rowOff>
    </xdr:to>
    <xdr:graphicFrame macro="">
      <xdr:nvGraphicFramePr>
        <xdr:cNvPr id="5" name="Grafico 1">
          <a:extLst>
            <a:ext uri="{FF2B5EF4-FFF2-40B4-BE49-F238E27FC236}">
              <a16:creationId xmlns:a16="http://schemas.microsoft.com/office/drawing/2014/main" id="{1AAC2E04-D657-4413-BA49-36E1C83A71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507997</xdr:colOff>
      <xdr:row>10</xdr:row>
      <xdr:rowOff>31751</xdr:rowOff>
    </xdr:from>
    <xdr:to>
      <xdr:col>5</xdr:col>
      <xdr:colOff>603247</xdr:colOff>
      <xdr:row>42</xdr:row>
      <xdr:rowOff>21167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6" name="FiltroRegione">
              <a:extLst>
                <a:ext uri="{FF2B5EF4-FFF2-40B4-BE49-F238E27FC236}">
                  <a16:creationId xmlns:a16="http://schemas.microsoft.com/office/drawing/2014/main" id="{6A605533-20DB-4C02-80C9-2C568BB883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troRegion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7997" y="1947334"/>
              <a:ext cx="3164417" cy="60854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>
    <xdr:from>
      <xdr:col>6</xdr:col>
      <xdr:colOff>119590</xdr:colOff>
      <xdr:row>28</xdr:row>
      <xdr:rowOff>105835</xdr:rowOff>
    </xdr:from>
    <xdr:to>
      <xdr:col>13</xdr:col>
      <xdr:colOff>232834</xdr:colOff>
      <xdr:row>42</xdr:row>
      <xdr:rowOff>31751</xdr:rowOff>
    </xdr:to>
    <xdr:graphicFrame macro="">
      <xdr:nvGraphicFramePr>
        <xdr:cNvPr id="7" name="Grafico 3">
          <a:extLst>
            <a:ext uri="{FF2B5EF4-FFF2-40B4-BE49-F238E27FC236}">
              <a16:creationId xmlns:a16="http://schemas.microsoft.com/office/drawing/2014/main" id="{CBC75B64-77F1-45FD-AE5D-E01A1D10EA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302684</xdr:colOff>
      <xdr:row>26</xdr:row>
      <xdr:rowOff>110597</xdr:rowOff>
    </xdr:from>
    <xdr:to>
      <xdr:col>20</xdr:col>
      <xdr:colOff>433915</xdr:colOff>
      <xdr:row>42</xdr:row>
      <xdr:rowOff>52917</xdr:rowOff>
    </xdr:to>
    <xdr:graphicFrame macro="">
      <xdr:nvGraphicFramePr>
        <xdr:cNvPr id="17" name="Grafico 4">
          <a:extLst>
            <a:ext uri="{FF2B5EF4-FFF2-40B4-BE49-F238E27FC236}">
              <a16:creationId xmlns:a16="http://schemas.microsoft.com/office/drawing/2014/main" id="{1B06E8FD-9BE8-48F2-BF13-3CBA585CF1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ssandro Maramotti" refreshedDate="43901.664376851855" backgroundQuery="1" createdVersion="6" refreshedVersion="6" minRefreshableVersion="3" recordCount="0" supportSubquery="1" supportAdvancedDrill="1" xr:uid="{D7E70031-50D2-45BA-A4A1-66AEE3451518}">
  <cacheSource type="external" connectionId="3"/>
  <cacheFields count="2">
    <cacheField name="[Measures].[Massimo di totale_casi]" caption="Massimo di totale_casi" numFmtId="0" hierarchy="42" level="32767"/>
    <cacheField name="[dpc_covid19_ita_regioni].[denominazione_regione_adjust].[denominazione_regione_adjust]" caption="denominazione_regione_adjust" numFmtId="0" hierarchy="31" level="1">
      <sharedItems containsSemiMixedTypes="0" containsNonDate="0" containsString="0"/>
    </cacheField>
  </cacheFields>
  <cacheHierarchies count="61">
    <cacheHierarchy uniqueName="[dpc_covid19_ita_andamento_nazionale].[data]" caption="data" attribute="1" time="1" defaultMemberUniqueName="[dpc_covid19_ita_andamento_nazionale].[data].[All]" allUniqueName="[dpc_covid19_ita_andamento_nazionale].[data].[All]" dimensionUniqueName="[dpc_covid19_ita_andamento_nazionale]" displayFolder="" count="2" memberValueDatatype="7" unbalanced="0"/>
    <cacheHierarchy uniqueName="[dpc_covid19_ita_andamento_nazionale].[stato]" caption="stato" attribute="1" defaultMemberUniqueName="[dpc_covid19_ita_andamento_nazionale].[stato].[All]" allUniqueName="[dpc_covid19_ita_andamento_nazionale].[stato].[All]" dimensionUniqueName="[dpc_covid19_ita_andamento_nazionale]" displayFolder="" count="0" memberValueDatatype="130" unbalanced="0"/>
    <cacheHierarchy uniqueName="[dpc_covid19_ita_andamento_nazionale].[ricoverati_con_sintomi]" caption="ricoverati_con_sintomi" attribute="1" defaultMemberUniqueName="[dpc_covid19_ita_andamento_nazionale].[ricoverati_con_sintomi].[All]" allUniqueName="[dpc_covid19_ita_andamento_nazionale].[ricoverati_con_sintomi].[All]" dimensionUniqueName="[dpc_covid19_ita_andamento_nazionale]" displayFolder="" count="0" memberValueDatatype="20" unbalanced="0"/>
    <cacheHierarchy uniqueName="[dpc_covid19_ita_andamento_nazionale].[terapia_intensiva]" caption="terapia_intensiva" attribute="1" defaultMemberUniqueName="[dpc_covid19_ita_andamento_nazionale].[terapia_intensiva].[All]" allUniqueName="[dpc_covid19_ita_andamento_nazionale].[terapia_intensiva].[All]" dimensionUniqueName="[dpc_covid19_ita_andamento_nazionale]" displayFolder="" count="0" memberValueDatatype="20" unbalanced="0"/>
    <cacheHierarchy uniqueName="[dpc_covid19_ita_andamento_nazionale].[totale_ospedalizzati]" caption="totale_ospedalizzati" attribute="1" defaultMemberUniqueName="[dpc_covid19_ita_andamento_nazionale].[totale_ospedalizzati].[All]" allUniqueName="[dpc_covid19_ita_andamento_nazionale].[totale_ospedalizzati].[All]" dimensionUniqueName="[dpc_covid19_ita_andamento_nazionale]" displayFolder="" count="0" memberValueDatatype="20" unbalanced="0"/>
    <cacheHierarchy uniqueName="[dpc_covid19_ita_andamento_nazionale].[isolamento_domiciliare]" caption="isolamento_domiciliare" attribute="1" defaultMemberUniqueName="[dpc_covid19_ita_andamento_nazionale].[isolamento_domiciliare].[All]" allUniqueName="[dpc_covid19_ita_andamento_nazionale].[isolamento_domiciliare].[All]" dimensionUniqueName="[dpc_covid19_ita_andamento_nazionale]" displayFolder="" count="0" memberValueDatatype="20" unbalanced="0"/>
    <cacheHierarchy uniqueName="[dpc_covid19_ita_andamento_nazionale].[totale_attualmente_positivi]" caption="totale_attualmente_positivi" attribute="1" defaultMemberUniqueName="[dpc_covid19_ita_andamento_nazionale].[totale_attualmente_positivi].[All]" allUniqueName="[dpc_covid19_ita_andamento_nazionale].[totale_attualmente_positivi].[All]" dimensionUniqueName="[dpc_covid19_ita_andamento_nazionale]" displayFolder="" count="0" memberValueDatatype="20" unbalanced="0"/>
    <cacheHierarchy uniqueName="[dpc_covid19_ita_andamento_nazionale].[nuovi_attualmente_positivi]" caption="nuovi_attualmente_positivi" attribute="1" defaultMemberUniqueName="[dpc_covid19_ita_andamento_nazionale].[nuovi_attualmente_positivi].[All]" allUniqueName="[dpc_covid19_ita_andamento_nazionale].[nuovi_attualmente_positivi].[All]" dimensionUniqueName="[dpc_covid19_ita_andamento_nazionale]" displayFolder="" count="0" memberValueDatatype="20" unbalanced="0"/>
    <cacheHierarchy uniqueName="[dpc_covid19_ita_andamento_nazionale].[dimessi_guariti]" caption="dimessi_guariti" attribute="1" defaultMemberUniqueName="[dpc_covid19_ita_andamento_nazionale].[dimessi_guariti].[All]" allUniqueName="[dpc_covid19_ita_andamento_nazionale].[dimessi_guariti].[All]" dimensionUniqueName="[dpc_covid19_ita_andamento_nazionale]" displayFolder="" count="0" memberValueDatatype="20" unbalanced="0"/>
    <cacheHierarchy uniqueName="[dpc_covid19_ita_andamento_nazionale].[deceduti]" caption="deceduti" attribute="1" defaultMemberUniqueName="[dpc_covid19_ita_andamento_nazionale].[deceduti].[All]" allUniqueName="[dpc_covid19_ita_andamento_nazionale].[deceduti].[All]" dimensionUniqueName="[dpc_covid19_ita_andamento_nazionale]" displayFolder="" count="0" memberValueDatatype="20" unbalanced="0"/>
    <cacheHierarchy uniqueName="[dpc_covid19_ita_andamento_nazionale].[totale_casi]" caption="totale_casi" attribute="1" defaultMemberUniqueName="[dpc_covid19_ita_andamento_nazionale].[totale_casi].[All]" allUniqueName="[dpc_covid19_ita_andamento_nazionale].[totale_casi].[All]" dimensionUniqueName="[dpc_covid19_ita_andamento_nazionale]" displayFolder="" count="0" memberValueDatatype="20" unbalanced="0"/>
    <cacheHierarchy uniqueName="[dpc_covid19_ita_andamento_nazionale].[tamponi]" caption="tamponi" attribute="1" defaultMemberUniqueName="[dpc_covid19_ita_andamento_nazionale].[tamponi].[All]" allUniqueName="[dpc_covid19_ita_andamento_nazionale].[tamponi].[All]" dimensionUniqueName="[dpc_covid19_ita_andamento_nazionale]" displayFolder="" count="0" memberValueDatatype="20" unbalanced="0"/>
    <cacheHierarchy uniqueName="[dpc_covid19_ita_andamento_nazionale].[giorno]" caption="giorno" attribute="1" defaultMemberUniqueName="[dpc_covid19_ita_andamento_nazionale].[giorno].[All]" allUniqueName="[dpc_covid19_ita_andamento_nazionale].[giorno].[All]" dimensionUniqueName="[dpc_covid19_ita_andamento_nazionale]" displayFolder="" count="0" memberValueDatatype="20" unbalanced="0"/>
    <cacheHierarchy uniqueName="[dpc_covid19_ita_andamento_nazionale].[mese]" caption="mese" attribute="1" defaultMemberUniqueName="[dpc_covid19_ita_andamento_nazionale].[mese].[All]" allUniqueName="[dpc_covid19_ita_andamento_nazionale].[mese].[All]" dimensionUniqueName="[dpc_covid19_ita_andamento_nazionale]" displayFolder="" count="0" memberValueDatatype="20" unbalanced="0"/>
    <cacheHierarchy uniqueName="[dpc_covid19_ita_andamento_nazionale].[anno]" caption="anno" attribute="1" defaultMemberUniqueName="[dpc_covid19_ita_andamento_nazionale].[anno].[All]" allUniqueName="[dpc_covid19_ita_andamento_nazionale].[anno].[All]" dimensionUniqueName="[dpc_covid19_ita_andamento_nazionale]" displayFolder="" count="0" memberValueDatatype="20" unbalanced="0"/>
    <cacheHierarchy uniqueName="[dpc_covid19_ita_regioni].[data]" caption="data" attribute="1" time="1" defaultMemberUniqueName="[dpc_covid19_ita_regioni].[data].[All]" allUniqueName="[dpc_covid19_ita_regioni].[data].[All]" dimensionUniqueName="[dpc_covid19_ita_regioni]" displayFolder="" count="0" memberValueDatatype="7" unbalanced="0"/>
    <cacheHierarchy uniqueName="[dpc_covid19_ita_regioni].[stato]" caption="stato" attribute="1" defaultMemberUniqueName="[dpc_covid19_ita_regioni].[stato].[All]" allUniqueName="[dpc_covid19_ita_regioni].[stato].[All]" dimensionUniqueName="[dpc_covid19_ita_regioni]" displayFolder="" count="0" memberValueDatatype="130" unbalanced="0"/>
    <cacheHierarchy uniqueName="[dpc_covid19_ita_regioni].[codice_regione]" caption="codice_regione" attribute="1" defaultMemberUniqueName="[dpc_covid19_ita_regioni].[codice_regione].[All]" allUniqueName="[dpc_covid19_ita_regioni].[codice_regione].[All]" dimensionUniqueName="[dpc_covid19_ita_regioni]" displayFolder="" count="0" memberValueDatatype="20" unbalanced="0"/>
    <cacheHierarchy uniqueName="[dpc_covid19_ita_regioni].[denominazione_regione]" caption="denominazione_regione" attribute="1" defaultMemberUniqueName="[dpc_covid19_ita_regioni].[denominazione_regione].[All]" allUniqueName="[dpc_covid19_ita_regioni].[denominazione_regione].[All]" dimensionUniqueName="[dpc_covid19_ita_regioni]" displayFolder="" count="0" memberValueDatatype="130" unbalanced="0"/>
    <cacheHierarchy uniqueName="[dpc_covid19_ita_regioni].[lat]" caption="lat" attribute="1" defaultMemberUniqueName="[dpc_covid19_ita_regioni].[lat].[All]" allUniqueName="[dpc_covid19_ita_regioni].[lat].[All]" dimensionUniqueName="[dpc_covid19_ita_regioni]" displayFolder="" count="0" memberValueDatatype="5" unbalanced="0"/>
    <cacheHierarchy uniqueName="[dpc_covid19_ita_regioni].[long]" caption="long" attribute="1" defaultMemberUniqueName="[dpc_covid19_ita_regioni].[long].[All]" allUniqueName="[dpc_covid19_ita_regioni].[long].[All]" dimensionUniqueName="[dpc_covid19_ita_regioni]" displayFolder="" count="0" memberValueDatatype="5" unbalanced="0"/>
    <cacheHierarchy uniqueName="[dpc_covid19_ita_regioni].[ricoverati_con_sintomi]" caption="ricoverati_con_sintomi" attribute="1" defaultMemberUniqueName="[dpc_covid19_ita_regioni].[ricoverati_con_sintomi].[All]" allUniqueName="[dpc_covid19_ita_regioni].[ricoverati_con_sintomi].[All]" dimensionUniqueName="[dpc_covid19_ita_regioni]" displayFolder="" count="0" memberValueDatatype="20" unbalanced="0"/>
    <cacheHierarchy uniqueName="[dpc_covid19_ita_regioni].[terapia_intensiva]" caption="terapia_intensiva" attribute="1" defaultMemberUniqueName="[dpc_covid19_ita_regioni].[terapia_intensiva].[All]" allUniqueName="[dpc_covid19_ita_regioni].[terapia_intensiva].[All]" dimensionUniqueName="[dpc_covid19_ita_regioni]" displayFolder="" count="0" memberValueDatatype="20" unbalanced="0"/>
    <cacheHierarchy uniqueName="[dpc_covid19_ita_regioni].[totale_ospedalizzati]" caption="totale_ospedalizzati" attribute="1" defaultMemberUniqueName="[dpc_covid19_ita_regioni].[totale_ospedalizzati].[All]" allUniqueName="[dpc_covid19_ita_regioni].[totale_ospedalizzati].[All]" dimensionUniqueName="[dpc_covid19_ita_regioni]" displayFolder="" count="0" memberValueDatatype="20" unbalanced="0"/>
    <cacheHierarchy uniqueName="[dpc_covid19_ita_regioni].[isolamento_domiciliare]" caption="isolamento_domiciliare" attribute="1" defaultMemberUniqueName="[dpc_covid19_ita_regioni].[isolamento_domiciliare].[All]" allUniqueName="[dpc_covid19_ita_regioni].[isolamento_domiciliare].[All]" dimensionUniqueName="[dpc_covid19_ita_regioni]" displayFolder="" count="0" memberValueDatatype="20" unbalanced="0"/>
    <cacheHierarchy uniqueName="[dpc_covid19_ita_regioni].[totale_attualmente_positivi]" caption="totale_attualmente_positivi" attribute="1" defaultMemberUniqueName="[dpc_covid19_ita_regioni].[totale_attualmente_positivi].[All]" allUniqueName="[dpc_covid19_ita_regioni].[totale_attualmente_positivi].[All]" dimensionUniqueName="[dpc_covid19_ita_regioni]" displayFolder="" count="0" memberValueDatatype="20" unbalanced="0"/>
    <cacheHierarchy uniqueName="[dpc_covid19_ita_regioni].[nuovi_attualmente_positivi]" caption="nuovi_attualmente_positivi" attribute="1" defaultMemberUniqueName="[dpc_covid19_ita_regioni].[nuovi_attualmente_positivi].[All]" allUniqueName="[dpc_covid19_ita_regioni].[nuovi_attualmente_positivi].[All]" dimensionUniqueName="[dpc_covid19_ita_regioni]" displayFolder="" count="0" memberValueDatatype="20" unbalanced="0"/>
    <cacheHierarchy uniqueName="[dpc_covid19_ita_regioni].[dimessi_guariti]" caption="dimessi_guariti" attribute="1" defaultMemberUniqueName="[dpc_covid19_ita_regioni].[dimessi_guariti].[All]" allUniqueName="[dpc_covid19_ita_regioni].[dimessi_guariti].[All]" dimensionUniqueName="[dpc_covid19_ita_regioni]" displayFolder="" count="0" memberValueDatatype="20" unbalanced="0"/>
    <cacheHierarchy uniqueName="[dpc_covid19_ita_regioni].[deceduti]" caption="deceduti" attribute="1" defaultMemberUniqueName="[dpc_covid19_ita_regioni].[deceduti].[All]" allUniqueName="[dpc_covid19_ita_regioni].[deceduti].[All]" dimensionUniqueName="[dpc_covid19_ita_regioni]" displayFolder="" count="0" memberValueDatatype="20" unbalanced="0"/>
    <cacheHierarchy uniqueName="[dpc_covid19_ita_regioni].[totale_casi]" caption="totale_casi" attribute="1" defaultMemberUniqueName="[dpc_covid19_ita_regioni].[totale_casi].[All]" allUniqueName="[dpc_covid19_ita_regioni].[totale_casi].[All]" dimensionUniqueName="[dpc_covid19_ita_regioni]" displayFolder="" count="0" memberValueDatatype="20" unbalanced="0"/>
    <cacheHierarchy uniqueName="[dpc_covid19_ita_regioni].[tamponi]" caption="tamponi" attribute="1" defaultMemberUniqueName="[dpc_covid19_ita_regioni].[tamponi].[All]" allUniqueName="[dpc_covid19_ita_regioni].[tamponi].[All]" dimensionUniqueName="[dpc_covid19_ita_regioni]" displayFolder="" count="0" memberValueDatatype="20" unbalanced="0"/>
    <cacheHierarchy uniqueName="[dpc_covid19_ita_regioni].[denominazione_regione_adjust]" caption="denominazione_regione_adjust" attribute="1" defaultMemberUniqueName="[dpc_covid19_ita_regioni].[denominazione_regione_adjust].[All]" allUniqueName="[dpc_covid19_ita_regioni].[denominazione_regione_adjust].[All]" dimensionUniqueName="[dpc_covid19_ita_regioni]" displayFolder="" count="2" memberValueDatatype="130" unbalanced="0">
      <fieldsUsage count="2">
        <fieldUsage x="-1"/>
        <fieldUsage x="1"/>
      </fieldsUsage>
    </cacheHierarchy>
    <cacheHierarchy uniqueName="[Measures].[__XL_Count dpc_covid19_ita_andamento_nazionale]" caption="__XL_Count dpc_covid19_ita_andamento_nazionale" measure="1" displayFolder="" measureGroup="dpc_covid19_ita_andamento_nazionale" count="0" hidden="1"/>
    <cacheHierarchy uniqueName="[Measures].[__XL_Count dpc_covid19_ita_regioni]" caption="__XL_Count dpc_covid19_ita_regioni" measure="1" displayFolder="" measureGroup="dpc_covid19_ita_regioni" count="0" hidden="1"/>
    <cacheHierarchy uniqueName="[Measures].[__Nessuna misura definita]" caption="__Nessuna misura definita" measure="1" displayFolder="" count="0" hidden="1"/>
    <cacheHierarchy uniqueName="[Measures].[Somma di totale_casi]" caption="Somma di totale_cas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a di deceduti]" caption="Somma di decedu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otale_attualmente_positivi]" caption="Somma di totale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a di nuovi_attualmente_positivi]" caption="Somma di nuovi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dimessi_guariti]" caption="Somma di dimessi_guari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totale_ospedalizzati]" caption="Somma di totale_ospedalizza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ssimo di totale_attualmente_positivi]" caption="Massimo di totale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ssimo di totale_casi]" caption="Massimo di totale_casi" measure="1" displayFolder="" measureGroup="dpc_covid19_ita_andamento_naziona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ssimo di dimessi_guariti]" caption="Massimo di dimessi_guari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ssimo di deceduti]" caption="Massimo di decedu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erapia_intensiva]" caption="Somma di terapia_intensiva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a di giorno]" caption="Somma di giorno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mese]" caption="Somma di mese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ma di codice_regione]" caption="Somma di codice_regione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a di totale_attualmente_positivi 2]" caption="Somma di totale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Massimo di totale_attualmente_positivi 2]" caption="Massimo di totale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ma di lat]" caption="Somma di lat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ma di totale_casi 2]" caption="Somma di totale_cas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ssimo di totale_casi 2]" caption="Massimo di totale_cas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ma di long]" caption="Somma di long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ma di deceduti 2]" caption="Somma di decedut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ma di dimessi_guariti 2]" caption="Somma di dimessi_guarit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ma di nuovi_attualmente_positivi 2]" caption="Somma di nuovi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terapia_intensiva 2]" caption="Somma di terapia_intensiva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omma di totale_ospedalizzati 2]" caption="Somma di totale_ospedalizzat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ma di isolamento_domiciliare]" caption="Somma di isolamento_domiciliare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3">
    <dimension name="dpc_covid19_ita_andamento_nazionale" uniqueName="[dpc_covid19_ita_andamento_nazionale]" caption="dpc_covid19_ita_andamento_nazionale"/>
    <dimension name="dpc_covid19_ita_regioni" uniqueName="[dpc_covid19_ita_regioni]" caption="dpc_covid19_ita_regioni"/>
    <dimension measure="1" name="Measures" uniqueName="[Measures]" caption="Measures"/>
  </dimensions>
  <measureGroups count="2">
    <measureGroup name="dpc_covid19_ita_andamento_nazionale" caption="dpc_covid19_ita_andamento_nazionale"/>
    <measureGroup name="dpc_covid19_ita_regioni" caption="dpc_covid19_ita_regioni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ssandro Maramotti" refreshedDate="43901.664376967594" backgroundQuery="1" createdVersion="6" refreshedVersion="6" minRefreshableVersion="3" recordCount="0" supportSubquery="1" supportAdvancedDrill="1" xr:uid="{BFBE2F95-7064-4791-8E10-80F51CB09EE2}">
  <cacheSource type="external" connectionId="3"/>
  <cacheFields count="2">
    <cacheField name="[Measures].[Massimo di dimessi_guariti]" caption="Massimo di dimessi_guariti" numFmtId="0" hierarchy="43" level="32767"/>
    <cacheField name="[dpc_covid19_ita_regioni].[denominazione_regione_adjust].[denominazione_regione_adjust]" caption="denominazione_regione_adjust" numFmtId="0" hierarchy="31" level="1">
      <sharedItems containsSemiMixedTypes="0" containsNonDate="0" containsString="0"/>
    </cacheField>
  </cacheFields>
  <cacheHierarchies count="61">
    <cacheHierarchy uniqueName="[dpc_covid19_ita_andamento_nazionale].[data]" caption="data" attribute="1" time="1" defaultMemberUniqueName="[dpc_covid19_ita_andamento_nazionale].[data].[All]" allUniqueName="[dpc_covid19_ita_andamento_nazionale].[data].[All]" dimensionUniqueName="[dpc_covid19_ita_andamento_nazionale]" displayFolder="" count="2" memberValueDatatype="7" unbalanced="0"/>
    <cacheHierarchy uniqueName="[dpc_covid19_ita_andamento_nazionale].[stato]" caption="stato" attribute="1" defaultMemberUniqueName="[dpc_covid19_ita_andamento_nazionale].[stato].[All]" allUniqueName="[dpc_covid19_ita_andamento_nazionale].[stato].[All]" dimensionUniqueName="[dpc_covid19_ita_andamento_nazionale]" displayFolder="" count="0" memberValueDatatype="130" unbalanced="0"/>
    <cacheHierarchy uniqueName="[dpc_covid19_ita_andamento_nazionale].[ricoverati_con_sintomi]" caption="ricoverati_con_sintomi" attribute="1" defaultMemberUniqueName="[dpc_covid19_ita_andamento_nazionale].[ricoverati_con_sintomi].[All]" allUniqueName="[dpc_covid19_ita_andamento_nazionale].[ricoverati_con_sintomi].[All]" dimensionUniqueName="[dpc_covid19_ita_andamento_nazionale]" displayFolder="" count="0" memberValueDatatype="20" unbalanced="0"/>
    <cacheHierarchy uniqueName="[dpc_covid19_ita_andamento_nazionale].[terapia_intensiva]" caption="terapia_intensiva" attribute="1" defaultMemberUniqueName="[dpc_covid19_ita_andamento_nazionale].[terapia_intensiva].[All]" allUniqueName="[dpc_covid19_ita_andamento_nazionale].[terapia_intensiva].[All]" dimensionUniqueName="[dpc_covid19_ita_andamento_nazionale]" displayFolder="" count="0" memberValueDatatype="20" unbalanced="0"/>
    <cacheHierarchy uniqueName="[dpc_covid19_ita_andamento_nazionale].[totale_ospedalizzati]" caption="totale_ospedalizzati" attribute="1" defaultMemberUniqueName="[dpc_covid19_ita_andamento_nazionale].[totale_ospedalizzati].[All]" allUniqueName="[dpc_covid19_ita_andamento_nazionale].[totale_ospedalizzati].[All]" dimensionUniqueName="[dpc_covid19_ita_andamento_nazionale]" displayFolder="" count="0" memberValueDatatype="20" unbalanced="0"/>
    <cacheHierarchy uniqueName="[dpc_covid19_ita_andamento_nazionale].[isolamento_domiciliare]" caption="isolamento_domiciliare" attribute="1" defaultMemberUniqueName="[dpc_covid19_ita_andamento_nazionale].[isolamento_domiciliare].[All]" allUniqueName="[dpc_covid19_ita_andamento_nazionale].[isolamento_domiciliare].[All]" dimensionUniqueName="[dpc_covid19_ita_andamento_nazionale]" displayFolder="" count="0" memberValueDatatype="20" unbalanced="0"/>
    <cacheHierarchy uniqueName="[dpc_covid19_ita_andamento_nazionale].[totale_attualmente_positivi]" caption="totale_attualmente_positivi" attribute="1" defaultMemberUniqueName="[dpc_covid19_ita_andamento_nazionale].[totale_attualmente_positivi].[All]" allUniqueName="[dpc_covid19_ita_andamento_nazionale].[totale_attualmente_positivi].[All]" dimensionUniqueName="[dpc_covid19_ita_andamento_nazionale]" displayFolder="" count="0" memberValueDatatype="20" unbalanced="0"/>
    <cacheHierarchy uniqueName="[dpc_covid19_ita_andamento_nazionale].[nuovi_attualmente_positivi]" caption="nuovi_attualmente_positivi" attribute="1" defaultMemberUniqueName="[dpc_covid19_ita_andamento_nazionale].[nuovi_attualmente_positivi].[All]" allUniqueName="[dpc_covid19_ita_andamento_nazionale].[nuovi_attualmente_positivi].[All]" dimensionUniqueName="[dpc_covid19_ita_andamento_nazionale]" displayFolder="" count="0" memberValueDatatype="20" unbalanced="0"/>
    <cacheHierarchy uniqueName="[dpc_covid19_ita_andamento_nazionale].[dimessi_guariti]" caption="dimessi_guariti" attribute="1" defaultMemberUniqueName="[dpc_covid19_ita_andamento_nazionale].[dimessi_guariti].[All]" allUniqueName="[dpc_covid19_ita_andamento_nazionale].[dimessi_guariti].[All]" dimensionUniqueName="[dpc_covid19_ita_andamento_nazionale]" displayFolder="" count="0" memberValueDatatype="20" unbalanced="0"/>
    <cacheHierarchy uniqueName="[dpc_covid19_ita_andamento_nazionale].[deceduti]" caption="deceduti" attribute="1" defaultMemberUniqueName="[dpc_covid19_ita_andamento_nazionale].[deceduti].[All]" allUniqueName="[dpc_covid19_ita_andamento_nazionale].[deceduti].[All]" dimensionUniqueName="[dpc_covid19_ita_andamento_nazionale]" displayFolder="" count="0" memberValueDatatype="20" unbalanced="0"/>
    <cacheHierarchy uniqueName="[dpc_covid19_ita_andamento_nazionale].[totale_casi]" caption="totale_casi" attribute="1" defaultMemberUniqueName="[dpc_covid19_ita_andamento_nazionale].[totale_casi].[All]" allUniqueName="[dpc_covid19_ita_andamento_nazionale].[totale_casi].[All]" dimensionUniqueName="[dpc_covid19_ita_andamento_nazionale]" displayFolder="" count="0" memberValueDatatype="20" unbalanced="0"/>
    <cacheHierarchy uniqueName="[dpc_covid19_ita_andamento_nazionale].[tamponi]" caption="tamponi" attribute="1" defaultMemberUniqueName="[dpc_covid19_ita_andamento_nazionale].[tamponi].[All]" allUniqueName="[dpc_covid19_ita_andamento_nazionale].[tamponi].[All]" dimensionUniqueName="[dpc_covid19_ita_andamento_nazionale]" displayFolder="" count="0" memberValueDatatype="20" unbalanced="0"/>
    <cacheHierarchy uniqueName="[dpc_covid19_ita_andamento_nazionale].[giorno]" caption="giorno" attribute="1" defaultMemberUniqueName="[dpc_covid19_ita_andamento_nazionale].[giorno].[All]" allUniqueName="[dpc_covid19_ita_andamento_nazionale].[giorno].[All]" dimensionUniqueName="[dpc_covid19_ita_andamento_nazionale]" displayFolder="" count="0" memberValueDatatype="20" unbalanced="0"/>
    <cacheHierarchy uniqueName="[dpc_covid19_ita_andamento_nazionale].[mese]" caption="mese" attribute="1" defaultMemberUniqueName="[dpc_covid19_ita_andamento_nazionale].[mese].[All]" allUniqueName="[dpc_covid19_ita_andamento_nazionale].[mese].[All]" dimensionUniqueName="[dpc_covid19_ita_andamento_nazionale]" displayFolder="" count="0" memberValueDatatype="20" unbalanced="0"/>
    <cacheHierarchy uniqueName="[dpc_covid19_ita_andamento_nazionale].[anno]" caption="anno" attribute="1" defaultMemberUniqueName="[dpc_covid19_ita_andamento_nazionale].[anno].[All]" allUniqueName="[dpc_covid19_ita_andamento_nazionale].[anno].[All]" dimensionUniqueName="[dpc_covid19_ita_andamento_nazionale]" displayFolder="" count="0" memberValueDatatype="20" unbalanced="0"/>
    <cacheHierarchy uniqueName="[dpc_covid19_ita_regioni].[data]" caption="data" attribute="1" time="1" defaultMemberUniqueName="[dpc_covid19_ita_regioni].[data].[All]" allUniqueName="[dpc_covid19_ita_regioni].[data].[All]" dimensionUniqueName="[dpc_covid19_ita_regioni]" displayFolder="" count="0" memberValueDatatype="7" unbalanced="0"/>
    <cacheHierarchy uniqueName="[dpc_covid19_ita_regioni].[stato]" caption="stato" attribute="1" defaultMemberUniqueName="[dpc_covid19_ita_regioni].[stato].[All]" allUniqueName="[dpc_covid19_ita_regioni].[stato].[All]" dimensionUniqueName="[dpc_covid19_ita_regioni]" displayFolder="" count="0" memberValueDatatype="130" unbalanced="0"/>
    <cacheHierarchy uniqueName="[dpc_covid19_ita_regioni].[codice_regione]" caption="codice_regione" attribute="1" defaultMemberUniqueName="[dpc_covid19_ita_regioni].[codice_regione].[All]" allUniqueName="[dpc_covid19_ita_regioni].[codice_regione].[All]" dimensionUniqueName="[dpc_covid19_ita_regioni]" displayFolder="" count="0" memberValueDatatype="20" unbalanced="0"/>
    <cacheHierarchy uniqueName="[dpc_covid19_ita_regioni].[denominazione_regione]" caption="denominazione_regione" attribute="1" defaultMemberUniqueName="[dpc_covid19_ita_regioni].[denominazione_regione].[All]" allUniqueName="[dpc_covid19_ita_regioni].[denominazione_regione].[All]" dimensionUniqueName="[dpc_covid19_ita_regioni]" displayFolder="" count="0" memberValueDatatype="130" unbalanced="0"/>
    <cacheHierarchy uniqueName="[dpc_covid19_ita_regioni].[lat]" caption="lat" attribute="1" defaultMemberUniqueName="[dpc_covid19_ita_regioni].[lat].[All]" allUniqueName="[dpc_covid19_ita_regioni].[lat].[All]" dimensionUniqueName="[dpc_covid19_ita_regioni]" displayFolder="" count="0" memberValueDatatype="5" unbalanced="0"/>
    <cacheHierarchy uniqueName="[dpc_covid19_ita_regioni].[long]" caption="long" attribute="1" defaultMemberUniqueName="[dpc_covid19_ita_regioni].[long].[All]" allUniqueName="[dpc_covid19_ita_regioni].[long].[All]" dimensionUniqueName="[dpc_covid19_ita_regioni]" displayFolder="" count="0" memberValueDatatype="5" unbalanced="0"/>
    <cacheHierarchy uniqueName="[dpc_covid19_ita_regioni].[ricoverati_con_sintomi]" caption="ricoverati_con_sintomi" attribute="1" defaultMemberUniqueName="[dpc_covid19_ita_regioni].[ricoverati_con_sintomi].[All]" allUniqueName="[dpc_covid19_ita_regioni].[ricoverati_con_sintomi].[All]" dimensionUniqueName="[dpc_covid19_ita_regioni]" displayFolder="" count="0" memberValueDatatype="20" unbalanced="0"/>
    <cacheHierarchy uniqueName="[dpc_covid19_ita_regioni].[terapia_intensiva]" caption="terapia_intensiva" attribute="1" defaultMemberUniqueName="[dpc_covid19_ita_regioni].[terapia_intensiva].[All]" allUniqueName="[dpc_covid19_ita_regioni].[terapia_intensiva].[All]" dimensionUniqueName="[dpc_covid19_ita_regioni]" displayFolder="" count="0" memberValueDatatype="20" unbalanced="0"/>
    <cacheHierarchy uniqueName="[dpc_covid19_ita_regioni].[totale_ospedalizzati]" caption="totale_ospedalizzati" attribute="1" defaultMemberUniqueName="[dpc_covid19_ita_regioni].[totale_ospedalizzati].[All]" allUniqueName="[dpc_covid19_ita_regioni].[totale_ospedalizzati].[All]" dimensionUniqueName="[dpc_covid19_ita_regioni]" displayFolder="" count="0" memberValueDatatype="20" unbalanced="0"/>
    <cacheHierarchy uniqueName="[dpc_covid19_ita_regioni].[isolamento_domiciliare]" caption="isolamento_domiciliare" attribute="1" defaultMemberUniqueName="[dpc_covid19_ita_regioni].[isolamento_domiciliare].[All]" allUniqueName="[dpc_covid19_ita_regioni].[isolamento_domiciliare].[All]" dimensionUniqueName="[dpc_covid19_ita_regioni]" displayFolder="" count="0" memberValueDatatype="20" unbalanced="0"/>
    <cacheHierarchy uniqueName="[dpc_covid19_ita_regioni].[totale_attualmente_positivi]" caption="totale_attualmente_positivi" attribute="1" defaultMemberUniqueName="[dpc_covid19_ita_regioni].[totale_attualmente_positivi].[All]" allUniqueName="[dpc_covid19_ita_regioni].[totale_attualmente_positivi].[All]" dimensionUniqueName="[dpc_covid19_ita_regioni]" displayFolder="" count="0" memberValueDatatype="20" unbalanced="0"/>
    <cacheHierarchy uniqueName="[dpc_covid19_ita_regioni].[nuovi_attualmente_positivi]" caption="nuovi_attualmente_positivi" attribute="1" defaultMemberUniqueName="[dpc_covid19_ita_regioni].[nuovi_attualmente_positivi].[All]" allUniqueName="[dpc_covid19_ita_regioni].[nuovi_attualmente_positivi].[All]" dimensionUniqueName="[dpc_covid19_ita_regioni]" displayFolder="" count="0" memberValueDatatype="20" unbalanced="0"/>
    <cacheHierarchy uniqueName="[dpc_covid19_ita_regioni].[dimessi_guariti]" caption="dimessi_guariti" attribute="1" defaultMemberUniqueName="[dpc_covid19_ita_regioni].[dimessi_guariti].[All]" allUniqueName="[dpc_covid19_ita_regioni].[dimessi_guariti].[All]" dimensionUniqueName="[dpc_covid19_ita_regioni]" displayFolder="" count="0" memberValueDatatype="20" unbalanced="0"/>
    <cacheHierarchy uniqueName="[dpc_covid19_ita_regioni].[deceduti]" caption="deceduti" attribute="1" defaultMemberUniqueName="[dpc_covid19_ita_regioni].[deceduti].[All]" allUniqueName="[dpc_covid19_ita_regioni].[deceduti].[All]" dimensionUniqueName="[dpc_covid19_ita_regioni]" displayFolder="" count="0" memberValueDatatype="20" unbalanced="0"/>
    <cacheHierarchy uniqueName="[dpc_covid19_ita_regioni].[totale_casi]" caption="totale_casi" attribute="1" defaultMemberUniqueName="[dpc_covid19_ita_regioni].[totale_casi].[All]" allUniqueName="[dpc_covid19_ita_regioni].[totale_casi].[All]" dimensionUniqueName="[dpc_covid19_ita_regioni]" displayFolder="" count="0" memberValueDatatype="20" unbalanced="0"/>
    <cacheHierarchy uniqueName="[dpc_covid19_ita_regioni].[tamponi]" caption="tamponi" attribute="1" defaultMemberUniqueName="[dpc_covid19_ita_regioni].[tamponi].[All]" allUniqueName="[dpc_covid19_ita_regioni].[tamponi].[All]" dimensionUniqueName="[dpc_covid19_ita_regioni]" displayFolder="" count="0" memberValueDatatype="20" unbalanced="0"/>
    <cacheHierarchy uniqueName="[dpc_covid19_ita_regioni].[denominazione_regione_adjust]" caption="denominazione_regione_adjust" attribute="1" defaultMemberUniqueName="[dpc_covid19_ita_regioni].[denominazione_regione_adjust].[All]" allUniqueName="[dpc_covid19_ita_regioni].[denominazione_regione_adjust].[All]" dimensionUniqueName="[dpc_covid19_ita_regioni]" displayFolder="" count="2" memberValueDatatype="130" unbalanced="0">
      <fieldsUsage count="2">
        <fieldUsage x="-1"/>
        <fieldUsage x="1"/>
      </fieldsUsage>
    </cacheHierarchy>
    <cacheHierarchy uniqueName="[Measures].[__XL_Count dpc_covid19_ita_andamento_nazionale]" caption="__XL_Count dpc_covid19_ita_andamento_nazionale" measure="1" displayFolder="" measureGroup="dpc_covid19_ita_andamento_nazionale" count="0" hidden="1"/>
    <cacheHierarchy uniqueName="[Measures].[__XL_Count dpc_covid19_ita_regioni]" caption="__XL_Count dpc_covid19_ita_regioni" measure="1" displayFolder="" measureGroup="dpc_covid19_ita_regioni" count="0" hidden="1"/>
    <cacheHierarchy uniqueName="[Measures].[__Nessuna misura definita]" caption="__Nessuna misura definita" measure="1" displayFolder="" count="0" hidden="1"/>
    <cacheHierarchy uniqueName="[Measures].[Somma di totale_casi]" caption="Somma di totale_cas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a di deceduti]" caption="Somma di decedu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otale_attualmente_positivi]" caption="Somma di totale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a di nuovi_attualmente_positivi]" caption="Somma di nuovi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dimessi_guariti]" caption="Somma di dimessi_guari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totale_ospedalizzati]" caption="Somma di totale_ospedalizza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ssimo di totale_attualmente_positivi]" caption="Massimo di totale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ssimo di totale_casi]" caption="Massimo di totale_cas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ssimo di dimessi_guariti]" caption="Massimo di dimessi_guariti" measure="1" displayFolder="" measureGroup="dpc_covid19_ita_andamento_naziona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ssimo di deceduti]" caption="Massimo di decedu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erapia_intensiva]" caption="Somma di terapia_intensiva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a di giorno]" caption="Somma di giorno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mese]" caption="Somma di mese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ma di codice_regione]" caption="Somma di codice_regione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a di totale_attualmente_positivi 2]" caption="Somma di totale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Massimo di totale_attualmente_positivi 2]" caption="Massimo di totale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ma di lat]" caption="Somma di lat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ma di totale_casi 2]" caption="Somma di totale_cas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ssimo di totale_casi 2]" caption="Massimo di totale_cas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ma di long]" caption="Somma di long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ma di deceduti 2]" caption="Somma di decedut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ma di dimessi_guariti 2]" caption="Somma di dimessi_guarit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ma di nuovi_attualmente_positivi 2]" caption="Somma di nuovi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terapia_intensiva 2]" caption="Somma di terapia_intensiva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omma di totale_ospedalizzati 2]" caption="Somma di totale_ospedalizzat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ma di isolamento_domiciliare]" caption="Somma di isolamento_domiciliare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3">
    <dimension name="dpc_covid19_ita_andamento_nazionale" uniqueName="[dpc_covid19_ita_andamento_nazionale]" caption="dpc_covid19_ita_andamento_nazionale"/>
    <dimension name="dpc_covid19_ita_regioni" uniqueName="[dpc_covid19_ita_regioni]" caption="dpc_covid19_ita_regioni"/>
    <dimension measure="1" name="Measures" uniqueName="[Measures]" caption="Measures"/>
  </dimensions>
  <measureGroups count="2">
    <measureGroup name="dpc_covid19_ita_andamento_nazionale" caption="dpc_covid19_ita_andamento_nazionale"/>
    <measureGroup name="dpc_covid19_ita_regioni" caption="dpc_covid19_ita_regioni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ssandro Maramotti" refreshedDate="43901.664376736109" backgroundQuery="1" createdVersion="6" refreshedVersion="6" minRefreshableVersion="3" recordCount="0" supportSubquery="1" supportAdvancedDrill="1" xr:uid="{B78817E8-CAD3-4BF0-B2CB-66DAB69029AE}">
  <cacheSource type="external" connectionId="3"/>
  <cacheFields count="2">
    <cacheField name="[Measures].[Massimo di totale_casi 2]" caption="Massimo di totale_casi 2" numFmtId="0" hierarchy="53" level="32767"/>
    <cacheField name="[dpc_covid19_ita_regioni].[denominazione_regione_adjust].[denominazione_regione_adjust]" caption="denominazione_regione_adjust" numFmtId="0" hierarchy="31" level="1">
      <sharedItems count="19">
        <s v="Abruzzo"/>
        <s v="Basilicata"/>
        <s v="Calabria"/>
        <s v="Campania"/>
        <s v="Emilia Romagna"/>
        <s v="Friuli Venezia Giulia"/>
        <s v="Lazio"/>
        <s v="Liguria"/>
        <s v="Lombardia"/>
        <s v="Marche"/>
        <s v="Molise"/>
        <s v="Piemonte"/>
        <s v="Puglia"/>
        <s v="Sardegna"/>
        <s v="Sicilia"/>
        <s v="Toscana"/>
        <s v="Trentino"/>
        <s v="Umbria"/>
        <s v="Veneto"/>
      </sharedItems>
    </cacheField>
  </cacheFields>
  <cacheHierarchies count="61">
    <cacheHierarchy uniqueName="[dpc_covid19_ita_andamento_nazionale].[data]" caption="data" attribute="1" time="1" defaultMemberUniqueName="[dpc_covid19_ita_andamento_nazionale].[data].[All]" allUniqueName="[dpc_covid19_ita_andamento_nazionale].[data].[All]" dimensionUniqueName="[dpc_covid19_ita_andamento_nazionale]" displayFolder="" count="0" memberValueDatatype="7" unbalanced="0"/>
    <cacheHierarchy uniqueName="[dpc_covid19_ita_andamento_nazionale].[stato]" caption="stato" attribute="1" defaultMemberUniqueName="[dpc_covid19_ita_andamento_nazionale].[stato].[All]" allUniqueName="[dpc_covid19_ita_andamento_nazionale].[stato].[All]" dimensionUniqueName="[dpc_covid19_ita_andamento_nazionale]" displayFolder="" count="0" memberValueDatatype="130" unbalanced="0"/>
    <cacheHierarchy uniqueName="[dpc_covid19_ita_andamento_nazionale].[ricoverati_con_sintomi]" caption="ricoverati_con_sintomi" attribute="1" defaultMemberUniqueName="[dpc_covid19_ita_andamento_nazionale].[ricoverati_con_sintomi].[All]" allUniqueName="[dpc_covid19_ita_andamento_nazionale].[ricoverati_con_sintomi].[All]" dimensionUniqueName="[dpc_covid19_ita_andamento_nazionale]" displayFolder="" count="0" memberValueDatatype="20" unbalanced="0"/>
    <cacheHierarchy uniqueName="[dpc_covid19_ita_andamento_nazionale].[terapia_intensiva]" caption="terapia_intensiva" attribute="1" defaultMemberUniqueName="[dpc_covid19_ita_andamento_nazionale].[terapia_intensiva].[All]" allUniqueName="[dpc_covid19_ita_andamento_nazionale].[terapia_intensiva].[All]" dimensionUniqueName="[dpc_covid19_ita_andamento_nazionale]" displayFolder="" count="0" memberValueDatatype="20" unbalanced="0"/>
    <cacheHierarchy uniqueName="[dpc_covid19_ita_andamento_nazionale].[totale_ospedalizzati]" caption="totale_ospedalizzati" attribute="1" defaultMemberUniqueName="[dpc_covid19_ita_andamento_nazionale].[totale_ospedalizzati].[All]" allUniqueName="[dpc_covid19_ita_andamento_nazionale].[totale_ospedalizzati].[All]" dimensionUniqueName="[dpc_covid19_ita_andamento_nazionale]" displayFolder="" count="0" memberValueDatatype="20" unbalanced="0"/>
    <cacheHierarchy uniqueName="[dpc_covid19_ita_andamento_nazionale].[isolamento_domiciliare]" caption="isolamento_domiciliare" attribute="1" defaultMemberUniqueName="[dpc_covid19_ita_andamento_nazionale].[isolamento_domiciliare].[All]" allUniqueName="[dpc_covid19_ita_andamento_nazionale].[isolamento_domiciliare].[All]" dimensionUniqueName="[dpc_covid19_ita_andamento_nazionale]" displayFolder="" count="0" memberValueDatatype="20" unbalanced="0"/>
    <cacheHierarchy uniqueName="[dpc_covid19_ita_andamento_nazionale].[totale_attualmente_positivi]" caption="totale_attualmente_positivi" attribute="1" defaultMemberUniqueName="[dpc_covid19_ita_andamento_nazionale].[totale_attualmente_positivi].[All]" allUniqueName="[dpc_covid19_ita_andamento_nazionale].[totale_attualmente_positivi].[All]" dimensionUniqueName="[dpc_covid19_ita_andamento_nazionale]" displayFolder="" count="0" memberValueDatatype="20" unbalanced="0"/>
    <cacheHierarchy uniqueName="[dpc_covid19_ita_andamento_nazionale].[nuovi_attualmente_positivi]" caption="nuovi_attualmente_positivi" attribute="1" defaultMemberUniqueName="[dpc_covid19_ita_andamento_nazionale].[nuovi_attualmente_positivi].[All]" allUniqueName="[dpc_covid19_ita_andamento_nazionale].[nuovi_attualmente_positivi].[All]" dimensionUniqueName="[dpc_covid19_ita_andamento_nazionale]" displayFolder="" count="0" memberValueDatatype="20" unbalanced="0"/>
    <cacheHierarchy uniqueName="[dpc_covid19_ita_andamento_nazionale].[dimessi_guariti]" caption="dimessi_guariti" attribute="1" defaultMemberUniqueName="[dpc_covid19_ita_andamento_nazionale].[dimessi_guariti].[All]" allUniqueName="[dpc_covid19_ita_andamento_nazionale].[dimessi_guariti].[All]" dimensionUniqueName="[dpc_covid19_ita_andamento_nazionale]" displayFolder="" count="0" memberValueDatatype="20" unbalanced="0"/>
    <cacheHierarchy uniqueName="[dpc_covid19_ita_andamento_nazionale].[deceduti]" caption="deceduti" attribute="1" defaultMemberUniqueName="[dpc_covid19_ita_andamento_nazionale].[deceduti].[All]" allUniqueName="[dpc_covid19_ita_andamento_nazionale].[deceduti].[All]" dimensionUniqueName="[dpc_covid19_ita_andamento_nazionale]" displayFolder="" count="0" memberValueDatatype="20" unbalanced="0"/>
    <cacheHierarchy uniqueName="[dpc_covid19_ita_andamento_nazionale].[totale_casi]" caption="totale_casi" attribute="1" defaultMemberUniqueName="[dpc_covid19_ita_andamento_nazionale].[totale_casi].[All]" allUniqueName="[dpc_covid19_ita_andamento_nazionale].[totale_casi].[All]" dimensionUniqueName="[dpc_covid19_ita_andamento_nazionale]" displayFolder="" count="0" memberValueDatatype="20" unbalanced="0"/>
    <cacheHierarchy uniqueName="[dpc_covid19_ita_andamento_nazionale].[tamponi]" caption="tamponi" attribute="1" defaultMemberUniqueName="[dpc_covid19_ita_andamento_nazionale].[tamponi].[All]" allUniqueName="[dpc_covid19_ita_andamento_nazionale].[tamponi].[All]" dimensionUniqueName="[dpc_covid19_ita_andamento_nazionale]" displayFolder="" count="0" memberValueDatatype="20" unbalanced="0"/>
    <cacheHierarchy uniqueName="[dpc_covid19_ita_andamento_nazionale].[giorno]" caption="giorno" attribute="1" defaultMemberUniqueName="[dpc_covid19_ita_andamento_nazionale].[giorno].[All]" allUniqueName="[dpc_covid19_ita_andamento_nazionale].[giorno].[All]" dimensionUniqueName="[dpc_covid19_ita_andamento_nazionale]" displayFolder="" count="0" memberValueDatatype="20" unbalanced="0"/>
    <cacheHierarchy uniqueName="[dpc_covid19_ita_andamento_nazionale].[mese]" caption="mese" attribute="1" defaultMemberUniqueName="[dpc_covid19_ita_andamento_nazionale].[mese].[All]" allUniqueName="[dpc_covid19_ita_andamento_nazionale].[mese].[All]" dimensionUniqueName="[dpc_covid19_ita_andamento_nazionale]" displayFolder="" count="0" memberValueDatatype="20" unbalanced="0"/>
    <cacheHierarchy uniqueName="[dpc_covid19_ita_andamento_nazionale].[anno]" caption="anno" attribute="1" defaultMemberUniqueName="[dpc_covid19_ita_andamento_nazionale].[anno].[All]" allUniqueName="[dpc_covid19_ita_andamento_nazionale].[anno].[All]" dimensionUniqueName="[dpc_covid19_ita_andamento_nazionale]" displayFolder="" count="0" memberValueDatatype="20" unbalanced="0"/>
    <cacheHierarchy uniqueName="[dpc_covid19_ita_regioni].[data]" caption="data" attribute="1" time="1" defaultMemberUniqueName="[dpc_covid19_ita_regioni].[data].[All]" allUniqueName="[dpc_covid19_ita_regioni].[data].[All]" dimensionUniqueName="[dpc_covid19_ita_regioni]" displayFolder="" count="0" memberValueDatatype="7" unbalanced="0"/>
    <cacheHierarchy uniqueName="[dpc_covid19_ita_regioni].[stato]" caption="stato" attribute="1" defaultMemberUniqueName="[dpc_covid19_ita_regioni].[stato].[All]" allUniqueName="[dpc_covid19_ita_regioni].[stato].[All]" dimensionUniqueName="[dpc_covid19_ita_regioni]" displayFolder="" count="0" memberValueDatatype="130" unbalanced="0"/>
    <cacheHierarchy uniqueName="[dpc_covid19_ita_regioni].[codice_regione]" caption="codice_regione" attribute="1" defaultMemberUniqueName="[dpc_covid19_ita_regioni].[codice_regione].[All]" allUniqueName="[dpc_covid19_ita_regioni].[codice_regione].[All]" dimensionUniqueName="[dpc_covid19_ita_regioni]" displayFolder="" count="0" memberValueDatatype="20" unbalanced="0"/>
    <cacheHierarchy uniqueName="[dpc_covid19_ita_regioni].[denominazione_regione]" caption="denominazione_regione" attribute="1" defaultMemberUniqueName="[dpc_covid19_ita_regioni].[denominazione_regione].[All]" allUniqueName="[dpc_covid19_ita_regioni].[denominazione_regione].[All]" dimensionUniqueName="[dpc_covid19_ita_regioni]" displayFolder="" count="0" memberValueDatatype="130" unbalanced="0"/>
    <cacheHierarchy uniqueName="[dpc_covid19_ita_regioni].[lat]" caption="lat" attribute="1" defaultMemberUniqueName="[dpc_covid19_ita_regioni].[lat].[All]" allUniqueName="[dpc_covid19_ita_regioni].[lat].[All]" dimensionUniqueName="[dpc_covid19_ita_regioni]" displayFolder="" count="0" memberValueDatatype="5" unbalanced="0"/>
    <cacheHierarchy uniqueName="[dpc_covid19_ita_regioni].[long]" caption="long" attribute="1" defaultMemberUniqueName="[dpc_covid19_ita_regioni].[long].[All]" allUniqueName="[dpc_covid19_ita_regioni].[long].[All]" dimensionUniqueName="[dpc_covid19_ita_regioni]" displayFolder="" count="0" memberValueDatatype="5" unbalanced="0"/>
    <cacheHierarchy uniqueName="[dpc_covid19_ita_regioni].[ricoverati_con_sintomi]" caption="ricoverati_con_sintomi" attribute="1" defaultMemberUniqueName="[dpc_covid19_ita_regioni].[ricoverati_con_sintomi].[All]" allUniqueName="[dpc_covid19_ita_regioni].[ricoverati_con_sintomi].[All]" dimensionUniqueName="[dpc_covid19_ita_regioni]" displayFolder="" count="0" memberValueDatatype="20" unbalanced="0"/>
    <cacheHierarchy uniqueName="[dpc_covid19_ita_regioni].[terapia_intensiva]" caption="terapia_intensiva" attribute="1" defaultMemberUniqueName="[dpc_covid19_ita_regioni].[terapia_intensiva].[All]" allUniqueName="[dpc_covid19_ita_regioni].[terapia_intensiva].[All]" dimensionUniqueName="[dpc_covid19_ita_regioni]" displayFolder="" count="0" memberValueDatatype="20" unbalanced="0"/>
    <cacheHierarchy uniqueName="[dpc_covid19_ita_regioni].[totale_ospedalizzati]" caption="totale_ospedalizzati" attribute="1" defaultMemberUniqueName="[dpc_covid19_ita_regioni].[totale_ospedalizzati].[All]" allUniqueName="[dpc_covid19_ita_regioni].[totale_ospedalizzati].[All]" dimensionUniqueName="[dpc_covid19_ita_regioni]" displayFolder="" count="0" memberValueDatatype="20" unbalanced="0"/>
    <cacheHierarchy uniqueName="[dpc_covid19_ita_regioni].[isolamento_domiciliare]" caption="isolamento_domiciliare" attribute="1" defaultMemberUniqueName="[dpc_covid19_ita_regioni].[isolamento_domiciliare].[All]" allUniqueName="[dpc_covid19_ita_regioni].[isolamento_domiciliare].[All]" dimensionUniqueName="[dpc_covid19_ita_regioni]" displayFolder="" count="0" memberValueDatatype="20" unbalanced="0"/>
    <cacheHierarchy uniqueName="[dpc_covid19_ita_regioni].[totale_attualmente_positivi]" caption="totale_attualmente_positivi" attribute="1" defaultMemberUniqueName="[dpc_covid19_ita_regioni].[totale_attualmente_positivi].[All]" allUniqueName="[dpc_covid19_ita_regioni].[totale_attualmente_positivi].[All]" dimensionUniqueName="[dpc_covid19_ita_regioni]" displayFolder="" count="0" memberValueDatatype="20" unbalanced="0"/>
    <cacheHierarchy uniqueName="[dpc_covid19_ita_regioni].[nuovi_attualmente_positivi]" caption="nuovi_attualmente_positivi" attribute="1" defaultMemberUniqueName="[dpc_covid19_ita_regioni].[nuovi_attualmente_positivi].[All]" allUniqueName="[dpc_covid19_ita_regioni].[nuovi_attualmente_positivi].[All]" dimensionUniqueName="[dpc_covid19_ita_regioni]" displayFolder="" count="0" memberValueDatatype="20" unbalanced="0"/>
    <cacheHierarchy uniqueName="[dpc_covid19_ita_regioni].[dimessi_guariti]" caption="dimessi_guariti" attribute="1" defaultMemberUniqueName="[dpc_covid19_ita_regioni].[dimessi_guariti].[All]" allUniqueName="[dpc_covid19_ita_regioni].[dimessi_guariti].[All]" dimensionUniqueName="[dpc_covid19_ita_regioni]" displayFolder="" count="0" memberValueDatatype="20" unbalanced="0"/>
    <cacheHierarchy uniqueName="[dpc_covid19_ita_regioni].[deceduti]" caption="deceduti" attribute="1" defaultMemberUniqueName="[dpc_covid19_ita_regioni].[deceduti].[All]" allUniqueName="[dpc_covid19_ita_regioni].[deceduti].[All]" dimensionUniqueName="[dpc_covid19_ita_regioni]" displayFolder="" count="0" memberValueDatatype="20" unbalanced="0"/>
    <cacheHierarchy uniqueName="[dpc_covid19_ita_regioni].[totale_casi]" caption="totale_casi" attribute="1" defaultMemberUniqueName="[dpc_covid19_ita_regioni].[totale_casi].[All]" allUniqueName="[dpc_covid19_ita_regioni].[totale_casi].[All]" dimensionUniqueName="[dpc_covid19_ita_regioni]" displayFolder="" count="0" memberValueDatatype="20" unbalanced="0"/>
    <cacheHierarchy uniqueName="[dpc_covid19_ita_regioni].[tamponi]" caption="tamponi" attribute="1" defaultMemberUniqueName="[dpc_covid19_ita_regioni].[tamponi].[All]" allUniqueName="[dpc_covid19_ita_regioni].[tamponi].[All]" dimensionUniqueName="[dpc_covid19_ita_regioni]" displayFolder="" count="0" memberValueDatatype="20" unbalanced="0"/>
    <cacheHierarchy uniqueName="[dpc_covid19_ita_regioni].[denominazione_regione_adjust]" caption="denominazione_regione_adjust" attribute="1" defaultMemberUniqueName="[dpc_covid19_ita_regioni].[denominazione_regione_adjust].[All]" allUniqueName="[dpc_covid19_ita_regioni].[denominazione_regione_adjust].[All]" dimensionUniqueName="[dpc_covid19_ita_regioni]" displayFolder="" count="2" memberValueDatatype="130" unbalanced="0">
      <fieldsUsage count="2">
        <fieldUsage x="-1"/>
        <fieldUsage x="1"/>
      </fieldsUsage>
    </cacheHierarchy>
    <cacheHierarchy uniqueName="[Measures].[__XL_Count dpc_covid19_ita_andamento_nazionale]" caption="__XL_Count dpc_covid19_ita_andamento_nazionale" measure="1" displayFolder="" measureGroup="dpc_covid19_ita_andamento_nazionale" count="0" hidden="1"/>
    <cacheHierarchy uniqueName="[Measures].[__XL_Count dpc_covid19_ita_regioni]" caption="__XL_Count dpc_covid19_ita_regioni" measure="1" displayFolder="" measureGroup="dpc_covid19_ita_regioni" count="0" hidden="1"/>
    <cacheHierarchy uniqueName="[Measures].[__Nessuna misura definita]" caption="__Nessuna misura definita" measure="1" displayFolder="" count="0" hidden="1"/>
    <cacheHierarchy uniqueName="[Measures].[Somma di totale_casi]" caption="Somma di totale_cas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a di deceduti]" caption="Somma di decedu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otale_attualmente_positivi]" caption="Somma di totale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a di nuovi_attualmente_positivi]" caption="Somma di nuovi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dimessi_guariti]" caption="Somma di dimessi_guari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totale_ospedalizzati]" caption="Somma di totale_ospedalizza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ssimo di totale_attualmente_positivi]" caption="Massimo di totale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ssimo di totale_casi]" caption="Massimo di totale_cas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ssimo di dimessi_guariti]" caption="Massimo di dimessi_guari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ssimo di deceduti]" caption="Massimo di decedu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erapia_intensiva]" caption="Somma di terapia_intensiva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a di giorno]" caption="Somma di giorno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mese]" caption="Somma di mese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ma di codice_regione]" caption="Somma di codice_regione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a di totale_attualmente_positivi 2]" caption="Somma di totale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Massimo di totale_attualmente_positivi 2]" caption="Massimo di totale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ma di lat]" caption="Somma di lat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ma di totale_casi 2]" caption="Somma di totale_cas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ssimo di totale_casi 2]" caption="Massimo di totale_casi 2" measure="1" displayFolder="" measureGroup="dpc_covid19_ita_regioni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ma di long]" caption="Somma di long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ma di deceduti 2]" caption="Somma di decedut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ma di dimessi_guariti 2]" caption="Somma di dimessi_guarit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ma di nuovi_attualmente_positivi 2]" caption="Somma di nuovi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terapia_intensiva 2]" caption="Somma di terapia_intensiva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omma di totale_ospedalizzati 2]" caption="Somma di totale_ospedalizzat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ma di isolamento_domiciliare]" caption="Somma di isolamento_domiciliare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3">
    <dimension name="dpc_covid19_ita_andamento_nazionale" uniqueName="[dpc_covid19_ita_andamento_nazionale]" caption="dpc_covid19_ita_andamento_nazionale"/>
    <dimension name="dpc_covid19_ita_regioni" uniqueName="[dpc_covid19_ita_regioni]" caption="dpc_covid19_ita_regioni"/>
    <dimension measure="1" name="Measures" uniqueName="[Measures]" caption="Measures"/>
  </dimensions>
  <measureGroups count="2">
    <measureGroup name="dpc_covid19_ita_andamento_nazionale" caption="dpc_covid19_ita_andamento_nazionale"/>
    <measureGroup name="dpc_covid19_ita_regioni" caption="dpc_covid19_ita_regioni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ssandro Maramotti" refreshedDate="43901.664376967594" backgroundQuery="1" createdVersion="6" refreshedVersion="6" minRefreshableVersion="3" recordCount="0" supportSubquery="1" supportAdvancedDrill="1" xr:uid="{3AEDB236-9630-4E8B-AC51-46B7AFF37E8C}">
  <cacheSource type="external" connectionId="3"/>
  <cacheFields count="2">
    <cacheField name="[Measures].[Massimo di deceduti]" caption="Massimo di deceduti" numFmtId="0" hierarchy="44" level="32767"/>
    <cacheField name="[dpc_covid19_ita_regioni].[denominazione_regione_adjust].[denominazione_regione_adjust]" caption="denominazione_regione_adjust" numFmtId="0" hierarchy="31" level="1">
      <sharedItems containsSemiMixedTypes="0" containsNonDate="0" containsString="0"/>
    </cacheField>
  </cacheFields>
  <cacheHierarchies count="61">
    <cacheHierarchy uniqueName="[dpc_covid19_ita_andamento_nazionale].[data]" caption="data" attribute="1" time="1" defaultMemberUniqueName="[dpc_covid19_ita_andamento_nazionale].[data].[All]" allUniqueName="[dpc_covid19_ita_andamento_nazionale].[data].[All]" dimensionUniqueName="[dpc_covid19_ita_andamento_nazionale]" displayFolder="" count="2" memberValueDatatype="7" unbalanced="0"/>
    <cacheHierarchy uniqueName="[dpc_covid19_ita_andamento_nazionale].[stato]" caption="stato" attribute="1" defaultMemberUniqueName="[dpc_covid19_ita_andamento_nazionale].[stato].[All]" allUniqueName="[dpc_covid19_ita_andamento_nazionale].[stato].[All]" dimensionUniqueName="[dpc_covid19_ita_andamento_nazionale]" displayFolder="" count="0" memberValueDatatype="130" unbalanced="0"/>
    <cacheHierarchy uniqueName="[dpc_covid19_ita_andamento_nazionale].[ricoverati_con_sintomi]" caption="ricoverati_con_sintomi" attribute="1" defaultMemberUniqueName="[dpc_covid19_ita_andamento_nazionale].[ricoverati_con_sintomi].[All]" allUniqueName="[dpc_covid19_ita_andamento_nazionale].[ricoverati_con_sintomi].[All]" dimensionUniqueName="[dpc_covid19_ita_andamento_nazionale]" displayFolder="" count="0" memberValueDatatype="20" unbalanced="0"/>
    <cacheHierarchy uniqueName="[dpc_covid19_ita_andamento_nazionale].[terapia_intensiva]" caption="terapia_intensiva" attribute="1" defaultMemberUniqueName="[dpc_covid19_ita_andamento_nazionale].[terapia_intensiva].[All]" allUniqueName="[dpc_covid19_ita_andamento_nazionale].[terapia_intensiva].[All]" dimensionUniqueName="[dpc_covid19_ita_andamento_nazionale]" displayFolder="" count="0" memberValueDatatype="20" unbalanced="0"/>
    <cacheHierarchy uniqueName="[dpc_covid19_ita_andamento_nazionale].[totale_ospedalizzati]" caption="totale_ospedalizzati" attribute="1" defaultMemberUniqueName="[dpc_covid19_ita_andamento_nazionale].[totale_ospedalizzati].[All]" allUniqueName="[dpc_covid19_ita_andamento_nazionale].[totale_ospedalizzati].[All]" dimensionUniqueName="[dpc_covid19_ita_andamento_nazionale]" displayFolder="" count="0" memberValueDatatype="20" unbalanced="0"/>
    <cacheHierarchy uniqueName="[dpc_covid19_ita_andamento_nazionale].[isolamento_domiciliare]" caption="isolamento_domiciliare" attribute="1" defaultMemberUniqueName="[dpc_covid19_ita_andamento_nazionale].[isolamento_domiciliare].[All]" allUniqueName="[dpc_covid19_ita_andamento_nazionale].[isolamento_domiciliare].[All]" dimensionUniqueName="[dpc_covid19_ita_andamento_nazionale]" displayFolder="" count="0" memberValueDatatype="20" unbalanced="0"/>
    <cacheHierarchy uniqueName="[dpc_covid19_ita_andamento_nazionale].[totale_attualmente_positivi]" caption="totale_attualmente_positivi" attribute="1" defaultMemberUniqueName="[dpc_covid19_ita_andamento_nazionale].[totale_attualmente_positivi].[All]" allUniqueName="[dpc_covid19_ita_andamento_nazionale].[totale_attualmente_positivi].[All]" dimensionUniqueName="[dpc_covid19_ita_andamento_nazionale]" displayFolder="" count="0" memberValueDatatype="20" unbalanced="0"/>
    <cacheHierarchy uniqueName="[dpc_covid19_ita_andamento_nazionale].[nuovi_attualmente_positivi]" caption="nuovi_attualmente_positivi" attribute="1" defaultMemberUniqueName="[dpc_covid19_ita_andamento_nazionale].[nuovi_attualmente_positivi].[All]" allUniqueName="[dpc_covid19_ita_andamento_nazionale].[nuovi_attualmente_positivi].[All]" dimensionUniqueName="[dpc_covid19_ita_andamento_nazionale]" displayFolder="" count="0" memberValueDatatype="20" unbalanced="0"/>
    <cacheHierarchy uniqueName="[dpc_covid19_ita_andamento_nazionale].[dimessi_guariti]" caption="dimessi_guariti" attribute="1" defaultMemberUniqueName="[dpc_covid19_ita_andamento_nazionale].[dimessi_guariti].[All]" allUniqueName="[dpc_covid19_ita_andamento_nazionale].[dimessi_guariti].[All]" dimensionUniqueName="[dpc_covid19_ita_andamento_nazionale]" displayFolder="" count="0" memberValueDatatype="20" unbalanced="0"/>
    <cacheHierarchy uniqueName="[dpc_covid19_ita_andamento_nazionale].[deceduti]" caption="deceduti" attribute="1" defaultMemberUniqueName="[dpc_covid19_ita_andamento_nazionale].[deceduti].[All]" allUniqueName="[dpc_covid19_ita_andamento_nazionale].[deceduti].[All]" dimensionUniqueName="[dpc_covid19_ita_andamento_nazionale]" displayFolder="" count="0" memberValueDatatype="20" unbalanced="0"/>
    <cacheHierarchy uniqueName="[dpc_covid19_ita_andamento_nazionale].[totale_casi]" caption="totale_casi" attribute="1" defaultMemberUniqueName="[dpc_covid19_ita_andamento_nazionale].[totale_casi].[All]" allUniqueName="[dpc_covid19_ita_andamento_nazionale].[totale_casi].[All]" dimensionUniqueName="[dpc_covid19_ita_andamento_nazionale]" displayFolder="" count="0" memberValueDatatype="20" unbalanced="0"/>
    <cacheHierarchy uniqueName="[dpc_covid19_ita_andamento_nazionale].[tamponi]" caption="tamponi" attribute="1" defaultMemberUniqueName="[dpc_covid19_ita_andamento_nazionale].[tamponi].[All]" allUniqueName="[dpc_covid19_ita_andamento_nazionale].[tamponi].[All]" dimensionUniqueName="[dpc_covid19_ita_andamento_nazionale]" displayFolder="" count="0" memberValueDatatype="20" unbalanced="0"/>
    <cacheHierarchy uniqueName="[dpc_covid19_ita_andamento_nazionale].[giorno]" caption="giorno" attribute="1" defaultMemberUniqueName="[dpc_covid19_ita_andamento_nazionale].[giorno].[All]" allUniqueName="[dpc_covid19_ita_andamento_nazionale].[giorno].[All]" dimensionUniqueName="[dpc_covid19_ita_andamento_nazionale]" displayFolder="" count="0" memberValueDatatype="20" unbalanced="0"/>
    <cacheHierarchy uniqueName="[dpc_covid19_ita_andamento_nazionale].[mese]" caption="mese" attribute="1" defaultMemberUniqueName="[dpc_covid19_ita_andamento_nazionale].[mese].[All]" allUniqueName="[dpc_covid19_ita_andamento_nazionale].[mese].[All]" dimensionUniqueName="[dpc_covid19_ita_andamento_nazionale]" displayFolder="" count="0" memberValueDatatype="20" unbalanced="0"/>
    <cacheHierarchy uniqueName="[dpc_covid19_ita_andamento_nazionale].[anno]" caption="anno" attribute="1" defaultMemberUniqueName="[dpc_covid19_ita_andamento_nazionale].[anno].[All]" allUniqueName="[dpc_covid19_ita_andamento_nazionale].[anno].[All]" dimensionUniqueName="[dpc_covid19_ita_andamento_nazionale]" displayFolder="" count="0" memberValueDatatype="20" unbalanced="0"/>
    <cacheHierarchy uniqueName="[dpc_covid19_ita_regioni].[data]" caption="data" attribute="1" time="1" defaultMemberUniqueName="[dpc_covid19_ita_regioni].[data].[All]" allUniqueName="[dpc_covid19_ita_regioni].[data].[All]" dimensionUniqueName="[dpc_covid19_ita_regioni]" displayFolder="" count="0" memberValueDatatype="7" unbalanced="0"/>
    <cacheHierarchy uniqueName="[dpc_covid19_ita_regioni].[stato]" caption="stato" attribute="1" defaultMemberUniqueName="[dpc_covid19_ita_regioni].[stato].[All]" allUniqueName="[dpc_covid19_ita_regioni].[stato].[All]" dimensionUniqueName="[dpc_covid19_ita_regioni]" displayFolder="" count="0" memberValueDatatype="130" unbalanced="0"/>
    <cacheHierarchy uniqueName="[dpc_covid19_ita_regioni].[codice_regione]" caption="codice_regione" attribute="1" defaultMemberUniqueName="[dpc_covid19_ita_regioni].[codice_regione].[All]" allUniqueName="[dpc_covid19_ita_regioni].[codice_regione].[All]" dimensionUniqueName="[dpc_covid19_ita_regioni]" displayFolder="" count="0" memberValueDatatype="20" unbalanced="0"/>
    <cacheHierarchy uniqueName="[dpc_covid19_ita_regioni].[denominazione_regione]" caption="denominazione_regione" attribute="1" defaultMemberUniqueName="[dpc_covid19_ita_regioni].[denominazione_regione].[All]" allUniqueName="[dpc_covid19_ita_regioni].[denominazione_regione].[All]" dimensionUniqueName="[dpc_covid19_ita_regioni]" displayFolder="" count="0" memberValueDatatype="130" unbalanced="0"/>
    <cacheHierarchy uniqueName="[dpc_covid19_ita_regioni].[lat]" caption="lat" attribute="1" defaultMemberUniqueName="[dpc_covid19_ita_regioni].[lat].[All]" allUniqueName="[dpc_covid19_ita_regioni].[lat].[All]" dimensionUniqueName="[dpc_covid19_ita_regioni]" displayFolder="" count="0" memberValueDatatype="5" unbalanced="0"/>
    <cacheHierarchy uniqueName="[dpc_covid19_ita_regioni].[long]" caption="long" attribute="1" defaultMemberUniqueName="[dpc_covid19_ita_regioni].[long].[All]" allUniqueName="[dpc_covid19_ita_regioni].[long].[All]" dimensionUniqueName="[dpc_covid19_ita_regioni]" displayFolder="" count="0" memberValueDatatype="5" unbalanced="0"/>
    <cacheHierarchy uniqueName="[dpc_covid19_ita_regioni].[ricoverati_con_sintomi]" caption="ricoverati_con_sintomi" attribute="1" defaultMemberUniqueName="[dpc_covid19_ita_regioni].[ricoverati_con_sintomi].[All]" allUniqueName="[dpc_covid19_ita_regioni].[ricoverati_con_sintomi].[All]" dimensionUniqueName="[dpc_covid19_ita_regioni]" displayFolder="" count="0" memberValueDatatype="20" unbalanced="0"/>
    <cacheHierarchy uniqueName="[dpc_covid19_ita_regioni].[terapia_intensiva]" caption="terapia_intensiva" attribute="1" defaultMemberUniqueName="[dpc_covid19_ita_regioni].[terapia_intensiva].[All]" allUniqueName="[dpc_covid19_ita_regioni].[terapia_intensiva].[All]" dimensionUniqueName="[dpc_covid19_ita_regioni]" displayFolder="" count="0" memberValueDatatype="20" unbalanced="0"/>
    <cacheHierarchy uniqueName="[dpc_covid19_ita_regioni].[totale_ospedalizzati]" caption="totale_ospedalizzati" attribute="1" defaultMemberUniqueName="[dpc_covid19_ita_regioni].[totale_ospedalizzati].[All]" allUniqueName="[dpc_covid19_ita_regioni].[totale_ospedalizzati].[All]" dimensionUniqueName="[dpc_covid19_ita_regioni]" displayFolder="" count="0" memberValueDatatype="20" unbalanced="0"/>
    <cacheHierarchy uniqueName="[dpc_covid19_ita_regioni].[isolamento_domiciliare]" caption="isolamento_domiciliare" attribute="1" defaultMemberUniqueName="[dpc_covid19_ita_regioni].[isolamento_domiciliare].[All]" allUniqueName="[dpc_covid19_ita_regioni].[isolamento_domiciliare].[All]" dimensionUniqueName="[dpc_covid19_ita_regioni]" displayFolder="" count="0" memberValueDatatype="20" unbalanced="0"/>
    <cacheHierarchy uniqueName="[dpc_covid19_ita_regioni].[totale_attualmente_positivi]" caption="totale_attualmente_positivi" attribute="1" defaultMemberUniqueName="[dpc_covid19_ita_regioni].[totale_attualmente_positivi].[All]" allUniqueName="[dpc_covid19_ita_regioni].[totale_attualmente_positivi].[All]" dimensionUniqueName="[dpc_covid19_ita_regioni]" displayFolder="" count="0" memberValueDatatype="20" unbalanced="0"/>
    <cacheHierarchy uniqueName="[dpc_covid19_ita_regioni].[nuovi_attualmente_positivi]" caption="nuovi_attualmente_positivi" attribute="1" defaultMemberUniqueName="[dpc_covid19_ita_regioni].[nuovi_attualmente_positivi].[All]" allUniqueName="[dpc_covid19_ita_regioni].[nuovi_attualmente_positivi].[All]" dimensionUniqueName="[dpc_covid19_ita_regioni]" displayFolder="" count="0" memberValueDatatype="20" unbalanced="0"/>
    <cacheHierarchy uniqueName="[dpc_covid19_ita_regioni].[dimessi_guariti]" caption="dimessi_guariti" attribute="1" defaultMemberUniqueName="[dpc_covid19_ita_regioni].[dimessi_guariti].[All]" allUniqueName="[dpc_covid19_ita_regioni].[dimessi_guariti].[All]" dimensionUniqueName="[dpc_covid19_ita_regioni]" displayFolder="" count="0" memberValueDatatype="20" unbalanced="0"/>
    <cacheHierarchy uniqueName="[dpc_covid19_ita_regioni].[deceduti]" caption="deceduti" attribute="1" defaultMemberUniqueName="[dpc_covid19_ita_regioni].[deceduti].[All]" allUniqueName="[dpc_covid19_ita_regioni].[deceduti].[All]" dimensionUniqueName="[dpc_covid19_ita_regioni]" displayFolder="" count="0" memberValueDatatype="20" unbalanced="0"/>
    <cacheHierarchy uniqueName="[dpc_covid19_ita_regioni].[totale_casi]" caption="totale_casi" attribute="1" defaultMemberUniqueName="[dpc_covid19_ita_regioni].[totale_casi].[All]" allUniqueName="[dpc_covid19_ita_regioni].[totale_casi].[All]" dimensionUniqueName="[dpc_covid19_ita_regioni]" displayFolder="" count="0" memberValueDatatype="20" unbalanced="0"/>
    <cacheHierarchy uniqueName="[dpc_covid19_ita_regioni].[tamponi]" caption="tamponi" attribute="1" defaultMemberUniqueName="[dpc_covid19_ita_regioni].[tamponi].[All]" allUniqueName="[dpc_covid19_ita_regioni].[tamponi].[All]" dimensionUniqueName="[dpc_covid19_ita_regioni]" displayFolder="" count="0" memberValueDatatype="20" unbalanced="0"/>
    <cacheHierarchy uniqueName="[dpc_covid19_ita_regioni].[denominazione_regione_adjust]" caption="denominazione_regione_adjust" attribute="1" defaultMemberUniqueName="[dpc_covid19_ita_regioni].[denominazione_regione_adjust].[All]" allUniqueName="[dpc_covid19_ita_regioni].[denominazione_regione_adjust].[All]" dimensionUniqueName="[dpc_covid19_ita_regioni]" displayFolder="" count="2" memberValueDatatype="130" unbalanced="0">
      <fieldsUsage count="2">
        <fieldUsage x="-1"/>
        <fieldUsage x="1"/>
      </fieldsUsage>
    </cacheHierarchy>
    <cacheHierarchy uniqueName="[Measures].[__XL_Count dpc_covid19_ita_andamento_nazionale]" caption="__XL_Count dpc_covid19_ita_andamento_nazionale" measure="1" displayFolder="" measureGroup="dpc_covid19_ita_andamento_nazionale" count="0" hidden="1"/>
    <cacheHierarchy uniqueName="[Measures].[__XL_Count dpc_covid19_ita_regioni]" caption="__XL_Count dpc_covid19_ita_regioni" measure="1" displayFolder="" measureGroup="dpc_covid19_ita_regioni" count="0" hidden="1"/>
    <cacheHierarchy uniqueName="[Measures].[__Nessuna misura definita]" caption="__Nessuna misura definita" measure="1" displayFolder="" count="0" hidden="1"/>
    <cacheHierarchy uniqueName="[Measures].[Somma di totale_casi]" caption="Somma di totale_cas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a di deceduti]" caption="Somma di decedu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otale_attualmente_positivi]" caption="Somma di totale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a di nuovi_attualmente_positivi]" caption="Somma di nuovi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dimessi_guariti]" caption="Somma di dimessi_guari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totale_ospedalizzati]" caption="Somma di totale_ospedalizza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ssimo di totale_attualmente_positivi]" caption="Massimo di totale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ssimo di totale_casi]" caption="Massimo di totale_cas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ssimo di dimessi_guariti]" caption="Massimo di dimessi_guari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ssimo di deceduti]" caption="Massimo di deceduti" measure="1" displayFolder="" measureGroup="dpc_covid19_ita_andamento_naziona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erapia_intensiva]" caption="Somma di terapia_intensiva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a di giorno]" caption="Somma di giorno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mese]" caption="Somma di mese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ma di codice_regione]" caption="Somma di codice_regione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a di totale_attualmente_positivi 2]" caption="Somma di totale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Massimo di totale_attualmente_positivi 2]" caption="Massimo di totale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ma di lat]" caption="Somma di lat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ma di totale_casi 2]" caption="Somma di totale_cas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ssimo di totale_casi 2]" caption="Massimo di totale_cas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ma di long]" caption="Somma di long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ma di deceduti 2]" caption="Somma di decedut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ma di dimessi_guariti 2]" caption="Somma di dimessi_guarit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ma di nuovi_attualmente_positivi 2]" caption="Somma di nuovi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terapia_intensiva 2]" caption="Somma di terapia_intensiva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omma di totale_ospedalizzati 2]" caption="Somma di totale_ospedalizzat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ma di isolamento_domiciliare]" caption="Somma di isolamento_domiciliare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3">
    <dimension name="dpc_covid19_ita_andamento_nazionale" uniqueName="[dpc_covid19_ita_andamento_nazionale]" caption="dpc_covid19_ita_andamento_nazionale"/>
    <dimension name="dpc_covid19_ita_regioni" uniqueName="[dpc_covid19_ita_regioni]" caption="dpc_covid19_ita_regioni"/>
    <dimension measure="1" name="Measures" uniqueName="[Measures]" caption="Measures"/>
  </dimensions>
  <measureGroups count="2">
    <measureGroup name="dpc_covid19_ita_andamento_nazionale" caption="dpc_covid19_ita_andamento_nazionale"/>
    <measureGroup name="dpc_covid19_ita_regioni" caption="dpc_covid19_ita_regioni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ssandro Maramotti" refreshedDate="43901.664377199071" backgroundQuery="1" createdVersion="6" refreshedVersion="6" minRefreshableVersion="3" recordCount="0" supportSubquery="1" supportAdvancedDrill="1" xr:uid="{CA13D991-3DA2-4174-BC7A-E6FC7A26C5D4}">
  <cacheSource type="external" connectionId="3"/>
  <cacheFields count="2">
    <cacheField name="[Measures].[Massimo di totale_attualmente_positivi]" caption="Massimo di totale_attualmente_positivi" numFmtId="0" hierarchy="41" level="32767"/>
    <cacheField name="[dpc_covid19_ita_regioni].[denominazione_regione_adjust].[denominazione_regione_adjust]" caption="denominazione_regione_adjust" numFmtId="0" hierarchy="31" level="1">
      <sharedItems containsSemiMixedTypes="0" containsNonDate="0" containsString="0"/>
    </cacheField>
  </cacheFields>
  <cacheHierarchies count="61">
    <cacheHierarchy uniqueName="[dpc_covid19_ita_andamento_nazionale].[data]" caption="data" attribute="1" time="1" defaultMemberUniqueName="[dpc_covid19_ita_andamento_nazionale].[data].[All]" allUniqueName="[dpc_covid19_ita_andamento_nazionale].[data].[All]" dimensionUniqueName="[dpc_covid19_ita_andamento_nazionale]" displayFolder="" count="2" memberValueDatatype="7" unbalanced="0"/>
    <cacheHierarchy uniqueName="[dpc_covid19_ita_andamento_nazionale].[stato]" caption="stato" attribute="1" defaultMemberUniqueName="[dpc_covid19_ita_andamento_nazionale].[stato].[All]" allUniqueName="[dpc_covid19_ita_andamento_nazionale].[stato].[All]" dimensionUniqueName="[dpc_covid19_ita_andamento_nazionale]" displayFolder="" count="0" memberValueDatatype="130" unbalanced="0"/>
    <cacheHierarchy uniqueName="[dpc_covid19_ita_andamento_nazionale].[ricoverati_con_sintomi]" caption="ricoverati_con_sintomi" attribute="1" defaultMemberUniqueName="[dpc_covid19_ita_andamento_nazionale].[ricoverati_con_sintomi].[All]" allUniqueName="[dpc_covid19_ita_andamento_nazionale].[ricoverati_con_sintomi].[All]" dimensionUniqueName="[dpc_covid19_ita_andamento_nazionale]" displayFolder="" count="0" memberValueDatatype="20" unbalanced="0"/>
    <cacheHierarchy uniqueName="[dpc_covid19_ita_andamento_nazionale].[terapia_intensiva]" caption="terapia_intensiva" attribute="1" defaultMemberUniqueName="[dpc_covid19_ita_andamento_nazionale].[terapia_intensiva].[All]" allUniqueName="[dpc_covid19_ita_andamento_nazionale].[terapia_intensiva].[All]" dimensionUniqueName="[dpc_covid19_ita_andamento_nazionale]" displayFolder="" count="0" memberValueDatatype="20" unbalanced="0"/>
    <cacheHierarchy uniqueName="[dpc_covid19_ita_andamento_nazionale].[totale_ospedalizzati]" caption="totale_ospedalizzati" attribute="1" defaultMemberUniqueName="[dpc_covid19_ita_andamento_nazionale].[totale_ospedalizzati].[All]" allUniqueName="[dpc_covid19_ita_andamento_nazionale].[totale_ospedalizzati].[All]" dimensionUniqueName="[dpc_covid19_ita_andamento_nazionale]" displayFolder="" count="0" memberValueDatatype="20" unbalanced="0"/>
    <cacheHierarchy uniqueName="[dpc_covid19_ita_andamento_nazionale].[isolamento_domiciliare]" caption="isolamento_domiciliare" attribute="1" defaultMemberUniqueName="[dpc_covid19_ita_andamento_nazionale].[isolamento_domiciliare].[All]" allUniqueName="[dpc_covid19_ita_andamento_nazionale].[isolamento_domiciliare].[All]" dimensionUniqueName="[dpc_covid19_ita_andamento_nazionale]" displayFolder="" count="0" memberValueDatatype="20" unbalanced="0"/>
    <cacheHierarchy uniqueName="[dpc_covid19_ita_andamento_nazionale].[totale_attualmente_positivi]" caption="totale_attualmente_positivi" attribute="1" defaultMemberUniqueName="[dpc_covid19_ita_andamento_nazionale].[totale_attualmente_positivi].[All]" allUniqueName="[dpc_covid19_ita_andamento_nazionale].[totale_attualmente_positivi].[All]" dimensionUniqueName="[dpc_covid19_ita_andamento_nazionale]" displayFolder="" count="0" memberValueDatatype="20" unbalanced="0"/>
    <cacheHierarchy uniqueName="[dpc_covid19_ita_andamento_nazionale].[nuovi_attualmente_positivi]" caption="nuovi_attualmente_positivi" attribute="1" defaultMemberUniqueName="[dpc_covid19_ita_andamento_nazionale].[nuovi_attualmente_positivi].[All]" allUniqueName="[dpc_covid19_ita_andamento_nazionale].[nuovi_attualmente_positivi].[All]" dimensionUniqueName="[dpc_covid19_ita_andamento_nazionale]" displayFolder="" count="0" memberValueDatatype="20" unbalanced="0"/>
    <cacheHierarchy uniqueName="[dpc_covid19_ita_andamento_nazionale].[dimessi_guariti]" caption="dimessi_guariti" attribute="1" defaultMemberUniqueName="[dpc_covid19_ita_andamento_nazionale].[dimessi_guariti].[All]" allUniqueName="[dpc_covid19_ita_andamento_nazionale].[dimessi_guariti].[All]" dimensionUniqueName="[dpc_covid19_ita_andamento_nazionale]" displayFolder="" count="0" memberValueDatatype="20" unbalanced="0"/>
    <cacheHierarchy uniqueName="[dpc_covid19_ita_andamento_nazionale].[deceduti]" caption="deceduti" attribute="1" defaultMemberUniqueName="[dpc_covid19_ita_andamento_nazionale].[deceduti].[All]" allUniqueName="[dpc_covid19_ita_andamento_nazionale].[deceduti].[All]" dimensionUniqueName="[dpc_covid19_ita_andamento_nazionale]" displayFolder="" count="0" memberValueDatatype="20" unbalanced="0"/>
    <cacheHierarchy uniqueName="[dpc_covid19_ita_andamento_nazionale].[totale_casi]" caption="totale_casi" attribute="1" defaultMemberUniqueName="[dpc_covid19_ita_andamento_nazionale].[totale_casi].[All]" allUniqueName="[dpc_covid19_ita_andamento_nazionale].[totale_casi].[All]" dimensionUniqueName="[dpc_covid19_ita_andamento_nazionale]" displayFolder="" count="0" memberValueDatatype="20" unbalanced="0"/>
    <cacheHierarchy uniqueName="[dpc_covid19_ita_andamento_nazionale].[tamponi]" caption="tamponi" attribute="1" defaultMemberUniqueName="[dpc_covid19_ita_andamento_nazionale].[tamponi].[All]" allUniqueName="[dpc_covid19_ita_andamento_nazionale].[tamponi].[All]" dimensionUniqueName="[dpc_covid19_ita_andamento_nazionale]" displayFolder="" count="0" memberValueDatatype="20" unbalanced="0"/>
    <cacheHierarchy uniqueName="[dpc_covid19_ita_andamento_nazionale].[giorno]" caption="giorno" attribute="1" defaultMemberUniqueName="[dpc_covid19_ita_andamento_nazionale].[giorno].[All]" allUniqueName="[dpc_covid19_ita_andamento_nazionale].[giorno].[All]" dimensionUniqueName="[dpc_covid19_ita_andamento_nazionale]" displayFolder="" count="0" memberValueDatatype="20" unbalanced="0"/>
    <cacheHierarchy uniqueName="[dpc_covid19_ita_andamento_nazionale].[mese]" caption="mese" attribute="1" defaultMemberUniqueName="[dpc_covid19_ita_andamento_nazionale].[mese].[All]" allUniqueName="[dpc_covid19_ita_andamento_nazionale].[mese].[All]" dimensionUniqueName="[dpc_covid19_ita_andamento_nazionale]" displayFolder="" count="0" memberValueDatatype="20" unbalanced="0"/>
    <cacheHierarchy uniqueName="[dpc_covid19_ita_andamento_nazionale].[anno]" caption="anno" attribute="1" defaultMemberUniqueName="[dpc_covid19_ita_andamento_nazionale].[anno].[All]" allUniqueName="[dpc_covid19_ita_andamento_nazionale].[anno].[All]" dimensionUniqueName="[dpc_covid19_ita_andamento_nazionale]" displayFolder="" count="0" memberValueDatatype="20" unbalanced="0"/>
    <cacheHierarchy uniqueName="[dpc_covid19_ita_regioni].[data]" caption="data" attribute="1" time="1" defaultMemberUniqueName="[dpc_covid19_ita_regioni].[data].[All]" allUniqueName="[dpc_covid19_ita_regioni].[data].[All]" dimensionUniqueName="[dpc_covid19_ita_regioni]" displayFolder="" count="0" memberValueDatatype="7" unbalanced="0"/>
    <cacheHierarchy uniqueName="[dpc_covid19_ita_regioni].[stato]" caption="stato" attribute="1" defaultMemberUniqueName="[dpc_covid19_ita_regioni].[stato].[All]" allUniqueName="[dpc_covid19_ita_regioni].[stato].[All]" dimensionUniqueName="[dpc_covid19_ita_regioni]" displayFolder="" count="0" memberValueDatatype="130" unbalanced="0"/>
    <cacheHierarchy uniqueName="[dpc_covid19_ita_regioni].[codice_regione]" caption="codice_regione" attribute="1" defaultMemberUniqueName="[dpc_covid19_ita_regioni].[codice_regione].[All]" allUniqueName="[dpc_covid19_ita_regioni].[codice_regione].[All]" dimensionUniqueName="[dpc_covid19_ita_regioni]" displayFolder="" count="0" memberValueDatatype="20" unbalanced="0"/>
    <cacheHierarchy uniqueName="[dpc_covid19_ita_regioni].[denominazione_regione]" caption="denominazione_regione" attribute="1" defaultMemberUniqueName="[dpc_covid19_ita_regioni].[denominazione_regione].[All]" allUniqueName="[dpc_covid19_ita_regioni].[denominazione_regione].[All]" dimensionUniqueName="[dpc_covid19_ita_regioni]" displayFolder="" count="0" memberValueDatatype="130" unbalanced="0"/>
    <cacheHierarchy uniqueName="[dpc_covid19_ita_regioni].[lat]" caption="lat" attribute="1" defaultMemberUniqueName="[dpc_covid19_ita_regioni].[lat].[All]" allUniqueName="[dpc_covid19_ita_regioni].[lat].[All]" dimensionUniqueName="[dpc_covid19_ita_regioni]" displayFolder="" count="0" memberValueDatatype="5" unbalanced="0"/>
    <cacheHierarchy uniqueName="[dpc_covid19_ita_regioni].[long]" caption="long" attribute="1" defaultMemberUniqueName="[dpc_covid19_ita_regioni].[long].[All]" allUniqueName="[dpc_covid19_ita_regioni].[long].[All]" dimensionUniqueName="[dpc_covid19_ita_regioni]" displayFolder="" count="0" memberValueDatatype="5" unbalanced="0"/>
    <cacheHierarchy uniqueName="[dpc_covid19_ita_regioni].[ricoverati_con_sintomi]" caption="ricoverati_con_sintomi" attribute="1" defaultMemberUniqueName="[dpc_covid19_ita_regioni].[ricoverati_con_sintomi].[All]" allUniqueName="[dpc_covid19_ita_regioni].[ricoverati_con_sintomi].[All]" dimensionUniqueName="[dpc_covid19_ita_regioni]" displayFolder="" count="0" memberValueDatatype="20" unbalanced="0"/>
    <cacheHierarchy uniqueName="[dpc_covid19_ita_regioni].[terapia_intensiva]" caption="terapia_intensiva" attribute="1" defaultMemberUniqueName="[dpc_covid19_ita_regioni].[terapia_intensiva].[All]" allUniqueName="[dpc_covid19_ita_regioni].[terapia_intensiva].[All]" dimensionUniqueName="[dpc_covid19_ita_regioni]" displayFolder="" count="0" memberValueDatatype="20" unbalanced="0"/>
    <cacheHierarchy uniqueName="[dpc_covid19_ita_regioni].[totale_ospedalizzati]" caption="totale_ospedalizzati" attribute="1" defaultMemberUniqueName="[dpc_covid19_ita_regioni].[totale_ospedalizzati].[All]" allUniqueName="[dpc_covid19_ita_regioni].[totale_ospedalizzati].[All]" dimensionUniqueName="[dpc_covid19_ita_regioni]" displayFolder="" count="0" memberValueDatatype="20" unbalanced="0"/>
    <cacheHierarchy uniqueName="[dpc_covid19_ita_regioni].[isolamento_domiciliare]" caption="isolamento_domiciliare" attribute="1" defaultMemberUniqueName="[dpc_covid19_ita_regioni].[isolamento_domiciliare].[All]" allUniqueName="[dpc_covid19_ita_regioni].[isolamento_domiciliare].[All]" dimensionUniqueName="[dpc_covid19_ita_regioni]" displayFolder="" count="0" memberValueDatatype="20" unbalanced="0"/>
    <cacheHierarchy uniqueName="[dpc_covid19_ita_regioni].[totale_attualmente_positivi]" caption="totale_attualmente_positivi" attribute="1" defaultMemberUniqueName="[dpc_covid19_ita_regioni].[totale_attualmente_positivi].[All]" allUniqueName="[dpc_covid19_ita_regioni].[totale_attualmente_positivi].[All]" dimensionUniqueName="[dpc_covid19_ita_regioni]" displayFolder="" count="0" memberValueDatatype="20" unbalanced="0"/>
    <cacheHierarchy uniqueName="[dpc_covid19_ita_regioni].[nuovi_attualmente_positivi]" caption="nuovi_attualmente_positivi" attribute="1" defaultMemberUniqueName="[dpc_covid19_ita_regioni].[nuovi_attualmente_positivi].[All]" allUniqueName="[dpc_covid19_ita_regioni].[nuovi_attualmente_positivi].[All]" dimensionUniqueName="[dpc_covid19_ita_regioni]" displayFolder="" count="0" memberValueDatatype="20" unbalanced="0"/>
    <cacheHierarchy uniqueName="[dpc_covid19_ita_regioni].[dimessi_guariti]" caption="dimessi_guariti" attribute="1" defaultMemberUniqueName="[dpc_covid19_ita_regioni].[dimessi_guariti].[All]" allUniqueName="[dpc_covid19_ita_regioni].[dimessi_guariti].[All]" dimensionUniqueName="[dpc_covid19_ita_regioni]" displayFolder="" count="0" memberValueDatatype="20" unbalanced="0"/>
    <cacheHierarchy uniqueName="[dpc_covid19_ita_regioni].[deceduti]" caption="deceduti" attribute="1" defaultMemberUniqueName="[dpc_covid19_ita_regioni].[deceduti].[All]" allUniqueName="[dpc_covid19_ita_regioni].[deceduti].[All]" dimensionUniqueName="[dpc_covid19_ita_regioni]" displayFolder="" count="0" memberValueDatatype="20" unbalanced="0"/>
    <cacheHierarchy uniqueName="[dpc_covid19_ita_regioni].[totale_casi]" caption="totale_casi" attribute="1" defaultMemberUniqueName="[dpc_covid19_ita_regioni].[totale_casi].[All]" allUniqueName="[dpc_covid19_ita_regioni].[totale_casi].[All]" dimensionUniqueName="[dpc_covid19_ita_regioni]" displayFolder="" count="0" memberValueDatatype="20" unbalanced="0"/>
    <cacheHierarchy uniqueName="[dpc_covid19_ita_regioni].[tamponi]" caption="tamponi" attribute="1" defaultMemberUniqueName="[dpc_covid19_ita_regioni].[tamponi].[All]" allUniqueName="[dpc_covid19_ita_regioni].[tamponi].[All]" dimensionUniqueName="[dpc_covid19_ita_regioni]" displayFolder="" count="0" memberValueDatatype="20" unbalanced="0"/>
    <cacheHierarchy uniqueName="[dpc_covid19_ita_regioni].[denominazione_regione_adjust]" caption="denominazione_regione_adjust" attribute="1" defaultMemberUniqueName="[dpc_covid19_ita_regioni].[denominazione_regione_adjust].[All]" allUniqueName="[dpc_covid19_ita_regioni].[denominazione_regione_adjust].[All]" dimensionUniqueName="[dpc_covid19_ita_regioni]" displayFolder="" count="2" memberValueDatatype="130" unbalanced="0">
      <fieldsUsage count="2">
        <fieldUsage x="-1"/>
        <fieldUsage x="1"/>
      </fieldsUsage>
    </cacheHierarchy>
    <cacheHierarchy uniqueName="[Measures].[__XL_Count dpc_covid19_ita_andamento_nazionale]" caption="__XL_Count dpc_covid19_ita_andamento_nazionale" measure="1" displayFolder="" measureGroup="dpc_covid19_ita_andamento_nazionale" count="0" hidden="1"/>
    <cacheHierarchy uniqueName="[Measures].[__XL_Count dpc_covid19_ita_regioni]" caption="__XL_Count dpc_covid19_ita_regioni" measure="1" displayFolder="" measureGroup="dpc_covid19_ita_regioni" count="0" hidden="1"/>
    <cacheHierarchy uniqueName="[Measures].[__Nessuna misura definita]" caption="__Nessuna misura definita" measure="1" displayFolder="" count="0" hidden="1"/>
    <cacheHierarchy uniqueName="[Measures].[Somma di totale_casi]" caption="Somma di totale_cas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a di deceduti]" caption="Somma di decedu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otale_attualmente_positivi]" caption="Somma di totale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a di nuovi_attualmente_positivi]" caption="Somma di nuovi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dimessi_guariti]" caption="Somma di dimessi_guari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totale_ospedalizzati]" caption="Somma di totale_ospedalizza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ssimo di totale_attualmente_positivi]" caption="Massimo di totale_attualmente_positivi" measure="1" displayFolder="" measureGroup="dpc_covid19_ita_andamento_naziona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ssimo di totale_casi]" caption="Massimo di totale_cas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ssimo di dimessi_guariti]" caption="Massimo di dimessi_guari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ssimo di deceduti]" caption="Massimo di decedu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erapia_intensiva]" caption="Somma di terapia_intensiva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a di giorno]" caption="Somma di giorno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mese]" caption="Somma di mese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ma di codice_regione]" caption="Somma di codice_regione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a di totale_attualmente_positivi 2]" caption="Somma di totale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Massimo di totale_attualmente_positivi 2]" caption="Massimo di totale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ma di lat]" caption="Somma di lat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ma di totale_casi 2]" caption="Somma di totale_cas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ssimo di totale_casi 2]" caption="Massimo di totale_cas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ma di long]" caption="Somma di long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ma di deceduti 2]" caption="Somma di decedut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ma di dimessi_guariti 2]" caption="Somma di dimessi_guarit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ma di nuovi_attualmente_positivi 2]" caption="Somma di nuovi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terapia_intensiva 2]" caption="Somma di terapia_intensiva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omma di totale_ospedalizzati 2]" caption="Somma di totale_ospedalizzat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ma di isolamento_domiciliare]" caption="Somma di isolamento_domiciliare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3">
    <dimension name="dpc_covid19_ita_andamento_nazionale" uniqueName="[dpc_covid19_ita_andamento_nazionale]" caption="dpc_covid19_ita_andamento_nazionale"/>
    <dimension name="dpc_covid19_ita_regioni" uniqueName="[dpc_covid19_ita_regioni]" caption="dpc_covid19_ita_regioni"/>
    <dimension measure="1" name="Measures" uniqueName="[Measures]" caption="Measures"/>
  </dimensions>
  <measureGroups count="2">
    <measureGroup name="dpc_covid19_ita_andamento_nazionale" caption="dpc_covid19_ita_andamento_nazionale"/>
    <measureGroup name="dpc_covid19_ita_regioni" caption="dpc_covid19_ita_regioni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ssandro Maramotti" refreshedDate="43901.664377777779" backgroundQuery="1" createdVersion="6" refreshedVersion="6" minRefreshableVersion="3" recordCount="0" supportSubquery="1" supportAdvancedDrill="1" xr:uid="{EE673BF1-4CDC-4BE9-9477-F8397D475970}">
  <cacheSource type="external" connectionId="3"/>
  <cacheFields count="5">
    <cacheField name="[dpc_covid19_ita_regioni].[data].[data]" caption="data" numFmtId="0" hierarchy="15" level="1">
      <sharedItems containsSemiMixedTypes="0" containsNonDate="0" containsDate="1" containsString="0" minDate="2020-02-24T18:00:00" maxDate="2020-03-10T18:00:00" count="16">
        <d v="2020-02-24T18:00:00"/>
        <d v="2020-02-25T18:00:00"/>
        <d v="2020-02-26T18:00:00"/>
        <d v="2020-02-27T18:00:00"/>
        <d v="2020-02-28T18:00:00"/>
        <d v="2020-02-29T17:00:00"/>
        <d v="2020-03-01T17:00:00"/>
        <d v="2020-03-02T18:00:00"/>
        <d v="2020-03-03T18:00:00"/>
        <d v="2020-03-04T17:00:00"/>
        <d v="2020-03-05T17:00:00"/>
        <d v="2020-03-06T17:00:00"/>
        <d v="2020-03-07T18:00:00"/>
        <d v="2020-03-08T18:00:00"/>
        <d v="2020-03-09T18:00:00"/>
        <d v="2020-03-10T18:00:00"/>
      </sharedItems>
      <extLst>
        <ext xmlns:x15="http://schemas.microsoft.com/office/spreadsheetml/2010/11/main" uri="{4F2E5C28-24EA-4eb8-9CBF-B6C8F9C3D259}">
          <x15:cachedUniqueNames>
            <x15:cachedUniqueName index="0" name="[dpc_covid19_ita_regioni].[data].&amp;[2020-02-24T18:00:00]"/>
            <x15:cachedUniqueName index="1" name="[dpc_covid19_ita_regioni].[data].&amp;[2020-02-25T18:00:00]"/>
            <x15:cachedUniqueName index="2" name="[dpc_covid19_ita_regioni].[data].&amp;[2020-02-26T18:00:00]"/>
            <x15:cachedUniqueName index="3" name="[dpc_covid19_ita_regioni].[data].&amp;[2020-02-27T18:00:00]"/>
            <x15:cachedUniqueName index="4" name="[dpc_covid19_ita_regioni].[data].&amp;[2020-02-28T18:00:00]"/>
            <x15:cachedUniqueName index="5" name="[dpc_covid19_ita_regioni].[data].&amp;[2020-02-29T17:00:00]"/>
            <x15:cachedUniqueName index="6" name="[dpc_covid19_ita_regioni].[data].&amp;[2020-03-01T17:00:00]"/>
            <x15:cachedUniqueName index="7" name="[dpc_covid19_ita_regioni].[data].&amp;[2020-03-02T18:00:00]"/>
            <x15:cachedUniqueName index="8" name="[dpc_covid19_ita_regioni].[data].&amp;[2020-03-03T18:00:00]"/>
            <x15:cachedUniqueName index="9" name="[dpc_covid19_ita_regioni].[data].&amp;[2020-03-04T17:00:00]"/>
            <x15:cachedUniqueName index="10" name="[dpc_covid19_ita_regioni].[data].&amp;[2020-03-05T17:00:00]"/>
            <x15:cachedUniqueName index="11" name="[dpc_covid19_ita_regioni].[data].&amp;[2020-03-06T17:00:00]"/>
            <x15:cachedUniqueName index="12" name="[dpc_covid19_ita_regioni].[data].&amp;[2020-03-07T18:00:00]"/>
            <x15:cachedUniqueName index="13" name="[dpc_covid19_ita_regioni].[data].&amp;[2020-03-08T18:00:00]"/>
            <x15:cachedUniqueName index="14" name="[dpc_covid19_ita_regioni].[data].&amp;[2020-03-09T18:00:00]"/>
            <x15:cachedUniqueName index="15" name="[dpc_covid19_ita_regioni].[data].&amp;[2020-03-10T18:00:00]"/>
          </x15:cachedUniqueNames>
        </ext>
      </extLst>
    </cacheField>
    <cacheField name="[Measures].[Somma di totale_casi 2]" caption="Somma di totale_casi 2" numFmtId="0" hierarchy="52" level="32767"/>
    <cacheField name="[Measures].[Somma di dimessi_guariti 2]" caption="Somma di dimessi_guariti 2" numFmtId="0" hierarchy="56" level="32767"/>
    <cacheField name="[Measures].[Somma di deceduti 2]" caption="Somma di deceduti 2" numFmtId="0" hierarchy="55" level="32767"/>
    <cacheField name="[dpc_covid19_ita_regioni].[denominazione_regione_adjust].[denominazione_regione_adjust]" caption="denominazione_regione_adjust" numFmtId="0" hierarchy="31" level="1">
      <sharedItems containsSemiMixedTypes="0" containsNonDate="0" containsString="0"/>
    </cacheField>
  </cacheFields>
  <cacheHierarchies count="61">
    <cacheHierarchy uniqueName="[dpc_covid19_ita_andamento_nazionale].[data]" caption="data" attribute="1" time="1" defaultMemberUniqueName="[dpc_covid19_ita_andamento_nazionale].[data].[All]" allUniqueName="[dpc_covid19_ita_andamento_nazionale].[data].[All]" dimensionUniqueName="[dpc_covid19_ita_andamento_nazionale]" displayFolder="" count="0" memberValueDatatype="7" unbalanced="0"/>
    <cacheHierarchy uniqueName="[dpc_covid19_ita_andamento_nazionale].[stato]" caption="stato" attribute="1" defaultMemberUniqueName="[dpc_covid19_ita_andamento_nazionale].[stato].[All]" allUniqueName="[dpc_covid19_ita_andamento_nazionale].[stato].[All]" dimensionUniqueName="[dpc_covid19_ita_andamento_nazionale]" displayFolder="" count="0" memberValueDatatype="130" unbalanced="0"/>
    <cacheHierarchy uniqueName="[dpc_covid19_ita_andamento_nazionale].[ricoverati_con_sintomi]" caption="ricoverati_con_sintomi" attribute="1" defaultMemberUniqueName="[dpc_covid19_ita_andamento_nazionale].[ricoverati_con_sintomi].[All]" allUniqueName="[dpc_covid19_ita_andamento_nazionale].[ricoverati_con_sintomi].[All]" dimensionUniqueName="[dpc_covid19_ita_andamento_nazionale]" displayFolder="" count="0" memberValueDatatype="20" unbalanced="0"/>
    <cacheHierarchy uniqueName="[dpc_covid19_ita_andamento_nazionale].[terapia_intensiva]" caption="terapia_intensiva" attribute="1" defaultMemberUniqueName="[dpc_covid19_ita_andamento_nazionale].[terapia_intensiva].[All]" allUniqueName="[dpc_covid19_ita_andamento_nazionale].[terapia_intensiva].[All]" dimensionUniqueName="[dpc_covid19_ita_andamento_nazionale]" displayFolder="" count="0" memberValueDatatype="20" unbalanced="0"/>
    <cacheHierarchy uniqueName="[dpc_covid19_ita_andamento_nazionale].[totale_ospedalizzati]" caption="totale_ospedalizzati" attribute="1" defaultMemberUniqueName="[dpc_covid19_ita_andamento_nazionale].[totale_ospedalizzati].[All]" allUniqueName="[dpc_covid19_ita_andamento_nazionale].[totale_ospedalizzati].[All]" dimensionUniqueName="[dpc_covid19_ita_andamento_nazionale]" displayFolder="" count="0" memberValueDatatype="20" unbalanced="0"/>
    <cacheHierarchy uniqueName="[dpc_covid19_ita_andamento_nazionale].[isolamento_domiciliare]" caption="isolamento_domiciliare" attribute="1" defaultMemberUniqueName="[dpc_covid19_ita_andamento_nazionale].[isolamento_domiciliare].[All]" allUniqueName="[dpc_covid19_ita_andamento_nazionale].[isolamento_domiciliare].[All]" dimensionUniqueName="[dpc_covid19_ita_andamento_nazionale]" displayFolder="" count="0" memberValueDatatype="20" unbalanced="0"/>
    <cacheHierarchy uniqueName="[dpc_covid19_ita_andamento_nazionale].[totale_attualmente_positivi]" caption="totale_attualmente_positivi" attribute="1" defaultMemberUniqueName="[dpc_covid19_ita_andamento_nazionale].[totale_attualmente_positivi].[All]" allUniqueName="[dpc_covid19_ita_andamento_nazionale].[totale_attualmente_positivi].[All]" dimensionUniqueName="[dpc_covid19_ita_andamento_nazionale]" displayFolder="" count="0" memberValueDatatype="20" unbalanced="0"/>
    <cacheHierarchy uniqueName="[dpc_covid19_ita_andamento_nazionale].[nuovi_attualmente_positivi]" caption="nuovi_attualmente_positivi" attribute="1" defaultMemberUniqueName="[dpc_covid19_ita_andamento_nazionale].[nuovi_attualmente_positivi].[All]" allUniqueName="[dpc_covid19_ita_andamento_nazionale].[nuovi_attualmente_positivi].[All]" dimensionUniqueName="[dpc_covid19_ita_andamento_nazionale]" displayFolder="" count="0" memberValueDatatype="20" unbalanced="0"/>
    <cacheHierarchy uniqueName="[dpc_covid19_ita_andamento_nazionale].[dimessi_guariti]" caption="dimessi_guariti" attribute="1" defaultMemberUniqueName="[dpc_covid19_ita_andamento_nazionale].[dimessi_guariti].[All]" allUniqueName="[dpc_covid19_ita_andamento_nazionale].[dimessi_guariti].[All]" dimensionUniqueName="[dpc_covid19_ita_andamento_nazionale]" displayFolder="" count="0" memberValueDatatype="20" unbalanced="0"/>
    <cacheHierarchy uniqueName="[dpc_covid19_ita_andamento_nazionale].[deceduti]" caption="deceduti" attribute="1" defaultMemberUniqueName="[dpc_covid19_ita_andamento_nazionale].[deceduti].[All]" allUniqueName="[dpc_covid19_ita_andamento_nazionale].[deceduti].[All]" dimensionUniqueName="[dpc_covid19_ita_andamento_nazionale]" displayFolder="" count="0" memberValueDatatype="20" unbalanced="0"/>
    <cacheHierarchy uniqueName="[dpc_covid19_ita_andamento_nazionale].[totale_casi]" caption="totale_casi" attribute="1" defaultMemberUniqueName="[dpc_covid19_ita_andamento_nazionale].[totale_casi].[All]" allUniqueName="[dpc_covid19_ita_andamento_nazionale].[totale_casi].[All]" dimensionUniqueName="[dpc_covid19_ita_andamento_nazionale]" displayFolder="" count="0" memberValueDatatype="20" unbalanced="0"/>
    <cacheHierarchy uniqueName="[dpc_covid19_ita_andamento_nazionale].[tamponi]" caption="tamponi" attribute="1" defaultMemberUniqueName="[dpc_covid19_ita_andamento_nazionale].[tamponi].[All]" allUniqueName="[dpc_covid19_ita_andamento_nazionale].[tamponi].[All]" dimensionUniqueName="[dpc_covid19_ita_andamento_nazionale]" displayFolder="" count="0" memberValueDatatype="20" unbalanced="0"/>
    <cacheHierarchy uniqueName="[dpc_covid19_ita_andamento_nazionale].[giorno]" caption="giorno" attribute="1" defaultMemberUniqueName="[dpc_covid19_ita_andamento_nazionale].[giorno].[All]" allUniqueName="[dpc_covid19_ita_andamento_nazionale].[giorno].[All]" dimensionUniqueName="[dpc_covid19_ita_andamento_nazionale]" displayFolder="" count="0" memberValueDatatype="20" unbalanced="0"/>
    <cacheHierarchy uniqueName="[dpc_covid19_ita_andamento_nazionale].[mese]" caption="mese" attribute="1" defaultMemberUniqueName="[dpc_covid19_ita_andamento_nazionale].[mese].[All]" allUniqueName="[dpc_covid19_ita_andamento_nazionale].[mese].[All]" dimensionUniqueName="[dpc_covid19_ita_andamento_nazionale]" displayFolder="" count="0" memberValueDatatype="20" unbalanced="0"/>
    <cacheHierarchy uniqueName="[dpc_covid19_ita_andamento_nazionale].[anno]" caption="anno" attribute="1" defaultMemberUniqueName="[dpc_covid19_ita_andamento_nazionale].[anno].[All]" allUniqueName="[dpc_covid19_ita_andamento_nazionale].[anno].[All]" dimensionUniqueName="[dpc_covid19_ita_andamento_nazionale]" displayFolder="" count="0" memberValueDatatype="20" unbalanced="0"/>
    <cacheHierarchy uniqueName="[dpc_covid19_ita_regioni].[data]" caption="data" attribute="1" time="1" defaultMemberUniqueName="[dpc_covid19_ita_regioni].[data].[All]" allUniqueName="[dpc_covid19_ita_regioni].[data].[All]" dimensionUniqueName="[dpc_covid19_ita_regioni]" displayFolder="" count="2" memberValueDatatype="7" unbalanced="0">
      <fieldsUsage count="2">
        <fieldUsage x="-1"/>
        <fieldUsage x="0"/>
      </fieldsUsage>
    </cacheHierarchy>
    <cacheHierarchy uniqueName="[dpc_covid19_ita_regioni].[stato]" caption="stato" attribute="1" defaultMemberUniqueName="[dpc_covid19_ita_regioni].[stato].[All]" allUniqueName="[dpc_covid19_ita_regioni].[stato].[All]" dimensionUniqueName="[dpc_covid19_ita_regioni]" displayFolder="" count="0" memberValueDatatype="130" unbalanced="0"/>
    <cacheHierarchy uniqueName="[dpc_covid19_ita_regioni].[codice_regione]" caption="codice_regione" attribute="1" defaultMemberUniqueName="[dpc_covid19_ita_regioni].[codice_regione].[All]" allUniqueName="[dpc_covid19_ita_regioni].[codice_regione].[All]" dimensionUniqueName="[dpc_covid19_ita_regioni]" displayFolder="" count="0" memberValueDatatype="20" unbalanced="0"/>
    <cacheHierarchy uniqueName="[dpc_covid19_ita_regioni].[denominazione_regione]" caption="denominazione_regione" attribute="1" defaultMemberUniqueName="[dpc_covid19_ita_regioni].[denominazione_regione].[All]" allUniqueName="[dpc_covid19_ita_regioni].[denominazione_regione].[All]" dimensionUniqueName="[dpc_covid19_ita_regioni]" displayFolder="" count="0" memberValueDatatype="130" unbalanced="0"/>
    <cacheHierarchy uniqueName="[dpc_covid19_ita_regioni].[lat]" caption="lat" attribute="1" defaultMemberUniqueName="[dpc_covid19_ita_regioni].[lat].[All]" allUniqueName="[dpc_covid19_ita_regioni].[lat].[All]" dimensionUniqueName="[dpc_covid19_ita_regioni]" displayFolder="" count="0" memberValueDatatype="5" unbalanced="0"/>
    <cacheHierarchy uniqueName="[dpc_covid19_ita_regioni].[long]" caption="long" attribute="1" defaultMemberUniqueName="[dpc_covid19_ita_regioni].[long].[All]" allUniqueName="[dpc_covid19_ita_regioni].[long].[All]" dimensionUniqueName="[dpc_covid19_ita_regioni]" displayFolder="" count="0" memberValueDatatype="5" unbalanced="0"/>
    <cacheHierarchy uniqueName="[dpc_covid19_ita_regioni].[ricoverati_con_sintomi]" caption="ricoverati_con_sintomi" attribute="1" defaultMemberUniqueName="[dpc_covid19_ita_regioni].[ricoverati_con_sintomi].[All]" allUniqueName="[dpc_covid19_ita_regioni].[ricoverati_con_sintomi].[All]" dimensionUniqueName="[dpc_covid19_ita_regioni]" displayFolder="" count="0" memberValueDatatype="20" unbalanced="0"/>
    <cacheHierarchy uniqueName="[dpc_covid19_ita_regioni].[terapia_intensiva]" caption="terapia_intensiva" attribute="1" defaultMemberUniqueName="[dpc_covid19_ita_regioni].[terapia_intensiva].[All]" allUniqueName="[dpc_covid19_ita_regioni].[terapia_intensiva].[All]" dimensionUniqueName="[dpc_covid19_ita_regioni]" displayFolder="" count="0" memberValueDatatype="20" unbalanced="0"/>
    <cacheHierarchy uniqueName="[dpc_covid19_ita_regioni].[totale_ospedalizzati]" caption="totale_ospedalizzati" attribute="1" defaultMemberUniqueName="[dpc_covid19_ita_regioni].[totale_ospedalizzati].[All]" allUniqueName="[dpc_covid19_ita_regioni].[totale_ospedalizzati].[All]" dimensionUniqueName="[dpc_covid19_ita_regioni]" displayFolder="" count="0" memberValueDatatype="20" unbalanced="0"/>
    <cacheHierarchy uniqueName="[dpc_covid19_ita_regioni].[isolamento_domiciliare]" caption="isolamento_domiciliare" attribute="1" defaultMemberUniqueName="[dpc_covid19_ita_regioni].[isolamento_domiciliare].[All]" allUniqueName="[dpc_covid19_ita_regioni].[isolamento_domiciliare].[All]" dimensionUniqueName="[dpc_covid19_ita_regioni]" displayFolder="" count="0" memberValueDatatype="20" unbalanced="0"/>
    <cacheHierarchy uniqueName="[dpc_covid19_ita_regioni].[totale_attualmente_positivi]" caption="totale_attualmente_positivi" attribute="1" defaultMemberUniqueName="[dpc_covid19_ita_regioni].[totale_attualmente_positivi].[All]" allUniqueName="[dpc_covid19_ita_regioni].[totale_attualmente_positivi].[All]" dimensionUniqueName="[dpc_covid19_ita_regioni]" displayFolder="" count="0" memberValueDatatype="20" unbalanced="0"/>
    <cacheHierarchy uniqueName="[dpc_covid19_ita_regioni].[nuovi_attualmente_positivi]" caption="nuovi_attualmente_positivi" attribute="1" defaultMemberUniqueName="[dpc_covid19_ita_regioni].[nuovi_attualmente_positivi].[All]" allUniqueName="[dpc_covid19_ita_regioni].[nuovi_attualmente_positivi].[All]" dimensionUniqueName="[dpc_covid19_ita_regioni]" displayFolder="" count="0" memberValueDatatype="20" unbalanced="0"/>
    <cacheHierarchy uniqueName="[dpc_covid19_ita_regioni].[dimessi_guariti]" caption="dimessi_guariti" attribute="1" defaultMemberUniqueName="[dpc_covid19_ita_regioni].[dimessi_guariti].[All]" allUniqueName="[dpc_covid19_ita_regioni].[dimessi_guariti].[All]" dimensionUniqueName="[dpc_covid19_ita_regioni]" displayFolder="" count="0" memberValueDatatype="20" unbalanced="0"/>
    <cacheHierarchy uniqueName="[dpc_covid19_ita_regioni].[deceduti]" caption="deceduti" attribute="1" defaultMemberUniqueName="[dpc_covid19_ita_regioni].[deceduti].[All]" allUniqueName="[dpc_covid19_ita_regioni].[deceduti].[All]" dimensionUniqueName="[dpc_covid19_ita_regioni]" displayFolder="" count="0" memberValueDatatype="20" unbalanced="0"/>
    <cacheHierarchy uniqueName="[dpc_covid19_ita_regioni].[totale_casi]" caption="totale_casi" attribute="1" defaultMemberUniqueName="[dpc_covid19_ita_regioni].[totale_casi].[All]" allUniqueName="[dpc_covid19_ita_regioni].[totale_casi].[All]" dimensionUniqueName="[dpc_covid19_ita_regioni]" displayFolder="" count="0" memberValueDatatype="20" unbalanced="0"/>
    <cacheHierarchy uniqueName="[dpc_covid19_ita_regioni].[tamponi]" caption="tamponi" attribute="1" defaultMemberUniqueName="[dpc_covid19_ita_regioni].[tamponi].[All]" allUniqueName="[dpc_covid19_ita_regioni].[tamponi].[All]" dimensionUniqueName="[dpc_covid19_ita_regioni]" displayFolder="" count="0" memberValueDatatype="20" unbalanced="0"/>
    <cacheHierarchy uniqueName="[dpc_covid19_ita_regioni].[denominazione_regione_adjust]" caption="denominazione_regione_adjust" attribute="1" defaultMemberUniqueName="[dpc_covid19_ita_regioni].[denominazione_regione_adjust].[All]" allUniqueName="[dpc_covid19_ita_regioni].[denominazione_regione_adjust].[All]" dimensionUniqueName="[dpc_covid19_ita_regioni]" displayFolder="" count="2" memberValueDatatype="130" unbalanced="0">
      <fieldsUsage count="2">
        <fieldUsage x="-1"/>
        <fieldUsage x="4"/>
      </fieldsUsage>
    </cacheHierarchy>
    <cacheHierarchy uniqueName="[Measures].[__XL_Count dpc_covid19_ita_andamento_nazionale]" caption="__XL_Count dpc_covid19_ita_andamento_nazionale" measure="1" displayFolder="" measureGroup="dpc_covid19_ita_andamento_nazionale" count="0" hidden="1"/>
    <cacheHierarchy uniqueName="[Measures].[__XL_Count dpc_covid19_ita_regioni]" caption="__XL_Count dpc_covid19_ita_regioni" measure="1" displayFolder="" measureGroup="dpc_covid19_ita_regioni" count="0" hidden="1"/>
    <cacheHierarchy uniqueName="[Measures].[__Nessuna misura definita]" caption="__Nessuna misura definita" measure="1" displayFolder="" count="0" hidden="1"/>
    <cacheHierarchy uniqueName="[Measures].[Somma di totale_casi]" caption="Somma di totale_cas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a di deceduti]" caption="Somma di decedu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otale_attualmente_positivi]" caption="Somma di totale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a di nuovi_attualmente_positivi]" caption="Somma di nuovi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dimessi_guariti]" caption="Somma di dimessi_guari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totale_ospedalizzati]" caption="Somma di totale_ospedalizza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ssimo di totale_attualmente_positivi]" caption="Massimo di totale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ssimo di totale_casi]" caption="Massimo di totale_cas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ssimo di dimessi_guariti]" caption="Massimo di dimessi_guari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ssimo di deceduti]" caption="Massimo di decedu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erapia_intensiva]" caption="Somma di terapia_intensiva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a di giorno]" caption="Somma di giorno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mese]" caption="Somma di mese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ma di codice_regione]" caption="Somma di codice_regione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a di totale_attualmente_positivi 2]" caption="Somma di totale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Massimo di totale_attualmente_positivi 2]" caption="Massimo di totale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ma di lat]" caption="Somma di lat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ma di totale_casi 2]" caption="Somma di totale_casi 2" measure="1" displayFolder="" measureGroup="dpc_covid19_ita_regioni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ssimo di totale_casi 2]" caption="Massimo di totale_cas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ma di long]" caption="Somma di long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ma di deceduti 2]" caption="Somma di deceduti 2" measure="1" displayFolder="" measureGroup="dpc_covid19_ita_regioni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ma di dimessi_guariti 2]" caption="Somma di dimessi_guariti 2" measure="1" displayFolder="" measureGroup="dpc_covid19_ita_regioni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ma di nuovi_attualmente_positivi 2]" caption="Somma di nuovi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terapia_intensiva 2]" caption="Somma di terapia_intensiva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omma di totale_ospedalizzati 2]" caption="Somma di totale_ospedalizzat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ma di isolamento_domiciliare]" caption="Somma di isolamento_domiciliare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3">
    <dimension name="dpc_covid19_ita_andamento_nazionale" uniqueName="[dpc_covid19_ita_andamento_nazionale]" caption="dpc_covid19_ita_andamento_nazionale"/>
    <dimension name="dpc_covid19_ita_regioni" uniqueName="[dpc_covid19_ita_regioni]" caption="dpc_covid19_ita_regioni"/>
    <dimension measure="1" name="Measures" uniqueName="[Measures]" caption="Measures"/>
  </dimensions>
  <measureGroups count="2">
    <measureGroup name="dpc_covid19_ita_andamento_nazionale" caption="dpc_covid19_ita_andamento_nazionale"/>
    <measureGroup name="dpc_covid19_ita_regioni" caption="dpc_covid19_ita_regioni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ssandro Maramotti" refreshedDate="43901.664378125002" backgroundQuery="1" createdVersion="6" refreshedVersion="6" minRefreshableVersion="3" recordCount="0" supportSubquery="1" supportAdvancedDrill="1" xr:uid="{F048591B-02FF-41DA-BA1D-C36FC5A20E4C}">
  <cacheSource type="external" connectionId="3"/>
  <cacheFields count="3">
    <cacheField name="[dpc_covid19_ita_regioni].[data].[data]" caption="data" numFmtId="0" hierarchy="15" level="1">
      <sharedItems containsSemiMixedTypes="0" containsNonDate="0" containsDate="1" containsString="0" minDate="2020-02-24T18:00:00" maxDate="2020-03-10T18:00:00" count="16">
        <d v="2020-02-24T18:00:00"/>
        <d v="2020-02-25T18:00:00"/>
        <d v="2020-02-26T18:00:00"/>
        <d v="2020-02-27T18:00:00"/>
        <d v="2020-02-28T18:00:00"/>
        <d v="2020-02-29T17:00:00"/>
        <d v="2020-03-01T17:00:00"/>
        <d v="2020-03-02T18:00:00"/>
        <d v="2020-03-03T18:00:00"/>
        <d v="2020-03-04T17:00:00"/>
        <d v="2020-03-05T17:00:00"/>
        <d v="2020-03-06T17:00:00"/>
        <d v="2020-03-07T18:00:00"/>
        <d v="2020-03-08T18:00:00"/>
        <d v="2020-03-09T18:00:00"/>
        <d v="2020-03-10T18:00:00"/>
      </sharedItems>
      <extLst>
        <ext xmlns:x15="http://schemas.microsoft.com/office/spreadsheetml/2010/11/main" uri="{4F2E5C28-24EA-4eb8-9CBF-B6C8F9C3D259}">
          <x15:cachedUniqueNames>
            <x15:cachedUniqueName index="0" name="[dpc_covid19_ita_regioni].[data].&amp;[2020-02-24T18:00:00]"/>
            <x15:cachedUniqueName index="1" name="[dpc_covid19_ita_regioni].[data].&amp;[2020-02-25T18:00:00]"/>
            <x15:cachedUniqueName index="2" name="[dpc_covid19_ita_regioni].[data].&amp;[2020-02-26T18:00:00]"/>
            <x15:cachedUniqueName index="3" name="[dpc_covid19_ita_regioni].[data].&amp;[2020-02-27T18:00:00]"/>
            <x15:cachedUniqueName index="4" name="[dpc_covid19_ita_regioni].[data].&amp;[2020-02-28T18:00:00]"/>
            <x15:cachedUniqueName index="5" name="[dpc_covid19_ita_regioni].[data].&amp;[2020-02-29T17:00:00]"/>
            <x15:cachedUniqueName index="6" name="[dpc_covid19_ita_regioni].[data].&amp;[2020-03-01T17:00:00]"/>
            <x15:cachedUniqueName index="7" name="[dpc_covid19_ita_regioni].[data].&amp;[2020-03-02T18:00:00]"/>
            <x15:cachedUniqueName index="8" name="[dpc_covid19_ita_regioni].[data].&amp;[2020-03-03T18:00:00]"/>
            <x15:cachedUniqueName index="9" name="[dpc_covid19_ita_regioni].[data].&amp;[2020-03-04T17:00:00]"/>
            <x15:cachedUniqueName index="10" name="[dpc_covid19_ita_regioni].[data].&amp;[2020-03-05T17:00:00]"/>
            <x15:cachedUniqueName index="11" name="[dpc_covid19_ita_regioni].[data].&amp;[2020-03-06T17:00:00]"/>
            <x15:cachedUniqueName index="12" name="[dpc_covid19_ita_regioni].[data].&amp;[2020-03-07T18:00:00]"/>
            <x15:cachedUniqueName index="13" name="[dpc_covid19_ita_regioni].[data].&amp;[2020-03-08T18:00:00]"/>
            <x15:cachedUniqueName index="14" name="[dpc_covid19_ita_regioni].[data].&amp;[2020-03-09T18:00:00]"/>
            <x15:cachedUniqueName index="15" name="[dpc_covid19_ita_regioni].[data].&amp;[2020-03-10T18:00:00]"/>
          </x15:cachedUniqueNames>
        </ext>
      </extLst>
    </cacheField>
    <cacheField name="[Measures].[Somma di nuovi_attualmente_positivi 2]" caption="Somma di nuovi_attualmente_positivi 2" numFmtId="0" hierarchy="57" level="32767"/>
    <cacheField name="[dpc_covid19_ita_regioni].[denominazione_regione_adjust].[denominazione_regione_adjust]" caption="denominazione_regione_adjust" numFmtId="0" hierarchy="31" level="1">
      <sharedItems containsSemiMixedTypes="0" containsNonDate="0" containsString="0"/>
    </cacheField>
  </cacheFields>
  <cacheHierarchies count="61">
    <cacheHierarchy uniqueName="[dpc_covid19_ita_andamento_nazionale].[data]" caption="data" attribute="1" time="1" defaultMemberUniqueName="[dpc_covid19_ita_andamento_nazionale].[data].[All]" allUniqueName="[dpc_covid19_ita_andamento_nazionale].[data].[All]" dimensionUniqueName="[dpc_covid19_ita_andamento_nazionale]" displayFolder="" count="0" memberValueDatatype="7" unbalanced="0"/>
    <cacheHierarchy uniqueName="[dpc_covid19_ita_andamento_nazionale].[stato]" caption="stato" attribute="1" defaultMemberUniqueName="[dpc_covid19_ita_andamento_nazionale].[stato].[All]" allUniqueName="[dpc_covid19_ita_andamento_nazionale].[stato].[All]" dimensionUniqueName="[dpc_covid19_ita_andamento_nazionale]" displayFolder="" count="0" memberValueDatatype="130" unbalanced="0"/>
    <cacheHierarchy uniqueName="[dpc_covid19_ita_andamento_nazionale].[ricoverati_con_sintomi]" caption="ricoverati_con_sintomi" attribute="1" defaultMemberUniqueName="[dpc_covid19_ita_andamento_nazionale].[ricoverati_con_sintomi].[All]" allUniqueName="[dpc_covid19_ita_andamento_nazionale].[ricoverati_con_sintomi].[All]" dimensionUniqueName="[dpc_covid19_ita_andamento_nazionale]" displayFolder="" count="0" memberValueDatatype="20" unbalanced="0"/>
    <cacheHierarchy uniqueName="[dpc_covid19_ita_andamento_nazionale].[terapia_intensiva]" caption="terapia_intensiva" attribute="1" defaultMemberUniqueName="[dpc_covid19_ita_andamento_nazionale].[terapia_intensiva].[All]" allUniqueName="[dpc_covid19_ita_andamento_nazionale].[terapia_intensiva].[All]" dimensionUniqueName="[dpc_covid19_ita_andamento_nazionale]" displayFolder="" count="0" memberValueDatatype="20" unbalanced="0"/>
    <cacheHierarchy uniqueName="[dpc_covid19_ita_andamento_nazionale].[totale_ospedalizzati]" caption="totale_ospedalizzati" attribute="1" defaultMemberUniqueName="[dpc_covid19_ita_andamento_nazionale].[totale_ospedalizzati].[All]" allUniqueName="[dpc_covid19_ita_andamento_nazionale].[totale_ospedalizzati].[All]" dimensionUniqueName="[dpc_covid19_ita_andamento_nazionale]" displayFolder="" count="0" memberValueDatatype="20" unbalanced="0"/>
    <cacheHierarchy uniqueName="[dpc_covid19_ita_andamento_nazionale].[isolamento_domiciliare]" caption="isolamento_domiciliare" attribute="1" defaultMemberUniqueName="[dpc_covid19_ita_andamento_nazionale].[isolamento_domiciliare].[All]" allUniqueName="[dpc_covid19_ita_andamento_nazionale].[isolamento_domiciliare].[All]" dimensionUniqueName="[dpc_covid19_ita_andamento_nazionale]" displayFolder="" count="0" memberValueDatatype="20" unbalanced="0"/>
    <cacheHierarchy uniqueName="[dpc_covid19_ita_andamento_nazionale].[totale_attualmente_positivi]" caption="totale_attualmente_positivi" attribute="1" defaultMemberUniqueName="[dpc_covid19_ita_andamento_nazionale].[totale_attualmente_positivi].[All]" allUniqueName="[dpc_covid19_ita_andamento_nazionale].[totale_attualmente_positivi].[All]" dimensionUniqueName="[dpc_covid19_ita_andamento_nazionale]" displayFolder="" count="0" memberValueDatatype="20" unbalanced="0"/>
    <cacheHierarchy uniqueName="[dpc_covid19_ita_andamento_nazionale].[nuovi_attualmente_positivi]" caption="nuovi_attualmente_positivi" attribute="1" defaultMemberUniqueName="[dpc_covid19_ita_andamento_nazionale].[nuovi_attualmente_positivi].[All]" allUniqueName="[dpc_covid19_ita_andamento_nazionale].[nuovi_attualmente_positivi].[All]" dimensionUniqueName="[dpc_covid19_ita_andamento_nazionale]" displayFolder="" count="0" memberValueDatatype="20" unbalanced="0"/>
    <cacheHierarchy uniqueName="[dpc_covid19_ita_andamento_nazionale].[dimessi_guariti]" caption="dimessi_guariti" attribute="1" defaultMemberUniqueName="[dpc_covid19_ita_andamento_nazionale].[dimessi_guariti].[All]" allUniqueName="[dpc_covid19_ita_andamento_nazionale].[dimessi_guariti].[All]" dimensionUniqueName="[dpc_covid19_ita_andamento_nazionale]" displayFolder="" count="0" memberValueDatatype="20" unbalanced="0"/>
    <cacheHierarchy uniqueName="[dpc_covid19_ita_andamento_nazionale].[deceduti]" caption="deceduti" attribute="1" defaultMemberUniqueName="[dpc_covid19_ita_andamento_nazionale].[deceduti].[All]" allUniqueName="[dpc_covid19_ita_andamento_nazionale].[deceduti].[All]" dimensionUniqueName="[dpc_covid19_ita_andamento_nazionale]" displayFolder="" count="0" memberValueDatatype="20" unbalanced="0"/>
    <cacheHierarchy uniqueName="[dpc_covid19_ita_andamento_nazionale].[totale_casi]" caption="totale_casi" attribute="1" defaultMemberUniqueName="[dpc_covid19_ita_andamento_nazionale].[totale_casi].[All]" allUniqueName="[dpc_covid19_ita_andamento_nazionale].[totale_casi].[All]" dimensionUniqueName="[dpc_covid19_ita_andamento_nazionale]" displayFolder="" count="0" memberValueDatatype="20" unbalanced="0"/>
    <cacheHierarchy uniqueName="[dpc_covid19_ita_andamento_nazionale].[tamponi]" caption="tamponi" attribute="1" defaultMemberUniqueName="[dpc_covid19_ita_andamento_nazionale].[tamponi].[All]" allUniqueName="[dpc_covid19_ita_andamento_nazionale].[tamponi].[All]" dimensionUniqueName="[dpc_covid19_ita_andamento_nazionale]" displayFolder="" count="0" memberValueDatatype="20" unbalanced="0"/>
    <cacheHierarchy uniqueName="[dpc_covid19_ita_andamento_nazionale].[giorno]" caption="giorno" attribute="1" defaultMemberUniqueName="[dpc_covid19_ita_andamento_nazionale].[giorno].[All]" allUniqueName="[dpc_covid19_ita_andamento_nazionale].[giorno].[All]" dimensionUniqueName="[dpc_covid19_ita_andamento_nazionale]" displayFolder="" count="0" memberValueDatatype="20" unbalanced="0"/>
    <cacheHierarchy uniqueName="[dpc_covid19_ita_andamento_nazionale].[mese]" caption="mese" attribute="1" defaultMemberUniqueName="[dpc_covid19_ita_andamento_nazionale].[mese].[All]" allUniqueName="[dpc_covid19_ita_andamento_nazionale].[mese].[All]" dimensionUniqueName="[dpc_covid19_ita_andamento_nazionale]" displayFolder="" count="0" memberValueDatatype="20" unbalanced="0"/>
    <cacheHierarchy uniqueName="[dpc_covid19_ita_andamento_nazionale].[anno]" caption="anno" attribute="1" defaultMemberUniqueName="[dpc_covid19_ita_andamento_nazionale].[anno].[All]" allUniqueName="[dpc_covid19_ita_andamento_nazionale].[anno].[All]" dimensionUniqueName="[dpc_covid19_ita_andamento_nazionale]" displayFolder="" count="0" memberValueDatatype="20" unbalanced="0"/>
    <cacheHierarchy uniqueName="[dpc_covid19_ita_regioni].[data]" caption="data" attribute="1" time="1" defaultMemberUniqueName="[dpc_covid19_ita_regioni].[data].[All]" allUniqueName="[dpc_covid19_ita_regioni].[data].[All]" dimensionUniqueName="[dpc_covid19_ita_regioni]" displayFolder="" count="2" memberValueDatatype="7" unbalanced="0">
      <fieldsUsage count="2">
        <fieldUsage x="-1"/>
        <fieldUsage x="0"/>
      </fieldsUsage>
    </cacheHierarchy>
    <cacheHierarchy uniqueName="[dpc_covid19_ita_regioni].[stato]" caption="stato" attribute="1" defaultMemberUniqueName="[dpc_covid19_ita_regioni].[stato].[All]" allUniqueName="[dpc_covid19_ita_regioni].[stato].[All]" dimensionUniqueName="[dpc_covid19_ita_regioni]" displayFolder="" count="0" memberValueDatatype="130" unbalanced="0"/>
    <cacheHierarchy uniqueName="[dpc_covid19_ita_regioni].[codice_regione]" caption="codice_regione" attribute="1" defaultMemberUniqueName="[dpc_covid19_ita_regioni].[codice_regione].[All]" allUniqueName="[dpc_covid19_ita_regioni].[codice_regione].[All]" dimensionUniqueName="[dpc_covid19_ita_regioni]" displayFolder="" count="0" memberValueDatatype="20" unbalanced="0"/>
    <cacheHierarchy uniqueName="[dpc_covid19_ita_regioni].[denominazione_regione]" caption="denominazione_regione" attribute="1" defaultMemberUniqueName="[dpc_covid19_ita_regioni].[denominazione_regione].[All]" allUniqueName="[dpc_covid19_ita_regioni].[denominazione_regione].[All]" dimensionUniqueName="[dpc_covid19_ita_regioni]" displayFolder="" count="0" memberValueDatatype="130" unbalanced="0"/>
    <cacheHierarchy uniqueName="[dpc_covid19_ita_regioni].[lat]" caption="lat" attribute="1" defaultMemberUniqueName="[dpc_covid19_ita_regioni].[lat].[All]" allUniqueName="[dpc_covid19_ita_regioni].[lat].[All]" dimensionUniqueName="[dpc_covid19_ita_regioni]" displayFolder="" count="0" memberValueDatatype="5" unbalanced="0"/>
    <cacheHierarchy uniqueName="[dpc_covid19_ita_regioni].[long]" caption="long" attribute="1" defaultMemberUniqueName="[dpc_covid19_ita_regioni].[long].[All]" allUniqueName="[dpc_covid19_ita_regioni].[long].[All]" dimensionUniqueName="[dpc_covid19_ita_regioni]" displayFolder="" count="0" memberValueDatatype="5" unbalanced="0"/>
    <cacheHierarchy uniqueName="[dpc_covid19_ita_regioni].[ricoverati_con_sintomi]" caption="ricoverati_con_sintomi" attribute="1" defaultMemberUniqueName="[dpc_covid19_ita_regioni].[ricoverati_con_sintomi].[All]" allUniqueName="[dpc_covid19_ita_regioni].[ricoverati_con_sintomi].[All]" dimensionUniqueName="[dpc_covid19_ita_regioni]" displayFolder="" count="0" memberValueDatatype="20" unbalanced="0"/>
    <cacheHierarchy uniqueName="[dpc_covid19_ita_regioni].[terapia_intensiva]" caption="terapia_intensiva" attribute="1" defaultMemberUniqueName="[dpc_covid19_ita_regioni].[terapia_intensiva].[All]" allUniqueName="[dpc_covid19_ita_regioni].[terapia_intensiva].[All]" dimensionUniqueName="[dpc_covid19_ita_regioni]" displayFolder="" count="0" memberValueDatatype="20" unbalanced="0"/>
    <cacheHierarchy uniqueName="[dpc_covid19_ita_regioni].[totale_ospedalizzati]" caption="totale_ospedalizzati" attribute="1" defaultMemberUniqueName="[dpc_covid19_ita_regioni].[totale_ospedalizzati].[All]" allUniqueName="[dpc_covid19_ita_regioni].[totale_ospedalizzati].[All]" dimensionUniqueName="[dpc_covid19_ita_regioni]" displayFolder="" count="0" memberValueDatatype="20" unbalanced="0"/>
    <cacheHierarchy uniqueName="[dpc_covid19_ita_regioni].[isolamento_domiciliare]" caption="isolamento_domiciliare" attribute="1" defaultMemberUniqueName="[dpc_covid19_ita_regioni].[isolamento_domiciliare].[All]" allUniqueName="[dpc_covid19_ita_regioni].[isolamento_domiciliare].[All]" dimensionUniqueName="[dpc_covid19_ita_regioni]" displayFolder="" count="0" memberValueDatatype="20" unbalanced="0"/>
    <cacheHierarchy uniqueName="[dpc_covid19_ita_regioni].[totale_attualmente_positivi]" caption="totale_attualmente_positivi" attribute="1" defaultMemberUniqueName="[dpc_covid19_ita_regioni].[totale_attualmente_positivi].[All]" allUniqueName="[dpc_covid19_ita_regioni].[totale_attualmente_positivi].[All]" dimensionUniqueName="[dpc_covid19_ita_regioni]" displayFolder="" count="0" memberValueDatatype="20" unbalanced="0"/>
    <cacheHierarchy uniqueName="[dpc_covid19_ita_regioni].[nuovi_attualmente_positivi]" caption="nuovi_attualmente_positivi" attribute="1" defaultMemberUniqueName="[dpc_covid19_ita_regioni].[nuovi_attualmente_positivi].[All]" allUniqueName="[dpc_covid19_ita_regioni].[nuovi_attualmente_positivi].[All]" dimensionUniqueName="[dpc_covid19_ita_regioni]" displayFolder="" count="0" memberValueDatatype="20" unbalanced="0"/>
    <cacheHierarchy uniqueName="[dpc_covid19_ita_regioni].[dimessi_guariti]" caption="dimessi_guariti" attribute="1" defaultMemberUniqueName="[dpc_covid19_ita_regioni].[dimessi_guariti].[All]" allUniqueName="[dpc_covid19_ita_regioni].[dimessi_guariti].[All]" dimensionUniqueName="[dpc_covid19_ita_regioni]" displayFolder="" count="0" memberValueDatatype="20" unbalanced="0"/>
    <cacheHierarchy uniqueName="[dpc_covid19_ita_regioni].[deceduti]" caption="deceduti" attribute="1" defaultMemberUniqueName="[dpc_covid19_ita_regioni].[deceduti].[All]" allUniqueName="[dpc_covid19_ita_regioni].[deceduti].[All]" dimensionUniqueName="[dpc_covid19_ita_regioni]" displayFolder="" count="0" memberValueDatatype="20" unbalanced="0"/>
    <cacheHierarchy uniqueName="[dpc_covid19_ita_regioni].[totale_casi]" caption="totale_casi" attribute="1" defaultMemberUniqueName="[dpc_covid19_ita_regioni].[totale_casi].[All]" allUniqueName="[dpc_covid19_ita_regioni].[totale_casi].[All]" dimensionUniqueName="[dpc_covid19_ita_regioni]" displayFolder="" count="0" memberValueDatatype="20" unbalanced="0"/>
    <cacheHierarchy uniqueName="[dpc_covid19_ita_regioni].[tamponi]" caption="tamponi" attribute="1" defaultMemberUniqueName="[dpc_covid19_ita_regioni].[tamponi].[All]" allUniqueName="[dpc_covid19_ita_regioni].[tamponi].[All]" dimensionUniqueName="[dpc_covid19_ita_regioni]" displayFolder="" count="0" memberValueDatatype="20" unbalanced="0"/>
    <cacheHierarchy uniqueName="[dpc_covid19_ita_regioni].[denominazione_regione_adjust]" caption="denominazione_regione_adjust" attribute="1" defaultMemberUniqueName="[dpc_covid19_ita_regioni].[denominazione_regione_adjust].[All]" allUniqueName="[dpc_covid19_ita_regioni].[denominazione_regione_adjust].[All]" dimensionUniqueName="[dpc_covid19_ita_regioni]" displayFolder="" count="2" memberValueDatatype="130" unbalanced="0">
      <fieldsUsage count="2">
        <fieldUsage x="-1"/>
        <fieldUsage x="2"/>
      </fieldsUsage>
    </cacheHierarchy>
    <cacheHierarchy uniqueName="[Measures].[__XL_Count dpc_covid19_ita_andamento_nazionale]" caption="__XL_Count dpc_covid19_ita_andamento_nazionale" measure="1" displayFolder="" measureGroup="dpc_covid19_ita_andamento_nazionale" count="0" hidden="1"/>
    <cacheHierarchy uniqueName="[Measures].[__XL_Count dpc_covid19_ita_regioni]" caption="__XL_Count dpc_covid19_ita_regioni" measure="1" displayFolder="" measureGroup="dpc_covid19_ita_regioni" count="0" hidden="1"/>
    <cacheHierarchy uniqueName="[Measures].[__Nessuna misura definita]" caption="__Nessuna misura definita" measure="1" displayFolder="" count="0" hidden="1"/>
    <cacheHierarchy uniqueName="[Measures].[Somma di totale_casi]" caption="Somma di totale_cas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a di deceduti]" caption="Somma di decedu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otale_attualmente_positivi]" caption="Somma di totale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a di nuovi_attualmente_positivi]" caption="Somma di nuovi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dimessi_guariti]" caption="Somma di dimessi_guari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totale_ospedalizzati]" caption="Somma di totale_ospedalizza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ssimo di totale_attualmente_positivi]" caption="Massimo di totale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ssimo di totale_casi]" caption="Massimo di totale_cas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ssimo di dimessi_guariti]" caption="Massimo di dimessi_guari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ssimo di deceduti]" caption="Massimo di decedu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erapia_intensiva]" caption="Somma di terapia_intensiva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a di giorno]" caption="Somma di giorno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mese]" caption="Somma di mese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ma di codice_regione]" caption="Somma di codice_regione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a di totale_attualmente_positivi 2]" caption="Somma di totale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Massimo di totale_attualmente_positivi 2]" caption="Massimo di totale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ma di lat]" caption="Somma di lat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ma di totale_casi 2]" caption="Somma di totale_cas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ssimo di totale_casi 2]" caption="Massimo di totale_cas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ma di long]" caption="Somma di long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ma di deceduti 2]" caption="Somma di decedut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ma di dimessi_guariti 2]" caption="Somma di dimessi_guarit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ma di nuovi_attualmente_positivi 2]" caption="Somma di nuovi_attualmente_positivi 2" measure="1" displayFolder="" measureGroup="dpc_covid19_ita_regioni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terapia_intensiva 2]" caption="Somma di terapia_intensiva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omma di totale_ospedalizzati 2]" caption="Somma di totale_ospedalizzat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ma di isolamento_domiciliare]" caption="Somma di isolamento_domiciliare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3">
    <dimension name="dpc_covid19_ita_andamento_nazionale" uniqueName="[dpc_covid19_ita_andamento_nazionale]" caption="dpc_covid19_ita_andamento_nazionale"/>
    <dimension name="dpc_covid19_ita_regioni" uniqueName="[dpc_covid19_ita_regioni]" caption="dpc_covid19_ita_regioni"/>
    <dimension measure="1" name="Measures" uniqueName="[Measures]" caption="Measures"/>
  </dimensions>
  <measureGroups count="2">
    <measureGroup name="dpc_covid19_ita_andamento_nazionale" caption="dpc_covid19_ita_andamento_nazionale"/>
    <measureGroup name="dpc_covid19_ita_regioni" caption="dpc_covid19_ita_regioni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ssandro Maramotti" refreshedDate="43901.664378472226" backgroundQuery="1" createdVersion="6" refreshedVersion="6" minRefreshableVersion="3" recordCount="0" supportSubquery="1" supportAdvancedDrill="1" xr:uid="{A5236CA6-6E5D-4C6D-B13D-72813898DFA2}">
  <cacheSource type="external" connectionId="3"/>
  <cacheFields count="5">
    <cacheField name="[dpc_covid19_ita_regioni].[data].[data]" caption="data" numFmtId="0" hierarchy="15" level="1">
      <sharedItems containsSemiMixedTypes="0" containsNonDate="0" containsDate="1" containsString="0" minDate="2020-02-24T18:00:00" maxDate="2020-03-10T18:00:00" count="16">
        <d v="2020-02-24T18:00:00"/>
        <d v="2020-02-25T18:00:00"/>
        <d v="2020-02-26T18:00:00"/>
        <d v="2020-02-27T18:00:00"/>
        <d v="2020-02-28T18:00:00"/>
        <d v="2020-02-29T17:00:00"/>
        <d v="2020-03-01T17:00:00"/>
        <d v="2020-03-02T18:00:00"/>
        <d v="2020-03-03T18:00:00"/>
        <d v="2020-03-04T17:00:00"/>
        <d v="2020-03-05T17:00:00"/>
        <d v="2020-03-06T17:00:00"/>
        <d v="2020-03-07T18:00:00"/>
        <d v="2020-03-08T18:00:00"/>
        <d v="2020-03-09T18:00:00"/>
        <d v="2020-03-10T18:00:00"/>
      </sharedItems>
      <extLst>
        <ext xmlns:x15="http://schemas.microsoft.com/office/spreadsheetml/2010/11/main" uri="{4F2E5C28-24EA-4eb8-9CBF-B6C8F9C3D259}">
          <x15:cachedUniqueNames>
            <x15:cachedUniqueName index="0" name="[dpc_covid19_ita_regioni].[data].&amp;[2020-02-24T18:00:00]"/>
            <x15:cachedUniqueName index="1" name="[dpc_covid19_ita_regioni].[data].&amp;[2020-02-25T18:00:00]"/>
            <x15:cachedUniqueName index="2" name="[dpc_covid19_ita_regioni].[data].&amp;[2020-02-26T18:00:00]"/>
            <x15:cachedUniqueName index="3" name="[dpc_covid19_ita_regioni].[data].&amp;[2020-02-27T18:00:00]"/>
            <x15:cachedUniqueName index="4" name="[dpc_covid19_ita_regioni].[data].&amp;[2020-02-28T18:00:00]"/>
            <x15:cachedUniqueName index="5" name="[dpc_covid19_ita_regioni].[data].&amp;[2020-02-29T17:00:00]"/>
            <x15:cachedUniqueName index="6" name="[dpc_covid19_ita_regioni].[data].&amp;[2020-03-01T17:00:00]"/>
            <x15:cachedUniqueName index="7" name="[dpc_covid19_ita_regioni].[data].&amp;[2020-03-02T18:00:00]"/>
            <x15:cachedUniqueName index="8" name="[dpc_covid19_ita_regioni].[data].&amp;[2020-03-03T18:00:00]"/>
            <x15:cachedUniqueName index="9" name="[dpc_covid19_ita_regioni].[data].&amp;[2020-03-04T17:00:00]"/>
            <x15:cachedUniqueName index="10" name="[dpc_covid19_ita_regioni].[data].&amp;[2020-03-05T17:00:00]"/>
            <x15:cachedUniqueName index="11" name="[dpc_covid19_ita_regioni].[data].&amp;[2020-03-06T17:00:00]"/>
            <x15:cachedUniqueName index="12" name="[dpc_covid19_ita_regioni].[data].&amp;[2020-03-07T18:00:00]"/>
            <x15:cachedUniqueName index="13" name="[dpc_covid19_ita_regioni].[data].&amp;[2020-03-08T18:00:00]"/>
            <x15:cachedUniqueName index="14" name="[dpc_covid19_ita_regioni].[data].&amp;[2020-03-09T18:00:00]"/>
            <x15:cachedUniqueName index="15" name="[dpc_covid19_ita_regioni].[data].&amp;[2020-03-10T18:00:00]"/>
          </x15:cachedUniqueNames>
        </ext>
      </extLst>
    </cacheField>
    <cacheField name="[Measures].[Somma di terapia_intensiva 2]" caption="Somma di terapia_intensiva 2" numFmtId="0" hierarchy="58" level="32767"/>
    <cacheField name="[Measures].[Somma di totale_ospedalizzati 2]" caption="Somma di totale_ospedalizzati 2" numFmtId="0" hierarchy="59" level="32767"/>
    <cacheField name="[Measures].[Somma di isolamento_domiciliare]" caption="Somma di isolamento_domiciliare" numFmtId="0" hierarchy="60" level="32767"/>
    <cacheField name="[dpc_covid19_ita_regioni].[denominazione_regione_adjust].[denominazione_regione_adjust]" caption="denominazione_regione_adjust" numFmtId="0" hierarchy="31" level="1">
      <sharedItems containsSemiMixedTypes="0" containsNonDate="0" containsString="0"/>
    </cacheField>
  </cacheFields>
  <cacheHierarchies count="61">
    <cacheHierarchy uniqueName="[dpc_covid19_ita_andamento_nazionale].[data]" caption="data" attribute="1" time="1" defaultMemberUniqueName="[dpc_covid19_ita_andamento_nazionale].[data].[All]" allUniqueName="[dpc_covid19_ita_andamento_nazionale].[data].[All]" dimensionUniqueName="[dpc_covid19_ita_andamento_nazionale]" displayFolder="" count="0" memberValueDatatype="7" unbalanced="0"/>
    <cacheHierarchy uniqueName="[dpc_covid19_ita_andamento_nazionale].[stato]" caption="stato" attribute="1" defaultMemberUniqueName="[dpc_covid19_ita_andamento_nazionale].[stato].[All]" allUniqueName="[dpc_covid19_ita_andamento_nazionale].[stato].[All]" dimensionUniqueName="[dpc_covid19_ita_andamento_nazionale]" displayFolder="" count="0" memberValueDatatype="130" unbalanced="0"/>
    <cacheHierarchy uniqueName="[dpc_covid19_ita_andamento_nazionale].[ricoverati_con_sintomi]" caption="ricoverati_con_sintomi" attribute="1" defaultMemberUniqueName="[dpc_covid19_ita_andamento_nazionale].[ricoverati_con_sintomi].[All]" allUniqueName="[dpc_covid19_ita_andamento_nazionale].[ricoverati_con_sintomi].[All]" dimensionUniqueName="[dpc_covid19_ita_andamento_nazionale]" displayFolder="" count="0" memberValueDatatype="20" unbalanced="0"/>
    <cacheHierarchy uniqueName="[dpc_covid19_ita_andamento_nazionale].[terapia_intensiva]" caption="terapia_intensiva" attribute="1" defaultMemberUniqueName="[dpc_covid19_ita_andamento_nazionale].[terapia_intensiva].[All]" allUniqueName="[dpc_covid19_ita_andamento_nazionale].[terapia_intensiva].[All]" dimensionUniqueName="[dpc_covid19_ita_andamento_nazionale]" displayFolder="" count="0" memberValueDatatype="20" unbalanced="0"/>
    <cacheHierarchy uniqueName="[dpc_covid19_ita_andamento_nazionale].[totale_ospedalizzati]" caption="totale_ospedalizzati" attribute="1" defaultMemberUniqueName="[dpc_covid19_ita_andamento_nazionale].[totale_ospedalizzati].[All]" allUniqueName="[dpc_covid19_ita_andamento_nazionale].[totale_ospedalizzati].[All]" dimensionUniqueName="[dpc_covid19_ita_andamento_nazionale]" displayFolder="" count="0" memberValueDatatype="20" unbalanced="0"/>
    <cacheHierarchy uniqueName="[dpc_covid19_ita_andamento_nazionale].[isolamento_domiciliare]" caption="isolamento_domiciliare" attribute="1" defaultMemberUniqueName="[dpc_covid19_ita_andamento_nazionale].[isolamento_domiciliare].[All]" allUniqueName="[dpc_covid19_ita_andamento_nazionale].[isolamento_domiciliare].[All]" dimensionUniqueName="[dpc_covid19_ita_andamento_nazionale]" displayFolder="" count="0" memberValueDatatype="20" unbalanced="0"/>
    <cacheHierarchy uniqueName="[dpc_covid19_ita_andamento_nazionale].[totale_attualmente_positivi]" caption="totale_attualmente_positivi" attribute="1" defaultMemberUniqueName="[dpc_covid19_ita_andamento_nazionale].[totale_attualmente_positivi].[All]" allUniqueName="[dpc_covid19_ita_andamento_nazionale].[totale_attualmente_positivi].[All]" dimensionUniqueName="[dpc_covid19_ita_andamento_nazionale]" displayFolder="" count="0" memberValueDatatype="20" unbalanced="0"/>
    <cacheHierarchy uniqueName="[dpc_covid19_ita_andamento_nazionale].[nuovi_attualmente_positivi]" caption="nuovi_attualmente_positivi" attribute="1" defaultMemberUniqueName="[dpc_covid19_ita_andamento_nazionale].[nuovi_attualmente_positivi].[All]" allUniqueName="[dpc_covid19_ita_andamento_nazionale].[nuovi_attualmente_positivi].[All]" dimensionUniqueName="[dpc_covid19_ita_andamento_nazionale]" displayFolder="" count="0" memberValueDatatype="20" unbalanced="0"/>
    <cacheHierarchy uniqueName="[dpc_covid19_ita_andamento_nazionale].[dimessi_guariti]" caption="dimessi_guariti" attribute="1" defaultMemberUniqueName="[dpc_covid19_ita_andamento_nazionale].[dimessi_guariti].[All]" allUniqueName="[dpc_covid19_ita_andamento_nazionale].[dimessi_guariti].[All]" dimensionUniqueName="[dpc_covid19_ita_andamento_nazionale]" displayFolder="" count="0" memberValueDatatype="20" unbalanced="0"/>
    <cacheHierarchy uniqueName="[dpc_covid19_ita_andamento_nazionale].[deceduti]" caption="deceduti" attribute="1" defaultMemberUniqueName="[dpc_covid19_ita_andamento_nazionale].[deceduti].[All]" allUniqueName="[dpc_covid19_ita_andamento_nazionale].[deceduti].[All]" dimensionUniqueName="[dpc_covid19_ita_andamento_nazionale]" displayFolder="" count="0" memberValueDatatype="20" unbalanced="0"/>
    <cacheHierarchy uniqueName="[dpc_covid19_ita_andamento_nazionale].[totale_casi]" caption="totale_casi" attribute="1" defaultMemberUniqueName="[dpc_covid19_ita_andamento_nazionale].[totale_casi].[All]" allUniqueName="[dpc_covid19_ita_andamento_nazionale].[totale_casi].[All]" dimensionUniqueName="[dpc_covid19_ita_andamento_nazionale]" displayFolder="" count="0" memberValueDatatype="20" unbalanced="0"/>
    <cacheHierarchy uniqueName="[dpc_covid19_ita_andamento_nazionale].[tamponi]" caption="tamponi" attribute="1" defaultMemberUniqueName="[dpc_covid19_ita_andamento_nazionale].[tamponi].[All]" allUniqueName="[dpc_covid19_ita_andamento_nazionale].[tamponi].[All]" dimensionUniqueName="[dpc_covid19_ita_andamento_nazionale]" displayFolder="" count="0" memberValueDatatype="20" unbalanced="0"/>
    <cacheHierarchy uniqueName="[dpc_covid19_ita_andamento_nazionale].[giorno]" caption="giorno" attribute="1" defaultMemberUniqueName="[dpc_covid19_ita_andamento_nazionale].[giorno].[All]" allUniqueName="[dpc_covid19_ita_andamento_nazionale].[giorno].[All]" dimensionUniqueName="[dpc_covid19_ita_andamento_nazionale]" displayFolder="" count="0" memberValueDatatype="20" unbalanced="0"/>
    <cacheHierarchy uniqueName="[dpc_covid19_ita_andamento_nazionale].[mese]" caption="mese" attribute="1" defaultMemberUniqueName="[dpc_covid19_ita_andamento_nazionale].[mese].[All]" allUniqueName="[dpc_covid19_ita_andamento_nazionale].[mese].[All]" dimensionUniqueName="[dpc_covid19_ita_andamento_nazionale]" displayFolder="" count="0" memberValueDatatype="20" unbalanced="0"/>
    <cacheHierarchy uniqueName="[dpc_covid19_ita_andamento_nazionale].[anno]" caption="anno" attribute="1" defaultMemberUniqueName="[dpc_covid19_ita_andamento_nazionale].[anno].[All]" allUniqueName="[dpc_covid19_ita_andamento_nazionale].[anno].[All]" dimensionUniqueName="[dpc_covid19_ita_andamento_nazionale]" displayFolder="" count="0" memberValueDatatype="20" unbalanced="0"/>
    <cacheHierarchy uniqueName="[dpc_covid19_ita_regioni].[data]" caption="data" attribute="1" time="1" defaultMemberUniqueName="[dpc_covid19_ita_regioni].[data].[All]" allUniqueName="[dpc_covid19_ita_regioni].[data].[All]" dimensionUniqueName="[dpc_covid19_ita_regioni]" displayFolder="" count="2" memberValueDatatype="7" unbalanced="0">
      <fieldsUsage count="2">
        <fieldUsage x="-1"/>
        <fieldUsage x="0"/>
      </fieldsUsage>
    </cacheHierarchy>
    <cacheHierarchy uniqueName="[dpc_covid19_ita_regioni].[stato]" caption="stato" attribute="1" defaultMemberUniqueName="[dpc_covid19_ita_regioni].[stato].[All]" allUniqueName="[dpc_covid19_ita_regioni].[stato].[All]" dimensionUniqueName="[dpc_covid19_ita_regioni]" displayFolder="" count="0" memberValueDatatype="130" unbalanced="0"/>
    <cacheHierarchy uniqueName="[dpc_covid19_ita_regioni].[codice_regione]" caption="codice_regione" attribute="1" defaultMemberUniqueName="[dpc_covid19_ita_regioni].[codice_regione].[All]" allUniqueName="[dpc_covid19_ita_regioni].[codice_regione].[All]" dimensionUniqueName="[dpc_covid19_ita_regioni]" displayFolder="" count="0" memberValueDatatype="20" unbalanced="0"/>
    <cacheHierarchy uniqueName="[dpc_covid19_ita_regioni].[denominazione_regione]" caption="denominazione_regione" attribute="1" defaultMemberUniqueName="[dpc_covid19_ita_regioni].[denominazione_regione].[All]" allUniqueName="[dpc_covid19_ita_regioni].[denominazione_regione].[All]" dimensionUniqueName="[dpc_covid19_ita_regioni]" displayFolder="" count="0" memberValueDatatype="130" unbalanced="0"/>
    <cacheHierarchy uniqueName="[dpc_covid19_ita_regioni].[lat]" caption="lat" attribute="1" defaultMemberUniqueName="[dpc_covid19_ita_regioni].[lat].[All]" allUniqueName="[dpc_covid19_ita_regioni].[lat].[All]" dimensionUniqueName="[dpc_covid19_ita_regioni]" displayFolder="" count="0" memberValueDatatype="5" unbalanced="0"/>
    <cacheHierarchy uniqueName="[dpc_covid19_ita_regioni].[long]" caption="long" attribute="1" defaultMemberUniqueName="[dpc_covid19_ita_regioni].[long].[All]" allUniqueName="[dpc_covid19_ita_regioni].[long].[All]" dimensionUniqueName="[dpc_covid19_ita_regioni]" displayFolder="" count="0" memberValueDatatype="5" unbalanced="0"/>
    <cacheHierarchy uniqueName="[dpc_covid19_ita_regioni].[ricoverati_con_sintomi]" caption="ricoverati_con_sintomi" attribute="1" defaultMemberUniqueName="[dpc_covid19_ita_regioni].[ricoverati_con_sintomi].[All]" allUniqueName="[dpc_covid19_ita_regioni].[ricoverati_con_sintomi].[All]" dimensionUniqueName="[dpc_covid19_ita_regioni]" displayFolder="" count="0" memberValueDatatype="20" unbalanced="0"/>
    <cacheHierarchy uniqueName="[dpc_covid19_ita_regioni].[terapia_intensiva]" caption="terapia_intensiva" attribute="1" defaultMemberUniqueName="[dpc_covid19_ita_regioni].[terapia_intensiva].[All]" allUniqueName="[dpc_covid19_ita_regioni].[terapia_intensiva].[All]" dimensionUniqueName="[dpc_covid19_ita_regioni]" displayFolder="" count="0" memberValueDatatype="20" unbalanced="0"/>
    <cacheHierarchy uniqueName="[dpc_covid19_ita_regioni].[totale_ospedalizzati]" caption="totale_ospedalizzati" attribute="1" defaultMemberUniqueName="[dpc_covid19_ita_regioni].[totale_ospedalizzati].[All]" allUniqueName="[dpc_covid19_ita_regioni].[totale_ospedalizzati].[All]" dimensionUniqueName="[dpc_covid19_ita_regioni]" displayFolder="" count="0" memberValueDatatype="20" unbalanced="0"/>
    <cacheHierarchy uniqueName="[dpc_covid19_ita_regioni].[isolamento_domiciliare]" caption="isolamento_domiciliare" attribute="1" defaultMemberUniqueName="[dpc_covid19_ita_regioni].[isolamento_domiciliare].[All]" allUniqueName="[dpc_covid19_ita_regioni].[isolamento_domiciliare].[All]" dimensionUniqueName="[dpc_covid19_ita_regioni]" displayFolder="" count="0" memberValueDatatype="20" unbalanced="0"/>
    <cacheHierarchy uniqueName="[dpc_covid19_ita_regioni].[totale_attualmente_positivi]" caption="totale_attualmente_positivi" attribute="1" defaultMemberUniqueName="[dpc_covid19_ita_regioni].[totale_attualmente_positivi].[All]" allUniqueName="[dpc_covid19_ita_regioni].[totale_attualmente_positivi].[All]" dimensionUniqueName="[dpc_covid19_ita_regioni]" displayFolder="" count="0" memberValueDatatype="20" unbalanced="0"/>
    <cacheHierarchy uniqueName="[dpc_covid19_ita_regioni].[nuovi_attualmente_positivi]" caption="nuovi_attualmente_positivi" attribute="1" defaultMemberUniqueName="[dpc_covid19_ita_regioni].[nuovi_attualmente_positivi].[All]" allUniqueName="[dpc_covid19_ita_regioni].[nuovi_attualmente_positivi].[All]" dimensionUniqueName="[dpc_covid19_ita_regioni]" displayFolder="" count="0" memberValueDatatype="20" unbalanced="0"/>
    <cacheHierarchy uniqueName="[dpc_covid19_ita_regioni].[dimessi_guariti]" caption="dimessi_guariti" attribute="1" defaultMemberUniqueName="[dpc_covid19_ita_regioni].[dimessi_guariti].[All]" allUniqueName="[dpc_covid19_ita_regioni].[dimessi_guariti].[All]" dimensionUniqueName="[dpc_covid19_ita_regioni]" displayFolder="" count="0" memberValueDatatype="20" unbalanced="0"/>
    <cacheHierarchy uniqueName="[dpc_covid19_ita_regioni].[deceduti]" caption="deceduti" attribute="1" defaultMemberUniqueName="[dpc_covid19_ita_regioni].[deceduti].[All]" allUniqueName="[dpc_covid19_ita_regioni].[deceduti].[All]" dimensionUniqueName="[dpc_covid19_ita_regioni]" displayFolder="" count="0" memberValueDatatype="20" unbalanced="0"/>
    <cacheHierarchy uniqueName="[dpc_covid19_ita_regioni].[totale_casi]" caption="totale_casi" attribute="1" defaultMemberUniqueName="[dpc_covid19_ita_regioni].[totale_casi].[All]" allUniqueName="[dpc_covid19_ita_regioni].[totale_casi].[All]" dimensionUniqueName="[dpc_covid19_ita_regioni]" displayFolder="" count="0" memberValueDatatype="20" unbalanced="0"/>
    <cacheHierarchy uniqueName="[dpc_covid19_ita_regioni].[tamponi]" caption="tamponi" attribute="1" defaultMemberUniqueName="[dpc_covid19_ita_regioni].[tamponi].[All]" allUniqueName="[dpc_covid19_ita_regioni].[tamponi].[All]" dimensionUniqueName="[dpc_covid19_ita_regioni]" displayFolder="" count="0" memberValueDatatype="20" unbalanced="0"/>
    <cacheHierarchy uniqueName="[dpc_covid19_ita_regioni].[denominazione_regione_adjust]" caption="denominazione_regione_adjust" attribute="1" defaultMemberUniqueName="[dpc_covid19_ita_regioni].[denominazione_regione_adjust].[All]" allUniqueName="[dpc_covid19_ita_regioni].[denominazione_regione_adjust].[All]" dimensionUniqueName="[dpc_covid19_ita_regioni]" displayFolder="" count="2" memberValueDatatype="130" unbalanced="0">
      <fieldsUsage count="2">
        <fieldUsage x="-1"/>
        <fieldUsage x="4"/>
      </fieldsUsage>
    </cacheHierarchy>
    <cacheHierarchy uniqueName="[Measures].[__XL_Count dpc_covid19_ita_andamento_nazionale]" caption="__XL_Count dpc_covid19_ita_andamento_nazionale" measure="1" displayFolder="" measureGroup="dpc_covid19_ita_andamento_nazionale" count="0" hidden="1"/>
    <cacheHierarchy uniqueName="[Measures].[__XL_Count dpc_covid19_ita_regioni]" caption="__XL_Count dpc_covid19_ita_regioni" measure="1" displayFolder="" measureGroup="dpc_covid19_ita_regioni" count="0" hidden="1"/>
    <cacheHierarchy uniqueName="[Measures].[__Nessuna misura definita]" caption="__Nessuna misura definita" measure="1" displayFolder="" count="0" hidden="1"/>
    <cacheHierarchy uniqueName="[Measures].[Somma di totale_casi]" caption="Somma di totale_cas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a di deceduti]" caption="Somma di decedu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otale_attualmente_positivi]" caption="Somma di totale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a di nuovi_attualmente_positivi]" caption="Somma di nuovi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dimessi_guariti]" caption="Somma di dimessi_guari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totale_ospedalizzati]" caption="Somma di totale_ospedalizza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ssimo di totale_attualmente_positivi]" caption="Massimo di totale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ssimo di totale_casi]" caption="Massimo di totale_cas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ssimo di dimessi_guariti]" caption="Massimo di dimessi_guari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ssimo di deceduti]" caption="Massimo di decedu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erapia_intensiva]" caption="Somma di terapia_intensiva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a di giorno]" caption="Somma di giorno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mese]" caption="Somma di mese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ma di codice_regione]" caption="Somma di codice_regione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a di totale_attualmente_positivi 2]" caption="Somma di totale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Massimo di totale_attualmente_positivi 2]" caption="Massimo di totale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ma di lat]" caption="Somma di lat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ma di totale_casi 2]" caption="Somma di totale_cas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ssimo di totale_casi 2]" caption="Massimo di totale_cas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ma di long]" caption="Somma di long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ma di deceduti 2]" caption="Somma di decedut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ma di dimessi_guariti 2]" caption="Somma di dimessi_guarit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ma di nuovi_attualmente_positivi 2]" caption="Somma di nuovi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terapia_intensiva 2]" caption="Somma di terapia_intensiva 2" measure="1" displayFolder="" measureGroup="dpc_covid19_ita_regioni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omma di totale_ospedalizzati 2]" caption="Somma di totale_ospedalizzati 2" measure="1" displayFolder="" measureGroup="dpc_covid19_ita_regioni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ma di isolamento_domiciliare]" caption="Somma di isolamento_domiciliare" measure="1" displayFolder="" measureGroup="dpc_covid19_ita_regioni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3">
    <dimension name="dpc_covid19_ita_andamento_nazionale" uniqueName="[dpc_covid19_ita_andamento_nazionale]" caption="dpc_covid19_ita_andamento_nazionale"/>
    <dimension name="dpc_covid19_ita_regioni" uniqueName="[dpc_covid19_ita_regioni]" caption="dpc_covid19_ita_regioni"/>
    <dimension measure="1" name="Measures" uniqueName="[Measures]" caption="Measures"/>
  </dimensions>
  <measureGroups count="2">
    <measureGroup name="dpc_covid19_ita_andamento_nazionale" caption="dpc_covid19_ita_andamento_nazionale"/>
    <measureGroup name="dpc_covid19_ita_regioni" caption="dpc_covid19_ita_regioni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ssandro Maramotti" refreshedDate="43901.597213773151" backgroundQuery="1" createdVersion="3" refreshedVersion="6" minRefreshableVersion="3" recordCount="0" supportSubquery="1" supportAdvancedDrill="1" xr:uid="{330C949E-BFD4-4DD1-9E81-A80C5DBD4AD5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7">
    <cacheHierarchy uniqueName="[dpc_covid19_ita_andamento_nazionale].[data]" caption="data" attribute="1" time="1" defaultMemberUniqueName="[dpc_covid19_ita_andamento_nazionale].[data].[All]" allUniqueName="[dpc_covid19_ita_andamento_nazionale].[data].[All]" dimensionUniqueName="[dpc_covid19_ita_andamento_nazionale]" displayFolder="" count="0" memberValueDatatype="7" unbalanced="0"/>
    <cacheHierarchy uniqueName="[dpc_covid19_ita_andamento_nazionale].[stato]" caption="stato" attribute="1" defaultMemberUniqueName="[dpc_covid19_ita_andamento_nazionale].[stato].[All]" allUniqueName="[dpc_covid19_ita_andamento_nazionale].[stato].[All]" dimensionUniqueName="[dpc_covid19_ita_andamento_nazionale]" displayFolder="" count="0" memberValueDatatype="130" unbalanced="0"/>
    <cacheHierarchy uniqueName="[dpc_covid19_ita_andamento_nazionale].[ricoverati_con_sintomi]" caption="ricoverati_con_sintomi" attribute="1" defaultMemberUniqueName="[dpc_covid19_ita_andamento_nazionale].[ricoverati_con_sintomi].[All]" allUniqueName="[dpc_covid19_ita_andamento_nazionale].[ricoverati_con_sintomi].[All]" dimensionUniqueName="[dpc_covid19_ita_andamento_nazionale]" displayFolder="" count="0" memberValueDatatype="20" unbalanced="0"/>
    <cacheHierarchy uniqueName="[dpc_covid19_ita_andamento_nazionale].[terapia_intensiva]" caption="terapia_intensiva" attribute="1" defaultMemberUniqueName="[dpc_covid19_ita_andamento_nazionale].[terapia_intensiva].[All]" allUniqueName="[dpc_covid19_ita_andamento_nazionale].[terapia_intensiva].[All]" dimensionUniqueName="[dpc_covid19_ita_andamento_nazionale]" displayFolder="" count="0" memberValueDatatype="20" unbalanced="0"/>
    <cacheHierarchy uniqueName="[dpc_covid19_ita_andamento_nazionale].[totale_ospedalizzati]" caption="totale_ospedalizzati" attribute="1" defaultMemberUniqueName="[dpc_covid19_ita_andamento_nazionale].[totale_ospedalizzati].[All]" allUniqueName="[dpc_covid19_ita_andamento_nazionale].[totale_ospedalizzati].[All]" dimensionUniqueName="[dpc_covid19_ita_andamento_nazionale]" displayFolder="" count="0" memberValueDatatype="20" unbalanced="0"/>
    <cacheHierarchy uniqueName="[dpc_covid19_ita_andamento_nazionale].[isolamento_domiciliare]" caption="isolamento_domiciliare" attribute="1" defaultMemberUniqueName="[dpc_covid19_ita_andamento_nazionale].[isolamento_domiciliare].[All]" allUniqueName="[dpc_covid19_ita_andamento_nazionale].[isolamento_domiciliare].[All]" dimensionUniqueName="[dpc_covid19_ita_andamento_nazionale]" displayFolder="" count="0" memberValueDatatype="20" unbalanced="0"/>
    <cacheHierarchy uniqueName="[dpc_covid19_ita_andamento_nazionale].[totale_attualmente_positivi]" caption="totale_attualmente_positivi" attribute="1" defaultMemberUniqueName="[dpc_covid19_ita_andamento_nazionale].[totale_attualmente_positivi].[All]" allUniqueName="[dpc_covid19_ita_andamento_nazionale].[totale_attualmente_positivi].[All]" dimensionUniqueName="[dpc_covid19_ita_andamento_nazionale]" displayFolder="" count="0" memberValueDatatype="20" unbalanced="0"/>
    <cacheHierarchy uniqueName="[dpc_covid19_ita_andamento_nazionale].[nuovi_attualmente_positivi]" caption="nuovi_attualmente_positivi" attribute="1" defaultMemberUniqueName="[dpc_covid19_ita_andamento_nazionale].[nuovi_attualmente_positivi].[All]" allUniqueName="[dpc_covid19_ita_andamento_nazionale].[nuovi_attualmente_positivi].[All]" dimensionUniqueName="[dpc_covid19_ita_andamento_nazionale]" displayFolder="" count="0" memberValueDatatype="20" unbalanced="0"/>
    <cacheHierarchy uniqueName="[dpc_covid19_ita_andamento_nazionale].[dimessi_guariti]" caption="dimessi_guariti" attribute="1" defaultMemberUniqueName="[dpc_covid19_ita_andamento_nazionale].[dimessi_guariti].[All]" allUniqueName="[dpc_covid19_ita_andamento_nazionale].[dimessi_guariti].[All]" dimensionUniqueName="[dpc_covid19_ita_andamento_nazionale]" displayFolder="" count="0" memberValueDatatype="20" unbalanced="0"/>
    <cacheHierarchy uniqueName="[dpc_covid19_ita_andamento_nazionale].[deceduti]" caption="deceduti" attribute="1" defaultMemberUniqueName="[dpc_covid19_ita_andamento_nazionale].[deceduti].[All]" allUniqueName="[dpc_covid19_ita_andamento_nazionale].[deceduti].[All]" dimensionUniqueName="[dpc_covid19_ita_andamento_nazionale]" displayFolder="" count="0" memberValueDatatype="20" unbalanced="0"/>
    <cacheHierarchy uniqueName="[dpc_covid19_ita_andamento_nazionale].[totale_casi]" caption="totale_casi" attribute="1" defaultMemberUniqueName="[dpc_covid19_ita_andamento_nazionale].[totale_casi].[All]" allUniqueName="[dpc_covid19_ita_andamento_nazionale].[totale_casi].[All]" dimensionUniqueName="[dpc_covid19_ita_andamento_nazionale]" displayFolder="" count="0" memberValueDatatype="20" unbalanced="0"/>
    <cacheHierarchy uniqueName="[dpc_covid19_ita_andamento_nazionale].[tamponi]" caption="tamponi" attribute="1" defaultMemberUniqueName="[dpc_covid19_ita_andamento_nazionale].[tamponi].[All]" allUniqueName="[dpc_covid19_ita_andamento_nazionale].[tamponi].[All]" dimensionUniqueName="[dpc_covid19_ita_andamento_nazionale]" displayFolder="" count="0" memberValueDatatype="20" unbalanced="0"/>
    <cacheHierarchy uniqueName="[dpc_covid19_ita_andamento_nazionale].[giorno]" caption="giorno" attribute="1" defaultMemberUniqueName="[dpc_covid19_ita_andamento_nazionale].[giorno].[All]" allUniqueName="[dpc_covid19_ita_andamento_nazionale].[giorno].[All]" dimensionUniqueName="[dpc_covid19_ita_andamento_nazionale]" displayFolder="" count="0" memberValueDatatype="20" unbalanced="0"/>
    <cacheHierarchy uniqueName="[dpc_covid19_ita_andamento_nazionale].[mese]" caption="mese" attribute="1" defaultMemberUniqueName="[dpc_covid19_ita_andamento_nazionale].[mese].[All]" allUniqueName="[dpc_covid19_ita_andamento_nazionale].[mese].[All]" dimensionUniqueName="[dpc_covid19_ita_andamento_nazionale]" displayFolder="" count="0" memberValueDatatype="20" unbalanced="0"/>
    <cacheHierarchy uniqueName="[dpc_covid19_ita_andamento_nazionale].[anno]" caption="anno" attribute="1" defaultMemberUniqueName="[dpc_covid19_ita_andamento_nazionale].[anno].[All]" allUniqueName="[dpc_covid19_ita_andamento_nazionale].[anno].[All]" dimensionUniqueName="[dpc_covid19_ita_andamento_nazionale]" displayFolder="" count="0" memberValueDatatype="20" unbalanced="0"/>
    <cacheHierarchy uniqueName="[dpc_covid19_ita_regioni].[data]" caption="data" attribute="1" time="1" defaultMemberUniqueName="[dpc_covid19_ita_regioni].[data].[All]" allUniqueName="[dpc_covid19_ita_regioni].[data].[All]" dimensionUniqueName="[dpc_covid19_ita_regioni]" displayFolder="" count="0" memberValueDatatype="7" unbalanced="0"/>
    <cacheHierarchy uniqueName="[dpc_covid19_ita_regioni].[stato]" caption="stato" attribute="1" defaultMemberUniqueName="[dpc_covid19_ita_regioni].[stato].[All]" allUniqueName="[dpc_covid19_ita_regioni].[stato].[All]" dimensionUniqueName="[dpc_covid19_ita_regioni]" displayFolder="" count="0" memberValueDatatype="130" unbalanced="0"/>
    <cacheHierarchy uniqueName="[dpc_covid19_ita_regioni].[codice_regione]" caption="codice_regione" attribute="1" defaultMemberUniqueName="[dpc_covid19_ita_regioni].[codice_regione].[All]" allUniqueName="[dpc_covid19_ita_regioni].[codice_regione].[All]" dimensionUniqueName="[dpc_covid19_ita_regioni]" displayFolder="" count="0" memberValueDatatype="20" unbalanced="0"/>
    <cacheHierarchy uniqueName="[dpc_covid19_ita_regioni].[denominazione_regione]" caption="denominazione_regione" attribute="1" defaultMemberUniqueName="[dpc_covid19_ita_regioni].[denominazione_regione].[All]" allUniqueName="[dpc_covid19_ita_regioni].[denominazione_regione].[All]" dimensionUniqueName="[dpc_covid19_ita_regioni]" displayFolder="" count="0" memberValueDatatype="130" unbalanced="0"/>
    <cacheHierarchy uniqueName="[dpc_covid19_ita_regioni].[lat]" caption="lat" attribute="1" defaultMemberUniqueName="[dpc_covid19_ita_regioni].[lat].[All]" allUniqueName="[dpc_covid19_ita_regioni].[lat].[All]" dimensionUniqueName="[dpc_covid19_ita_regioni]" displayFolder="" count="0" memberValueDatatype="5" unbalanced="0"/>
    <cacheHierarchy uniqueName="[dpc_covid19_ita_regioni].[long]" caption="long" attribute="1" defaultMemberUniqueName="[dpc_covid19_ita_regioni].[long].[All]" allUniqueName="[dpc_covid19_ita_regioni].[long].[All]" dimensionUniqueName="[dpc_covid19_ita_regioni]" displayFolder="" count="0" memberValueDatatype="5" unbalanced="0"/>
    <cacheHierarchy uniqueName="[dpc_covid19_ita_regioni].[ricoverati_con_sintomi]" caption="ricoverati_con_sintomi" attribute="1" defaultMemberUniqueName="[dpc_covid19_ita_regioni].[ricoverati_con_sintomi].[All]" allUniqueName="[dpc_covid19_ita_regioni].[ricoverati_con_sintomi].[All]" dimensionUniqueName="[dpc_covid19_ita_regioni]" displayFolder="" count="0" memberValueDatatype="20" unbalanced="0"/>
    <cacheHierarchy uniqueName="[dpc_covid19_ita_regioni].[terapia_intensiva]" caption="terapia_intensiva" attribute="1" defaultMemberUniqueName="[dpc_covid19_ita_regioni].[terapia_intensiva].[All]" allUniqueName="[dpc_covid19_ita_regioni].[terapia_intensiva].[All]" dimensionUniqueName="[dpc_covid19_ita_regioni]" displayFolder="" count="0" memberValueDatatype="20" unbalanced="0"/>
    <cacheHierarchy uniqueName="[dpc_covid19_ita_regioni].[totale_ospedalizzati]" caption="totale_ospedalizzati" attribute="1" defaultMemberUniqueName="[dpc_covid19_ita_regioni].[totale_ospedalizzati].[All]" allUniqueName="[dpc_covid19_ita_regioni].[totale_ospedalizzati].[All]" dimensionUniqueName="[dpc_covid19_ita_regioni]" displayFolder="" count="0" memberValueDatatype="20" unbalanced="0"/>
    <cacheHierarchy uniqueName="[dpc_covid19_ita_regioni].[isolamento_domiciliare]" caption="isolamento_domiciliare" attribute="1" defaultMemberUniqueName="[dpc_covid19_ita_regioni].[isolamento_domiciliare].[All]" allUniqueName="[dpc_covid19_ita_regioni].[isolamento_domiciliare].[All]" dimensionUniqueName="[dpc_covid19_ita_regioni]" displayFolder="" count="0" memberValueDatatype="20" unbalanced="0"/>
    <cacheHierarchy uniqueName="[dpc_covid19_ita_regioni].[totale_attualmente_positivi]" caption="totale_attualmente_positivi" attribute="1" defaultMemberUniqueName="[dpc_covid19_ita_regioni].[totale_attualmente_positivi].[All]" allUniqueName="[dpc_covid19_ita_regioni].[totale_attualmente_positivi].[All]" dimensionUniqueName="[dpc_covid19_ita_regioni]" displayFolder="" count="0" memberValueDatatype="20" unbalanced="0"/>
    <cacheHierarchy uniqueName="[dpc_covid19_ita_regioni].[nuovi_attualmente_positivi]" caption="nuovi_attualmente_positivi" attribute="1" defaultMemberUniqueName="[dpc_covid19_ita_regioni].[nuovi_attualmente_positivi].[All]" allUniqueName="[dpc_covid19_ita_regioni].[nuovi_attualmente_positivi].[All]" dimensionUniqueName="[dpc_covid19_ita_regioni]" displayFolder="" count="0" memberValueDatatype="20" unbalanced="0"/>
    <cacheHierarchy uniqueName="[dpc_covid19_ita_regioni].[dimessi_guariti]" caption="dimessi_guariti" attribute="1" defaultMemberUniqueName="[dpc_covid19_ita_regioni].[dimessi_guariti].[All]" allUniqueName="[dpc_covid19_ita_regioni].[dimessi_guariti].[All]" dimensionUniqueName="[dpc_covid19_ita_regioni]" displayFolder="" count="0" memberValueDatatype="20" unbalanced="0"/>
    <cacheHierarchy uniqueName="[dpc_covid19_ita_regioni].[deceduti]" caption="deceduti" attribute="1" defaultMemberUniqueName="[dpc_covid19_ita_regioni].[deceduti].[All]" allUniqueName="[dpc_covid19_ita_regioni].[deceduti].[All]" dimensionUniqueName="[dpc_covid19_ita_regioni]" displayFolder="" count="0" memberValueDatatype="20" unbalanced="0"/>
    <cacheHierarchy uniqueName="[dpc_covid19_ita_regioni].[totale_casi]" caption="totale_casi" attribute="1" defaultMemberUniqueName="[dpc_covid19_ita_regioni].[totale_casi].[All]" allUniqueName="[dpc_covid19_ita_regioni].[totale_casi].[All]" dimensionUniqueName="[dpc_covid19_ita_regioni]" displayFolder="" count="0" memberValueDatatype="20" unbalanced="0"/>
    <cacheHierarchy uniqueName="[dpc_covid19_ita_regioni].[tamponi]" caption="tamponi" attribute="1" defaultMemberUniqueName="[dpc_covid19_ita_regioni].[tamponi].[All]" allUniqueName="[dpc_covid19_ita_regioni].[tamponi].[All]" dimensionUniqueName="[dpc_covid19_ita_regioni]" displayFolder="" count="0" memberValueDatatype="20" unbalanced="0"/>
    <cacheHierarchy uniqueName="[dpc_covid19_ita_regioni].[denominazione_regione_adjust]" caption="denominazione_regione_adjust" attribute="1" defaultMemberUniqueName="[dpc_covid19_ita_regioni].[denominazione_regione_adjust].[All]" allUniqueName="[dpc_covid19_ita_regioni].[denominazione_regione_adjust].[All]" dimensionUniqueName="[dpc_covid19_ita_regioni]" displayFolder="" count="2" memberValueDatatype="130" unbalanced="0"/>
    <cacheHierarchy uniqueName="[Measures].[__XL_Count dpc_covid19_ita_andamento_nazionale]" caption="__XL_Count dpc_covid19_ita_andamento_nazionale" measure="1" displayFolder="" measureGroup="dpc_covid19_ita_andamento_nazionale" count="0" hidden="1"/>
    <cacheHierarchy uniqueName="[Measures].[__XL_Count dpc_covid19_ita_regioni]" caption="__XL_Count dpc_covid19_ita_regioni" measure="1" displayFolder="" measureGroup="dpc_covid19_ita_regioni" count="0" hidden="1"/>
    <cacheHierarchy uniqueName="[Measures].[__Nessuna misura definita]" caption="__Nessuna misura definita" measure="1" displayFolder="" count="0" hidden="1"/>
    <cacheHierarchy uniqueName="[Measures].[Somma di totale_casi]" caption="Somma di totale_cas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a di deceduti]" caption="Somma di decedu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otale_attualmente_positivi]" caption="Somma di totale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a di nuovi_attualmente_positivi]" caption="Somma di nuovi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dimessi_guariti]" caption="Somma di dimessi_guari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totale_ospedalizzati]" caption="Somma di totale_ospedalizza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ssimo di totale_attualmente_positivi]" caption="Massimo di totale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ssimo di totale_casi]" caption="Massimo di totale_cas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ssimo di dimessi_guariti]" caption="Massimo di dimessi_guari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ssimo di deceduti]" caption="Massimo di decedu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erapia_intensiva]" caption="Somma di terapia_intensiva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a di giorno]" caption="Somma di giorno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mese]" caption="Somma di mese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ma di codice_regione]" caption="Somma di codice_regione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a di totale_attualmente_positivi 2]" caption="Somma di totale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Massimo di totale_attualmente_positivi 2]" caption="Massimo di totale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ma di lat]" caption="Somma di lat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ma di totale_casi 2]" caption="Somma di totale_cas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ssimo di totale_casi 2]" caption="Massimo di totale_cas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ma di long]" caption="Somma di long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ma di deceduti 2]" caption="Somma di decedut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ma di dimessi_guariti 2]" caption="Somma di dimessi_guarit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020706704"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ssandro Maramotti" refreshedDate="43901.355319675924" backgroundQuery="1" createdVersion="3" refreshedVersion="6" minRefreshableVersion="3" recordCount="0" supportSubquery="1" supportAdvancedDrill="1" xr:uid="{5B7FBBEE-F1C2-4DD9-832A-72FEB0D31439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5">
    <cacheHierarchy uniqueName="[dpc_covid19_ita_andamento_nazionale].[data]" caption="data" attribute="1" time="1" defaultMemberUniqueName="[dpc_covid19_ita_andamento_nazionale].[data].[All]" allUniqueName="[dpc_covid19_ita_andamento_nazionale].[data].[All]" dimensionUniqueName="[dpc_covid19_ita_andamento_nazionale]" displayFolder="" count="2" memberValueDatatype="7" unbalanced="0"/>
    <cacheHierarchy uniqueName="[dpc_covid19_ita_andamento_nazionale].[stato]" caption="stato" attribute="1" defaultMemberUniqueName="[dpc_covid19_ita_andamento_nazionale].[stato].[All]" allUniqueName="[dpc_covid19_ita_andamento_nazionale].[stato].[All]" dimensionUniqueName="[dpc_covid19_ita_andamento_nazionale]" displayFolder="" count="0" memberValueDatatype="130" unbalanced="0"/>
    <cacheHierarchy uniqueName="[dpc_covid19_ita_andamento_nazionale].[ricoverati_con_sintomi]" caption="ricoverati_con_sintomi" attribute="1" defaultMemberUniqueName="[dpc_covid19_ita_andamento_nazionale].[ricoverati_con_sintomi].[All]" allUniqueName="[dpc_covid19_ita_andamento_nazionale].[ricoverati_con_sintomi].[All]" dimensionUniqueName="[dpc_covid19_ita_andamento_nazionale]" displayFolder="" count="0" memberValueDatatype="20" unbalanced="0"/>
    <cacheHierarchy uniqueName="[dpc_covid19_ita_andamento_nazionale].[terapia_intensiva]" caption="terapia_intensiva" attribute="1" defaultMemberUniqueName="[dpc_covid19_ita_andamento_nazionale].[terapia_intensiva].[All]" allUniqueName="[dpc_covid19_ita_andamento_nazionale].[terapia_intensiva].[All]" dimensionUniqueName="[dpc_covid19_ita_andamento_nazionale]" displayFolder="" count="0" memberValueDatatype="20" unbalanced="0"/>
    <cacheHierarchy uniqueName="[dpc_covid19_ita_andamento_nazionale].[totale_ospedalizzati]" caption="totale_ospedalizzati" attribute="1" defaultMemberUniqueName="[dpc_covid19_ita_andamento_nazionale].[totale_ospedalizzati].[All]" allUniqueName="[dpc_covid19_ita_andamento_nazionale].[totale_ospedalizzati].[All]" dimensionUniqueName="[dpc_covid19_ita_andamento_nazionale]" displayFolder="" count="0" memberValueDatatype="20" unbalanced="0"/>
    <cacheHierarchy uniqueName="[dpc_covid19_ita_andamento_nazionale].[isolamento_domiciliare]" caption="isolamento_domiciliare" attribute="1" defaultMemberUniqueName="[dpc_covid19_ita_andamento_nazionale].[isolamento_domiciliare].[All]" allUniqueName="[dpc_covid19_ita_andamento_nazionale].[isolamento_domiciliare].[All]" dimensionUniqueName="[dpc_covid19_ita_andamento_nazionale]" displayFolder="" count="0" memberValueDatatype="20" unbalanced="0"/>
    <cacheHierarchy uniqueName="[dpc_covid19_ita_andamento_nazionale].[totale_attualmente_positivi]" caption="totale_attualmente_positivi" attribute="1" defaultMemberUniqueName="[dpc_covid19_ita_andamento_nazionale].[totale_attualmente_positivi].[All]" allUniqueName="[dpc_covid19_ita_andamento_nazionale].[totale_attualmente_positivi].[All]" dimensionUniqueName="[dpc_covid19_ita_andamento_nazionale]" displayFolder="" count="0" memberValueDatatype="20" unbalanced="0"/>
    <cacheHierarchy uniqueName="[dpc_covid19_ita_andamento_nazionale].[nuovi_attualmente_positivi]" caption="nuovi_attualmente_positivi" attribute="1" defaultMemberUniqueName="[dpc_covid19_ita_andamento_nazionale].[nuovi_attualmente_positivi].[All]" allUniqueName="[dpc_covid19_ita_andamento_nazionale].[nuovi_attualmente_positivi].[All]" dimensionUniqueName="[dpc_covid19_ita_andamento_nazionale]" displayFolder="" count="0" memberValueDatatype="20" unbalanced="0"/>
    <cacheHierarchy uniqueName="[dpc_covid19_ita_andamento_nazionale].[dimessi_guariti]" caption="dimessi_guariti" attribute="1" defaultMemberUniqueName="[dpc_covid19_ita_andamento_nazionale].[dimessi_guariti].[All]" allUniqueName="[dpc_covid19_ita_andamento_nazionale].[dimessi_guariti].[All]" dimensionUniqueName="[dpc_covid19_ita_andamento_nazionale]" displayFolder="" count="0" memberValueDatatype="20" unbalanced="0"/>
    <cacheHierarchy uniqueName="[dpc_covid19_ita_andamento_nazionale].[deceduti]" caption="deceduti" attribute="1" defaultMemberUniqueName="[dpc_covid19_ita_andamento_nazionale].[deceduti].[All]" allUniqueName="[dpc_covid19_ita_andamento_nazionale].[deceduti].[All]" dimensionUniqueName="[dpc_covid19_ita_andamento_nazionale]" displayFolder="" count="0" memberValueDatatype="20" unbalanced="0"/>
    <cacheHierarchy uniqueName="[dpc_covid19_ita_andamento_nazionale].[totale_casi]" caption="totale_casi" attribute="1" defaultMemberUniqueName="[dpc_covid19_ita_andamento_nazionale].[totale_casi].[All]" allUniqueName="[dpc_covid19_ita_andamento_nazionale].[totale_casi].[All]" dimensionUniqueName="[dpc_covid19_ita_andamento_nazionale]" displayFolder="" count="0" memberValueDatatype="20" unbalanced="0"/>
    <cacheHierarchy uniqueName="[dpc_covid19_ita_andamento_nazionale].[tamponi]" caption="tamponi" attribute="1" defaultMemberUniqueName="[dpc_covid19_ita_andamento_nazionale].[tamponi].[All]" allUniqueName="[dpc_covid19_ita_andamento_nazionale].[tamponi].[All]" dimensionUniqueName="[dpc_covid19_ita_andamento_nazionale]" displayFolder="" count="0" memberValueDatatype="20" unbalanced="0"/>
    <cacheHierarchy uniqueName="[dpc_covid19_ita_andamento_nazionale].[giorno]" caption="giorno" attribute="1" defaultMemberUniqueName="[dpc_covid19_ita_andamento_nazionale].[giorno].[All]" allUniqueName="[dpc_covid19_ita_andamento_nazionale].[giorno].[All]" dimensionUniqueName="[dpc_covid19_ita_andamento_nazionale]" displayFolder="" count="0" memberValueDatatype="20" unbalanced="0"/>
    <cacheHierarchy uniqueName="[dpc_covid19_ita_andamento_nazionale].[mese]" caption="mese" attribute="1" defaultMemberUniqueName="[dpc_covid19_ita_andamento_nazionale].[mese].[All]" allUniqueName="[dpc_covid19_ita_andamento_nazionale].[mese].[All]" dimensionUniqueName="[dpc_covid19_ita_andamento_nazionale]" displayFolder="" count="0" memberValueDatatype="20" unbalanced="0"/>
    <cacheHierarchy uniqueName="[dpc_covid19_ita_andamento_nazionale].[anno]" caption="anno" attribute="1" defaultMemberUniqueName="[dpc_covid19_ita_andamento_nazionale].[anno].[All]" allUniqueName="[dpc_covid19_ita_andamento_nazionale].[anno].[All]" dimensionUniqueName="[dpc_covid19_ita_andamento_nazionale]" displayFolder="" count="0" memberValueDatatype="20" unbalanced="0"/>
    <cacheHierarchy uniqueName="[dpc_covid19_ita_regioni].[data]" caption="data" attribute="1" time="1" defaultMemberUniqueName="[dpc_covid19_ita_regioni].[data].[All]" allUniqueName="[dpc_covid19_ita_regioni].[data].[All]" dimensionUniqueName="[dpc_covid19_ita_regioni]" displayFolder="" count="0" memberValueDatatype="7" unbalanced="0"/>
    <cacheHierarchy uniqueName="[dpc_covid19_ita_regioni].[stato]" caption="stato" attribute="1" defaultMemberUniqueName="[dpc_covid19_ita_regioni].[stato].[All]" allUniqueName="[dpc_covid19_ita_regioni].[stato].[All]" dimensionUniqueName="[dpc_covid19_ita_regioni]" displayFolder="" count="0" memberValueDatatype="130" unbalanced="0"/>
    <cacheHierarchy uniqueName="[dpc_covid19_ita_regioni].[codice_regione]" caption="codice_regione" attribute="1" defaultMemberUniqueName="[dpc_covid19_ita_regioni].[codice_regione].[All]" allUniqueName="[dpc_covid19_ita_regioni].[codice_regione].[All]" dimensionUniqueName="[dpc_covid19_ita_regioni]" displayFolder="" count="0" memberValueDatatype="20" unbalanced="0"/>
    <cacheHierarchy uniqueName="[dpc_covid19_ita_regioni].[denominazione_regione]" caption="denominazione_regione" attribute="1" defaultMemberUniqueName="[dpc_covid19_ita_regioni].[denominazione_regione].[All]" allUniqueName="[dpc_covid19_ita_regioni].[denominazione_regione].[All]" dimensionUniqueName="[dpc_covid19_ita_regioni]" displayFolder="" count="0" memberValueDatatype="130" unbalanced="0"/>
    <cacheHierarchy uniqueName="[dpc_covid19_ita_regioni].[lat]" caption="lat" attribute="1" defaultMemberUniqueName="[dpc_covid19_ita_regioni].[lat].[All]" allUniqueName="[dpc_covid19_ita_regioni].[lat].[All]" dimensionUniqueName="[dpc_covid19_ita_regioni]" displayFolder="" count="0" memberValueDatatype="5" unbalanced="0"/>
    <cacheHierarchy uniqueName="[dpc_covid19_ita_regioni].[long]" caption="long" attribute="1" defaultMemberUniqueName="[dpc_covid19_ita_regioni].[long].[All]" allUniqueName="[dpc_covid19_ita_regioni].[long].[All]" dimensionUniqueName="[dpc_covid19_ita_regioni]" displayFolder="" count="0" memberValueDatatype="5" unbalanced="0"/>
    <cacheHierarchy uniqueName="[dpc_covid19_ita_regioni].[ricoverati_con_sintomi]" caption="ricoverati_con_sintomi" attribute="1" defaultMemberUniqueName="[dpc_covid19_ita_regioni].[ricoverati_con_sintomi].[All]" allUniqueName="[dpc_covid19_ita_regioni].[ricoverati_con_sintomi].[All]" dimensionUniqueName="[dpc_covid19_ita_regioni]" displayFolder="" count="0" memberValueDatatype="20" unbalanced="0"/>
    <cacheHierarchy uniqueName="[dpc_covid19_ita_regioni].[terapia_intensiva]" caption="terapia_intensiva" attribute="1" defaultMemberUniqueName="[dpc_covid19_ita_regioni].[terapia_intensiva].[All]" allUniqueName="[dpc_covid19_ita_regioni].[terapia_intensiva].[All]" dimensionUniqueName="[dpc_covid19_ita_regioni]" displayFolder="" count="0" memberValueDatatype="20" unbalanced="0"/>
    <cacheHierarchy uniqueName="[dpc_covid19_ita_regioni].[totale_ospedalizzati]" caption="totale_ospedalizzati" attribute="1" defaultMemberUniqueName="[dpc_covid19_ita_regioni].[totale_ospedalizzati].[All]" allUniqueName="[dpc_covid19_ita_regioni].[totale_ospedalizzati].[All]" dimensionUniqueName="[dpc_covid19_ita_regioni]" displayFolder="" count="0" memberValueDatatype="20" unbalanced="0"/>
    <cacheHierarchy uniqueName="[dpc_covid19_ita_regioni].[isolamento_domiciliare]" caption="isolamento_domiciliare" attribute="1" defaultMemberUniqueName="[dpc_covid19_ita_regioni].[isolamento_domiciliare].[All]" allUniqueName="[dpc_covid19_ita_regioni].[isolamento_domiciliare].[All]" dimensionUniqueName="[dpc_covid19_ita_regioni]" displayFolder="" count="0" memberValueDatatype="20" unbalanced="0"/>
    <cacheHierarchy uniqueName="[dpc_covid19_ita_regioni].[totale_attualmente_positivi]" caption="totale_attualmente_positivi" attribute="1" defaultMemberUniqueName="[dpc_covid19_ita_regioni].[totale_attualmente_positivi].[All]" allUniqueName="[dpc_covid19_ita_regioni].[totale_attualmente_positivi].[All]" dimensionUniqueName="[dpc_covid19_ita_regioni]" displayFolder="" count="0" memberValueDatatype="20" unbalanced="0"/>
    <cacheHierarchy uniqueName="[dpc_covid19_ita_regioni].[nuovi_attualmente_positivi]" caption="nuovi_attualmente_positivi" attribute="1" defaultMemberUniqueName="[dpc_covid19_ita_regioni].[nuovi_attualmente_positivi].[All]" allUniqueName="[dpc_covid19_ita_regioni].[nuovi_attualmente_positivi].[All]" dimensionUniqueName="[dpc_covid19_ita_regioni]" displayFolder="" count="0" memberValueDatatype="20" unbalanced="0"/>
    <cacheHierarchy uniqueName="[dpc_covid19_ita_regioni].[dimessi_guariti]" caption="dimessi_guariti" attribute="1" defaultMemberUniqueName="[dpc_covid19_ita_regioni].[dimessi_guariti].[All]" allUniqueName="[dpc_covid19_ita_regioni].[dimessi_guariti].[All]" dimensionUniqueName="[dpc_covid19_ita_regioni]" displayFolder="" count="0" memberValueDatatype="20" unbalanced="0"/>
    <cacheHierarchy uniqueName="[dpc_covid19_ita_regioni].[deceduti]" caption="deceduti" attribute="1" defaultMemberUniqueName="[dpc_covid19_ita_regioni].[deceduti].[All]" allUniqueName="[dpc_covid19_ita_regioni].[deceduti].[All]" dimensionUniqueName="[dpc_covid19_ita_regioni]" displayFolder="" count="0" memberValueDatatype="20" unbalanced="0"/>
    <cacheHierarchy uniqueName="[dpc_covid19_ita_regioni].[totale_casi]" caption="totale_casi" attribute="1" defaultMemberUniqueName="[dpc_covid19_ita_regioni].[totale_casi].[All]" allUniqueName="[dpc_covid19_ita_regioni].[totale_casi].[All]" dimensionUniqueName="[dpc_covid19_ita_regioni]" displayFolder="" count="0" memberValueDatatype="20" unbalanced="0"/>
    <cacheHierarchy uniqueName="[dpc_covid19_ita_regioni].[tamponi]" caption="tamponi" attribute="1" defaultMemberUniqueName="[dpc_covid19_ita_regioni].[tamponi].[All]" allUniqueName="[dpc_covid19_ita_regioni].[tamponi].[All]" dimensionUniqueName="[dpc_covid19_ita_regioni]" displayFolder="" count="0" memberValueDatatype="20" unbalanced="0"/>
    <cacheHierarchy uniqueName="[dpc_covid19_ita_regioni].[denominazione_regione_adjust]" caption="denominazione_regione_adjust" attribute="1" defaultMemberUniqueName="[dpc_covid19_ita_regioni].[denominazione_regione_adjust].[All]" allUniqueName="[dpc_covid19_ita_regioni].[denominazione_regione_adjust].[All]" dimensionUniqueName="[dpc_covid19_ita_regioni]" displayFolder="" count="0" memberValueDatatype="130" unbalanced="0"/>
    <cacheHierarchy uniqueName="[Measures].[__XL_Count dpc_covid19_ita_andamento_nazionale]" caption="__XL_Count dpc_covid19_ita_andamento_nazionale" measure="1" displayFolder="" measureGroup="dpc_covid19_ita_andamento_nazionale" count="0" hidden="1"/>
    <cacheHierarchy uniqueName="[Measures].[__XL_Count dpc_covid19_ita_regioni]" caption="__XL_Count dpc_covid19_ita_regioni" measure="1" displayFolder="" measureGroup="dpc_covid19_ita_regioni" count="0" hidden="1"/>
    <cacheHierarchy uniqueName="[Measures].[__Nessuna misura definita]" caption="__Nessuna misura definita" measure="1" displayFolder="" count="0" hidden="1"/>
    <cacheHierarchy uniqueName="[Measures].[Somma di totale_casi]" caption="Somma di totale_cas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a di deceduti]" caption="Somma di decedu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otale_attualmente_positivi]" caption="Somma di totale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a di nuovi_attualmente_positivi]" caption="Somma di nuovi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dimessi_guariti]" caption="Somma di dimessi_guari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totale_ospedalizzati]" caption="Somma di totale_ospedalizza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ssimo di totale_attualmente_positivi]" caption="Massimo di totale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ssimo di totale_casi]" caption="Massimo di totale_cas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ssimo di dimessi_guariti]" caption="Massimo di dimessi_guari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ssimo di deceduti]" caption="Massimo di decedu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erapia_intensiva]" caption="Somma di terapia_intensiva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a di giorno]" caption="Somma di giorno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mese]" caption="Somma di mese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ma di codice_regione]" caption="Somma di codice_regione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a di totale_attualmente_positivi 2]" caption="Somma di totale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Massimo di totale_attualmente_positivi 2]" caption="Massimo di totale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ma di lat]" caption="Somma di lat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ma di totale_casi 2]" caption="Somma di totale_cas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ssimo di totale_casi 2]" caption="Massimo di totale_cas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ma di long]" caption="Somma di long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675686815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1B522B-3891-4AD9-BCC4-0CB3E6BEFBB6}" name="Tabella pivot10" cacheId="848" applyNumberFormats="0" applyBorderFormats="0" applyFontFormats="0" applyPatternFormats="0" applyAlignmentFormats="0" applyWidthHeightFormats="1" dataCaption="Valori" updatedVersion="6" minRefreshableVersion="3" useAutoFormatting="1" rowGrandTotals="0" colGrandTotals="0" itemPrintTitles="1" createdVersion="6" indent="0" outline="1" outlineData="1" multipleFieldFilters="0" chartFormat="2">
  <location ref="N5:Q21" firstHeaderRow="0" firstDataRow="1" firstDataCol="1"/>
  <pivotFields count="5"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Fields count="1">
    <field x="-2"/>
  </colFields>
  <colItems count="3">
    <i>
      <x/>
    </i>
    <i i="1">
      <x v="1"/>
    </i>
    <i i="2">
      <x v="2"/>
    </i>
  </colItems>
  <dataFields count="3">
    <dataField name="TERAPIA INTENSIVA" fld="1" baseField="0" baseItem="0"/>
    <dataField name="OSPEDALIZZATI" fld="2" baseField="0" baseItem="0"/>
    <dataField name="DOMICILIARE" fld="3" baseField="0" baseItem="0"/>
  </dataFields>
  <formats count="2">
    <format dxfId="90">
      <pivotArea field="0" type="button" dataOnly="0" labelOnly="1" outline="0" axis="axisRow" fieldPosition="0"/>
    </format>
    <format dxfId="89">
      <pivotArea dataOnly="0" labelOnly="1" fieldPosition="0">
        <references count="1">
          <reference field="0" count="0"/>
        </references>
      </pivotArea>
    </format>
  </formats>
  <chartFormats count="6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15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2"/>
          </reference>
          <reference field="0" count="1" selected="0">
            <x v="15"/>
          </reference>
        </references>
      </pivotArea>
    </chartFormat>
  </chartFormat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9" level="1">
        <member name="[dpc_covid19_ita_regioni].[denominazione_regione_adjust].&amp;[Abruzzo]"/>
        <member name="[dpc_covid19_ita_regioni].[denominazione_regione_adjust].&amp;[Basilicata]"/>
        <member name="[dpc_covid19_ita_regioni].[denominazione_regione_adjust].&amp;[Calabria]"/>
        <member name="[dpc_covid19_ita_regioni].[denominazione_regione_adjust].&amp;[Campania]"/>
        <member name="[dpc_covid19_ita_regioni].[denominazione_regione_adjust].&amp;[Emilia Romagna]"/>
        <member name="[dpc_covid19_ita_regioni].[denominazione_regione_adjust].&amp;[Friuli Venezia Giulia]"/>
        <member name="[dpc_covid19_ita_regioni].[denominazione_regione_adjust].&amp;[Lazio]"/>
        <member name="[dpc_covid19_ita_regioni].[denominazione_regione_adjust].&amp;[Liguria]"/>
        <member name="[dpc_covid19_ita_regioni].[denominazione_regione_adjust].&amp;[Lombardia]"/>
        <member name="[dpc_covid19_ita_regioni].[denominazione_regione_adjust].&amp;[Marche]"/>
        <member name="[dpc_covid19_ita_regioni].[denominazione_regione_adjust].&amp;[Molise]"/>
        <member name="[dpc_covid19_ita_regioni].[denominazione_regione_adjust].&amp;[Piemonte]"/>
        <member name="[dpc_covid19_ita_regioni].[denominazione_regione_adjust].&amp;[Puglia]"/>
        <member name="[dpc_covid19_ita_regioni].[denominazione_regione_adjust].&amp;[Sardegna]"/>
        <member name="[dpc_covid19_ita_regioni].[denominazione_regione_adjust].&amp;[Sicilia]"/>
        <member name="[dpc_covid19_ita_regioni].[denominazione_regione_adjust].&amp;[Toscana]"/>
        <member name="[dpc_covid19_ita_regioni].[denominazione_regione_adjust].&amp;[Trentino]"/>
        <member name="[dpc_covid19_ita_regioni].[denominazione_regione_adjust].&amp;[Umbria]"/>
        <member name="[dpc_covid19_ita_regioni].[denominazione_regione_adjust].&amp;[Veneto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OMICILIARE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pc_covid19_ita_region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CC6AF4-2D42-4AE8-9561-0EC49F2B0069}" name="Tabella pivot9" cacheId="845" applyNumberFormats="0" applyBorderFormats="0" applyFontFormats="0" applyPatternFormats="0" applyAlignmentFormats="0" applyWidthHeightFormats="1" dataCaption="Valori" updatedVersion="6" minRefreshableVersion="3" useAutoFormatting="1" rowGrandTotals="0" colGrandTotals="0" itemPrintTitles="1" createdVersion="6" indent="0" outline="1" outlineData="1" multipleFieldFilters="0" chartFormat="2">
  <location ref="K5:L21" firstHeaderRow="1" firstDataRow="1" firstDataCol="1"/>
  <pivotFields count="3"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Items count="1">
    <i/>
  </colItems>
  <dataFields count="1">
    <dataField name="NUOVI CASI" fld="1" baseField="0" baseItem="0"/>
  </dataFields>
  <formats count="2">
    <format dxfId="92">
      <pivotArea field="0" type="button" dataOnly="0" labelOnly="1" outline="0" axis="axisRow" fieldPosition="0"/>
    </format>
    <format dxfId="91">
      <pivotArea dataOnly="0" labelOnly="1" fieldPosition="0">
        <references count="1">
          <reference field="0" count="0"/>
        </references>
      </pivotArea>
    </format>
  </format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</chartFormat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9" level="1">
        <member name="[dpc_covid19_ita_regioni].[denominazione_regione_adjust].&amp;[Abruzzo]"/>
        <member name="[dpc_covid19_ita_regioni].[denominazione_regione_adjust].&amp;[Basilicata]"/>
        <member name="[dpc_covid19_ita_regioni].[denominazione_regione_adjust].&amp;[Calabria]"/>
        <member name="[dpc_covid19_ita_regioni].[denominazione_regione_adjust].&amp;[Campania]"/>
        <member name="[dpc_covid19_ita_regioni].[denominazione_regione_adjust].&amp;[Emilia Romagna]"/>
        <member name="[dpc_covid19_ita_regioni].[denominazione_regione_adjust].&amp;[Friuli Venezia Giulia]"/>
        <member name="[dpc_covid19_ita_regioni].[denominazione_regione_adjust].&amp;[Lazio]"/>
        <member name="[dpc_covid19_ita_regioni].[denominazione_regione_adjust].&amp;[Liguria]"/>
        <member name="[dpc_covid19_ita_regioni].[denominazione_regione_adjust].&amp;[Lombardia]"/>
        <member name="[dpc_covid19_ita_regioni].[denominazione_regione_adjust].&amp;[Marche]"/>
        <member name="[dpc_covid19_ita_regioni].[denominazione_regione_adjust].&amp;[Molise]"/>
        <member name="[dpc_covid19_ita_regioni].[denominazione_regione_adjust].&amp;[Piemonte]"/>
        <member name="[dpc_covid19_ita_regioni].[denominazione_regione_adjust].&amp;[Puglia]"/>
        <member name="[dpc_covid19_ita_regioni].[denominazione_regione_adjust].&amp;[Sardegna]"/>
        <member name="[dpc_covid19_ita_regioni].[denominazione_regione_adjust].&amp;[Sicilia]"/>
        <member name="[dpc_covid19_ita_regioni].[denominazione_regione_adjust].&amp;[Toscana]"/>
        <member name="[dpc_covid19_ita_regioni].[denominazione_regione_adjust].&amp;[Trentino]"/>
        <member name="[dpc_covid19_ita_regioni].[denominazione_regione_adjust].&amp;[Umbria]"/>
        <member name="[dpc_covid19_ita_regioni].[denominazione_regione_adjust].&amp;[Veneto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pc_covid19_ita_region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360260-3C20-4087-8296-05637799B6E4}" name="Tabella pivot8" cacheId="842" applyNumberFormats="0" applyBorderFormats="0" applyFontFormats="0" applyPatternFormats="0" applyAlignmentFormats="0" applyWidthHeightFormats="1" dataCaption="Valori" updatedVersion="6" minRefreshableVersion="3" useAutoFormatting="1" rowGrandTotals="0" colGrandTotals="0" itemPrintTitles="1" createdVersion="6" indent="0" outline="1" outlineData="1" multipleFieldFilters="0" chartFormat="2">
  <location ref="F5:I21" firstHeaderRow="0" firstDataRow="1" firstDataCol="1"/>
  <pivotFields count="5"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E CASI" fld="1" baseField="0" baseItem="0"/>
    <dataField name="GUARITI" fld="2" baseField="0" baseItem="0"/>
    <dataField name="DECEDUTI" fld="3" baseField="0" baseItem="0"/>
  </dataFields>
  <formats count="3">
    <format dxfId="96">
      <pivotArea field="0" type="button" dataOnly="0" labelOnly="1" outline="0" axis="axisRow" fieldPosition="0"/>
    </format>
    <format dxfId="95">
      <pivotArea dataOnly="0" labelOnly="1" fieldPosition="0">
        <references count="1">
          <reference field="0" count="0"/>
        </references>
      </pivotArea>
    </format>
    <format dxfId="94">
      <pivotArea dataOnly="0" labelOnly="1" grandRow="1" outline="0" fieldPosition="0"/>
    </format>
  </formats>
  <chartFormats count="3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9" level="1">
        <member name="[dpc_covid19_ita_regioni].[denominazione_regione_adjust].&amp;[Abruzzo]"/>
        <member name="[dpc_covid19_ita_regioni].[denominazione_regione_adjust].&amp;[Basilicata]"/>
        <member name="[dpc_covid19_ita_regioni].[denominazione_regione_adjust].&amp;[Calabria]"/>
        <member name="[dpc_covid19_ita_regioni].[denominazione_regione_adjust].&amp;[Campania]"/>
        <member name="[dpc_covid19_ita_regioni].[denominazione_regione_adjust].&amp;[Emilia Romagna]"/>
        <member name="[dpc_covid19_ita_regioni].[denominazione_regione_adjust].&amp;[Friuli Venezia Giulia]"/>
        <member name="[dpc_covid19_ita_regioni].[denominazione_regione_adjust].&amp;[Lazio]"/>
        <member name="[dpc_covid19_ita_regioni].[denominazione_regione_adjust].&amp;[Liguria]"/>
        <member name="[dpc_covid19_ita_regioni].[denominazione_regione_adjust].&amp;[Lombardia]"/>
        <member name="[dpc_covid19_ita_regioni].[denominazione_regione_adjust].&amp;[Marche]"/>
        <member name="[dpc_covid19_ita_regioni].[denominazione_regione_adjust].&amp;[Molise]"/>
        <member name="[dpc_covid19_ita_regioni].[denominazione_regione_adjust].&amp;[Piemonte]"/>
        <member name="[dpc_covid19_ita_regioni].[denominazione_regione_adjust].&amp;[Puglia]"/>
        <member name="[dpc_covid19_ita_regioni].[denominazione_regione_adjust].&amp;[Sardegna]"/>
        <member name="[dpc_covid19_ita_regioni].[denominazione_regione_adjust].&amp;[Sicilia]"/>
        <member name="[dpc_covid19_ita_regioni].[denominazione_regione_adjust].&amp;[Toscana]"/>
        <member name="[dpc_covid19_ita_regioni].[denominazione_regione_adjust].&amp;[Trentino]"/>
        <member name="[dpc_covid19_ita_regioni].[denominazione_regione_adjust].&amp;[Umbria]"/>
        <member name="[dpc_covid19_ita_regioni].[denominazione_regione_adjust].&amp;[Veneto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pc_covid19_ita_region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3BD64A-9409-4DFA-9D3E-066D0EAB4257}" name="Tabella pivot5" cacheId="836" applyNumberFormats="0" applyBorderFormats="0" applyFontFormats="0" applyPatternFormats="0" applyAlignmentFormats="0" applyWidthHeightFormats="1" dataCaption="Valori" tag="167129ce-59a3-4d85-b7f8-84502f734a45" updatedVersion="6" minRefreshableVersion="5" useAutoFormatting="1" itemPrintTitles="1" createdVersion="6" indent="0" outline="1" outlineData="1" multipleFieldFilters="0">
  <location ref="F2:F3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Massimo di deceduti" fld="0" subtotal="max" baseField="0" baseItem="0"/>
  </dataField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9" level="1">
        <member name="[dpc_covid19_ita_regioni].[denominazione_regione_adjust].&amp;[Abruzzo]"/>
        <member name="[dpc_covid19_ita_regioni].[denominazione_regione_adjust].&amp;[Basilicata]"/>
        <member name="[dpc_covid19_ita_regioni].[denominazione_regione_adjust].&amp;[Calabria]"/>
        <member name="[dpc_covid19_ita_regioni].[denominazione_regione_adjust].&amp;[Campania]"/>
        <member name="[dpc_covid19_ita_regioni].[denominazione_regione_adjust].&amp;[Emilia Romagna]"/>
        <member name="[dpc_covid19_ita_regioni].[denominazione_regione_adjust].&amp;[Friuli Venezia Giulia]"/>
        <member name="[dpc_covid19_ita_regioni].[denominazione_regione_adjust].&amp;[Lazio]"/>
        <member name="[dpc_covid19_ita_regioni].[denominazione_regione_adjust].&amp;[Liguria]"/>
        <member name="[dpc_covid19_ita_regioni].[denominazione_regione_adjust].&amp;[Lombardia]"/>
        <member name="[dpc_covid19_ita_regioni].[denominazione_regione_adjust].&amp;[Marche]"/>
        <member name="[dpc_covid19_ita_regioni].[denominazione_regione_adjust].&amp;[Molise]"/>
        <member name="[dpc_covid19_ita_regioni].[denominazione_regione_adjust].&amp;[Piemonte]"/>
        <member name="[dpc_covid19_ita_regioni].[denominazione_regione_adjust].&amp;[Puglia]"/>
        <member name="[dpc_covid19_ita_regioni].[denominazione_regione_adjust].&amp;[Sardegna]"/>
        <member name="[dpc_covid19_ita_regioni].[denominazione_regione_adjust].&amp;[Sicilia]"/>
        <member name="[dpc_covid19_ita_regioni].[denominazione_regione_adjust].&amp;[Toscana]"/>
        <member name="[dpc_covid19_ita_regioni].[denominazione_regione_adjust].&amp;[Trentino]"/>
        <member name="[dpc_covid19_ita_regioni].[denominazione_regione_adjust].&amp;[Umbria]"/>
        <member name="[dpc_covid19_ita_regioni].[denominazione_regione_adjust].&amp;[Veneto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ssimo di deceduti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pc_covid19_ita_andamento_naziona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07E90E-0326-429B-A053-54AB46FA61C9}" name="Tabella pivot3" cacheId="831" applyNumberFormats="0" applyBorderFormats="0" applyFontFormats="0" applyPatternFormats="0" applyAlignmentFormats="0" applyWidthHeightFormats="1" dataCaption="Valori" tag="5421e62f-46b1-4145-9f52-96c3c8bf46bb" updatedVersion="6" minRefreshableVersion="5" useAutoFormatting="1" subtotalHiddenItems="1" itemPrintTitles="1" createdVersion="6" indent="0" outline="1" outlineData="1" multipleFieldFilters="0">
  <location ref="B2:B3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Massimo di totale_casi" fld="0" subtotal="max" baseField="0" baseItem="0"/>
  </dataField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9" level="1">
        <member name="[dpc_covid19_ita_regioni].[denominazione_regione_adjust].&amp;[Abruzzo]"/>
        <member name="[dpc_covid19_ita_regioni].[denominazione_regione_adjust].&amp;[Basilicata]"/>
        <member name="[dpc_covid19_ita_regioni].[denominazione_regione_adjust].&amp;[Calabria]"/>
        <member name="[dpc_covid19_ita_regioni].[denominazione_regione_adjust].&amp;[Campania]"/>
        <member name="[dpc_covid19_ita_regioni].[denominazione_regione_adjust].&amp;[Emilia Romagna]"/>
        <member name="[dpc_covid19_ita_regioni].[denominazione_regione_adjust].&amp;[Friuli Venezia Giulia]"/>
        <member name="[dpc_covid19_ita_regioni].[denominazione_regione_adjust].&amp;[Lazio]"/>
        <member name="[dpc_covid19_ita_regioni].[denominazione_regione_adjust].&amp;[Liguria]"/>
        <member name="[dpc_covid19_ita_regioni].[denominazione_regione_adjust].&amp;[Lombardia]"/>
        <member name="[dpc_covid19_ita_regioni].[denominazione_regione_adjust].&amp;[Marche]"/>
        <member name="[dpc_covid19_ita_regioni].[denominazione_regione_adjust].&amp;[Molise]"/>
        <member name="[dpc_covid19_ita_regioni].[denominazione_regione_adjust].&amp;[Piemonte]"/>
        <member name="[dpc_covid19_ita_regioni].[denominazione_regione_adjust].&amp;[Puglia]"/>
        <member name="[dpc_covid19_ita_regioni].[denominazione_regione_adjust].&amp;[Sardegna]"/>
        <member name="[dpc_covid19_ita_regioni].[denominazione_regione_adjust].&amp;[Sicilia]"/>
        <member name="[dpc_covid19_ita_regioni].[denominazione_regione_adjust].&amp;[Toscana]"/>
        <member name="[dpc_covid19_ita_regioni].[denominazione_regione_adjust].&amp;[Trentino]"/>
        <member name="[dpc_covid19_ita_regioni].[denominazione_regione_adjust].&amp;[Umbria]"/>
        <member name="[dpc_covid19_ita_regioni].[denominazione_regione_adjust].&amp;[Veneto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ssimo di totale_casi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omma di totale_casi2"/>
    <pivotHierarchy dragToData="1" caption="Massimo di totale_casi2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pc_covid19_ita_andamento_nazionale]"/>
        <x15:activeTabTopLevelEntity name="[dpc_covid19_ita_region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E820B6-4E36-4DF6-BA6E-215A130D09E5}" name="Tabella pivot6" cacheId="839" applyNumberFormats="0" applyBorderFormats="0" applyFontFormats="0" applyPatternFormats="0" applyAlignmentFormats="0" applyWidthHeightFormats="1" dataCaption="Valori" tag="f5aeba3a-0a0c-4bc1-85a0-ce39b541bd3e" updatedVersion="6" minRefreshableVersion="5" useAutoFormatting="1" itemPrintTitles="1" createdVersion="6" indent="0" outline="1" outlineData="1" multipleFieldFilters="0">
  <location ref="H2:H3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Massimo di totale_attualmente_positivi" fld="0" subtotal="max" baseField="0" baseItem="0"/>
  </dataField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9" level="1">
        <member name="[dpc_covid19_ita_regioni].[denominazione_regione_adjust].&amp;[Abruzzo]"/>
        <member name="[dpc_covid19_ita_regioni].[denominazione_regione_adjust].&amp;[Basilicata]"/>
        <member name="[dpc_covid19_ita_regioni].[denominazione_regione_adjust].&amp;[Calabria]"/>
        <member name="[dpc_covid19_ita_regioni].[denominazione_regione_adjust].&amp;[Campania]"/>
        <member name="[dpc_covid19_ita_regioni].[denominazione_regione_adjust].&amp;[Emilia Romagna]"/>
        <member name="[dpc_covid19_ita_regioni].[denominazione_regione_adjust].&amp;[Friuli Venezia Giulia]"/>
        <member name="[dpc_covid19_ita_regioni].[denominazione_regione_adjust].&amp;[Lazio]"/>
        <member name="[dpc_covid19_ita_regioni].[denominazione_regione_adjust].&amp;[Liguria]"/>
        <member name="[dpc_covid19_ita_regioni].[denominazione_regione_adjust].&amp;[Lombardia]"/>
        <member name="[dpc_covid19_ita_regioni].[denominazione_regione_adjust].&amp;[Marche]"/>
        <member name="[dpc_covid19_ita_regioni].[denominazione_regione_adjust].&amp;[Molise]"/>
        <member name="[dpc_covid19_ita_regioni].[denominazione_regione_adjust].&amp;[Piemonte]"/>
        <member name="[dpc_covid19_ita_regioni].[denominazione_regione_adjust].&amp;[Puglia]"/>
        <member name="[dpc_covid19_ita_regioni].[denominazione_regione_adjust].&amp;[Sardegna]"/>
        <member name="[dpc_covid19_ita_regioni].[denominazione_regione_adjust].&amp;[Sicilia]"/>
        <member name="[dpc_covid19_ita_regioni].[denominazione_regione_adjust].&amp;[Toscana]"/>
        <member name="[dpc_covid19_ita_regioni].[denominazione_regione_adjust].&amp;[Trentino]"/>
        <member name="[dpc_covid19_ita_regioni].[denominazione_regione_adjust].&amp;[Umbria]"/>
        <member name="[dpc_covid19_ita_regioni].[denominazione_regione_adjust].&amp;[Veneto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ssimo di totale_attualmente_positivi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pc_covid19_ita_andamento_naziona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ACB48B-C5B3-401D-A1BA-F10253956799}" name="Tabella pivot4" cacheId="833" applyNumberFormats="0" applyBorderFormats="0" applyFontFormats="0" applyPatternFormats="0" applyAlignmentFormats="0" applyWidthHeightFormats="1" dataCaption="Valori" tag="beaa4f3c-3365-4949-8e31-817613a9cf4b" updatedVersion="6" minRefreshableVersion="5" useAutoFormatting="1" itemPrintTitles="1" createdVersion="6" indent="0" outline="1" outlineData="1" multipleFieldFilters="0">
  <location ref="D2:D3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Massimo di dimessi_guariti" fld="0" subtotal="max" baseField="0" baseItem="0"/>
  </dataField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9" level="1">
        <member name="[dpc_covid19_ita_regioni].[denominazione_regione_adjust].&amp;[Abruzzo]"/>
        <member name="[dpc_covid19_ita_regioni].[denominazione_regione_adjust].&amp;[Basilicata]"/>
        <member name="[dpc_covid19_ita_regioni].[denominazione_regione_adjust].&amp;[Calabria]"/>
        <member name="[dpc_covid19_ita_regioni].[denominazione_regione_adjust].&amp;[Campania]"/>
        <member name="[dpc_covid19_ita_regioni].[denominazione_regione_adjust].&amp;[Emilia Romagna]"/>
        <member name="[dpc_covid19_ita_regioni].[denominazione_regione_adjust].&amp;[Friuli Venezia Giulia]"/>
        <member name="[dpc_covid19_ita_regioni].[denominazione_regione_adjust].&amp;[Lazio]"/>
        <member name="[dpc_covid19_ita_regioni].[denominazione_regione_adjust].&amp;[Liguria]"/>
        <member name="[dpc_covid19_ita_regioni].[denominazione_regione_adjust].&amp;[Lombardia]"/>
        <member name="[dpc_covid19_ita_regioni].[denominazione_regione_adjust].&amp;[Marche]"/>
        <member name="[dpc_covid19_ita_regioni].[denominazione_regione_adjust].&amp;[Molise]"/>
        <member name="[dpc_covid19_ita_regioni].[denominazione_regione_adjust].&amp;[Piemonte]"/>
        <member name="[dpc_covid19_ita_regioni].[denominazione_regione_adjust].&amp;[Puglia]"/>
        <member name="[dpc_covid19_ita_regioni].[denominazione_regione_adjust].&amp;[Sardegna]"/>
        <member name="[dpc_covid19_ita_regioni].[denominazione_regione_adjust].&amp;[Sicilia]"/>
        <member name="[dpc_covid19_ita_regioni].[denominazione_regione_adjust].&amp;[Toscana]"/>
        <member name="[dpc_covid19_ita_regioni].[denominazione_regione_adjust].&amp;[Trentino]"/>
        <member name="[dpc_covid19_ita_regioni].[denominazione_regione_adjust].&amp;[Umbria]"/>
        <member name="[dpc_covid19_ita_regioni].[denominazione_regione_adjust].&amp;[Veneto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ssimo di dimessi_guariti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pc_covid19_ita_andamento_nazionale]"/>
        <x15:activeTabTopLevelEntity name="[dpc_covid19_ita_region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6B4AD1-2D6D-49E1-BF1D-8FBF4D861F1D}" name="Tabella pivot2" cacheId="829" applyNumberFormats="0" applyBorderFormats="0" applyFontFormats="0" applyPatternFormats="0" applyAlignmentFormats="0" applyWidthHeightFormats="1" dataCaption="Valori" tag="4b6e6f9e-5ec9-4272-9f44-19ac7b585903" updatedVersion="6" minRefreshableVersion="3" useAutoFormatting="1" rowGrandTotals="0" colGrandTotals="0" itemPrintTitles="1" createdVersion="6" indent="0" outline="1" outlineData="1" multipleFieldFilters="0">
  <location ref="B5:C2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9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</items>
    </pivotField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</rowItems>
  <colItems count="1">
    <i/>
  </colItems>
  <dataFields count="1">
    <dataField name="Massimo di totale_casi" fld="0" subtotal="max" baseField="0" baseItem="0"/>
  </dataField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ssimo di totale_attualmente_positivi"/>
    <pivotHierarchy dragToData="1"/>
    <pivotHierarchy dragToData="1" caption="Somma di totale_casi"/>
    <pivotHierarchy dragToData="1" caption="Massimo di totale_casi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pc_covid19_ita_region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54BF8EF1-CFCB-4411-9FCC-C19C2CE1C995}" autoFormatId="16" applyNumberFormats="0" applyBorderFormats="0" applyFontFormats="0" applyPatternFormats="0" applyAlignmentFormats="0" applyWidthHeightFormats="0">
  <queryTableRefresh nextId="13">
    <queryTableFields count="12">
      <queryTableField id="1" name="data" tableColumnId="1"/>
      <queryTableField id="2" name="stato" tableColumnId="2"/>
      <queryTableField id="3" name="ricoverati_con_sintomi" tableColumnId="3"/>
      <queryTableField id="4" name="terapia_intensiva" tableColumnId="4"/>
      <queryTableField id="5" name="totale_ospedalizzati" tableColumnId="5"/>
      <queryTableField id="6" name="isolamento_domiciliare" tableColumnId="6"/>
      <queryTableField id="7" name="totale_attualmente_positivi" tableColumnId="7"/>
      <queryTableField id="8" name="nuovi_attualmente_positivi" tableColumnId="8"/>
      <queryTableField id="9" name="dimessi_guariti" tableColumnId="9"/>
      <queryTableField id="10" name="deceduti" tableColumnId="10"/>
      <queryTableField id="11" name="totale_casi" tableColumnId="11"/>
      <queryTableField id="12" name="tamponi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73AABE25-CA61-462A-9B8A-F83D26066C43}" autoFormatId="16" applyNumberFormats="0" applyBorderFormats="0" applyFontFormats="0" applyPatternFormats="0" applyAlignmentFormats="0" applyWidthHeightFormats="0">
  <queryTableRefresh nextId="17">
    <queryTableFields count="16">
      <queryTableField id="1" name="data" tableColumnId="1"/>
      <queryTableField id="2" name="stato" tableColumnId="2"/>
      <queryTableField id="3" name="codice_regione" tableColumnId="3"/>
      <queryTableField id="4" name="denominazione_regione" tableColumnId="4"/>
      <queryTableField id="5" name="lat" tableColumnId="5"/>
      <queryTableField id="6" name="long" tableColumnId="6"/>
      <queryTableField id="7" name="ricoverati_con_sintomi" tableColumnId="7"/>
      <queryTableField id="8" name="terapia_intensiva" tableColumnId="8"/>
      <queryTableField id="9" name="totale_ospedalizzati" tableColumnId="9"/>
      <queryTableField id="10" name="isolamento_domiciliare" tableColumnId="10"/>
      <queryTableField id="11" name="totale_attualmente_positivi" tableColumnId="11"/>
      <queryTableField id="12" name="nuovi_attualmente_positivi" tableColumnId="12"/>
      <queryTableField id="13" name="dimessi_guariti" tableColumnId="13"/>
      <queryTableField id="14" name="deceduti" tableColumnId="14"/>
      <queryTableField id="15" name="totale_casi" tableColumnId="15"/>
      <queryTableField id="16" name="tamponi" tableColumnId="1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denominazione_regione_adjust" xr10:uid="{A29A6018-82DB-4E9D-8B8B-E9D791E9A904}" sourceName="[dpc_covid19_ita_regioni].[denominazione_regione_adjust]">
  <pivotTables>
    <pivotTable tabId="1" name="Tabella pivot2"/>
    <pivotTable tabId="1" name="Tabella pivot3"/>
    <pivotTable tabId="1" name="Tabella pivot4"/>
    <pivotTable tabId="1" name="Tabella pivot5"/>
    <pivotTable tabId="1" name="Tabella pivot6"/>
    <pivotTable tabId="1" name="Tabella pivot8"/>
    <pivotTable tabId="1" name="Tabella pivot9"/>
    <pivotTable tabId="1" name="Tabella pivot10"/>
  </pivotTables>
  <data>
    <olap pivotCacheId="1020706704">
      <levels count="2">
        <level uniqueName="[dpc_covid19_ita_regioni].[denominazione_regione_adjust].[(All)]" sourceCaption="(All)" count="0"/>
        <level uniqueName="[dpc_covid19_ita_regioni].[denominazione_regione_adjust].[denominazione_regione_adjust]" sourceCaption="denominazione_regione_adjust" count="20">
          <ranges>
            <range startItem="0">
              <i n="[dpc_covid19_ita_regioni].[denominazione_regione_adjust].&amp;[Abruzzo]" c="Abruzzo"/>
              <i n="[dpc_covid19_ita_regioni].[denominazione_regione_adjust].&amp;[Basilicata]" c="Basilicata"/>
              <i n="[dpc_covid19_ita_regioni].[denominazione_regione_adjust].&amp;[Calabria]" c="Calabria"/>
              <i n="[dpc_covid19_ita_regioni].[denominazione_regione_adjust].&amp;[Campania]" c="Campania"/>
              <i n="[dpc_covid19_ita_regioni].[denominazione_regione_adjust].&amp;[Emilia Romagna]" c="Emilia Romagna"/>
              <i n="[dpc_covid19_ita_regioni].[denominazione_regione_adjust].&amp;[Friuli Venezia Giulia]" c="Friuli Venezia Giulia"/>
              <i n="[dpc_covid19_ita_regioni].[denominazione_regione_adjust].&amp;[Lazio]" c="Lazio"/>
              <i n="[dpc_covid19_ita_regioni].[denominazione_regione_adjust].&amp;[Liguria]" c="Liguria"/>
              <i n="[dpc_covid19_ita_regioni].[denominazione_regione_adjust].&amp;[Lombardia]" c="Lombardia"/>
              <i n="[dpc_covid19_ita_regioni].[denominazione_regione_adjust].&amp;[Marche]" c="Marche"/>
              <i n="[dpc_covid19_ita_regioni].[denominazione_regione_adjust].&amp;[Molise]" c="Molise"/>
              <i n="[dpc_covid19_ita_regioni].[denominazione_regione_adjust].&amp;[Piemonte]" c="Piemonte"/>
              <i n="[dpc_covid19_ita_regioni].[denominazione_regione_adjust].&amp;[Puglia]" c="Puglia"/>
              <i n="[dpc_covid19_ita_regioni].[denominazione_regione_adjust].&amp;[Sardegna]" c="Sardegna"/>
              <i n="[dpc_covid19_ita_regioni].[denominazione_regione_adjust].&amp;[Sicilia]" c="Sicilia"/>
              <i n="[dpc_covid19_ita_regioni].[denominazione_regione_adjust].&amp;[Toscana]" c="Toscana"/>
              <i n="[dpc_covid19_ita_regioni].[denominazione_regione_adjust].&amp;[Trentino]" c="Trentino"/>
              <i n="[dpc_covid19_ita_regioni].[denominazione_regione_adjust].&amp;[Umbria]" c="Umbria"/>
              <i n="[dpc_covid19_ita_regioni].[denominazione_regione_adjust].&amp;[Valle d'Aosta]" c="Valle d'Aosta"/>
              <i n="[dpc_covid19_ita_regioni].[denominazione_regione_adjust].&amp;[Veneto]" c="Veneto"/>
            </range>
          </ranges>
        </level>
      </levels>
      <selections count="19">
        <selection n="[dpc_covid19_ita_regioni].[denominazione_regione_adjust].&amp;[Abruzzo]"/>
        <selection n="[dpc_covid19_ita_regioni].[denominazione_regione_adjust].&amp;[Basilicata]"/>
        <selection n="[dpc_covid19_ita_regioni].[denominazione_regione_adjust].&amp;[Calabria]"/>
        <selection n="[dpc_covid19_ita_regioni].[denominazione_regione_adjust].&amp;[Campania]"/>
        <selection n="[dpc_covid19_ita_regioni].[denominazione_regione_adjust].&amp;[Emilia Romagna]"/>
        <selection n="[dpc_covid19_ita_regioni].[denominazione_regione_adjust].&amp;[Friuli Venezia Giulia]"/>
        <selection n="[dpc_covid19_ita_regioni].[denominazione_regione_adjust].&amp;[Lazio]"/>
        <selection n="[dpc_covid19_ita_regioni].[denominazione_regione_adjust].&amp;[Liguria]"/>
        <selection n="[dpc_covid19_ita_regioni].[denominazione_regione_adjust].&amp;[Lombardia]"/>
        <selection n="[dpc_covid19_ita_regioni].[denominazione_regione_adjust].&amp;[Marche]"/>
        <selection n="[dpc_covid19_ita_regioni].[denominazione_regione_adjust].&amp;[Molise]"/>
        <selection n="[dpc_covid19_ita_regioni].[denominazione_regione_adjust].&amp;[Piemonte]"/>
        <selection n="[dpc_covid19_ita_regioni].[denominazione_regione_adjust].&amp;[Puglia]"/>
        <selection n="[dpc_covid19_ita_regioni].[denominazione_regione_adjust].&amp;[Sardegna]"/>
        <selection n="[dpc_covid19_ita_regioni].[denominazione_regione_adjust].&amp;[Sicilia]"/>
        <selection n="[dpc_covid19_ita_regioni].[denominazione_regione_adjust].&amp;[Toscana]"/>
        <selection n="[dpc_covid19_ita_regioni].[denominazione_regione_adjust].&amp;[Trentino]"/>
        <selection n="[dpc_covid19_ita_regioni].[denominazione_regione_adjust].&amp;[Umbria]"/>
        <selection n="[dpc_covid19_ita_regioni].[denominazione_regione_adjust].&amp;[Veneto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iltroRegione" xr10:uid="{5BEB9702-BAD0-4CC0-878F-4A0293F6DF7B}" cache="FiltroDati_denominazione_regione_adjust" caption="filtro per regione" level="1" style="Stile filtro dati 1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1D3CF2-6D56-4A82-B974-9B77F0E94A5E}" name="dpc_covid19_ita_andamento_nazionale" displayName="dpc_covid19_ita_andamento_nazionale" ref="A1:L17" tableType="queryTable" totalsRowShown="0">
  <autoFilter ref="A1:L17" xr:uid="{EABC7277-E16F-4D96-ADF1-FFC0B5E7026E}"/>
  <tableColumns count="12">
    <tableColumn id="1" xr3:uid="{703403A0-8F9B-4346-B11C-E53859FA057C}" uniqueName="1" name="data" queryTableFieldId="1" dataDxfId="101"/>
    <tableColumn id="2" xr3:uid="{B188F686-BB42-42C1-9E53-39CED73FB743}" uniqueName="2" name="stato" queryTableFieldId="2" dataDxfId="100"/>
    <tableColumn id="3" xr3:uid="{38B2F1D6-B422-4F4A-B30E-685F11B53274}" uniqueName="3" name="ricoverati_con_sintomi" queryTableFieldId="3"/>
    <tableColumn id="4" xr3:uid="{ECFEC2C2-1463-468F-864F-16584BE2F2D5}" uniqueName="4" name="terapia_intensiva" queryTableFieldId="4"/>
    <tableColumn id="5" xr3:uid="{7981C252-894D-46ED-8230-557767A3A927}" uniqueName="5" name="totale_ospedalizzati" queryTableFieldId="5"/>
    <tableColumn id="6" xr3:uid="{2510A4E2-8AFC-4F5F-8FD5-2985E4028918}" uniqueName="6" name="isolamento_domiciliare" queryTableFieldId="6"/>
    <tableColumn id="7" xr3:uid="{EBE1D699-521F-4FA0-A872-D5409C93CAFD}" uniqueName="7" name="totale_attualmente_positivi" queryTableFieldId="7"/>
    <tableColumn id="8" xr3:uid="{CBACBD71-ED4E-440B-815F-9CC35B6A33BC}" uniqueName="8" name="nuovi_attualmente_positivi" queryTableFieldId="8"/>
    <tableColumn id="9" xr3:uid="{76143738-91A6-4C75-AC8B-EAF01F93DB95}" uniqueName="9" name="dimessi_guariti" queryTableFieldId="9"/>
    <tableColumn id="10" xr3:uid="{83E05A40-A3A1-4979-A200-15FC2C19E855}" uniqueName="10" name="deceduti" queryTableFieldId="10"/>
    <tableColumn id="11" xr3:uid="{D740AD00-6AFD-46C5-9FDC-2436FB9332A5}" uniqueName="11" name="totale_casi" queryTableFieldId="11"/>
    <tableColumn id="12" xr3:uid="{97F48D45-3389-488F-9CAC-B9FF1C8A09DE}" uniqueName="12" name="tamponi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A33B83-FE62-47BA-BA11-13E072BCB754}" name="dpc_covid19_ita_regioni" displayName="dpc_covid19_ita_regioni" ref="A1:P337" tableType="queryTable" totalsRowShown="0">
  <autoFilter ref="A1:P337" xr:uid="{FD4B2342-5440-47FA-BB24-0BBC72A59758}"/>
  <tableColumns count="16">
    <tableColumn id="1" xr3:uid="{D66CC6F6-1ED6-4A73-9E55-E9981117236A}" uniqueName="1" name="data" queryTableFieldId="1" dataDxfId="99"/>
    <tableColumn id="2" xr3:uid="{F268A315-D3B9-4E57-9A57-6BE3C26C8603}" uniqueName="2" name="stato" queryTableFieldId="2" dataDxfId="98"/>
    <tableColumn id="3" xr3:uid="{8B9FBA29-D96E-4B95-ADC4-D61EAB3C6E58}" uniqueName="3" name="codice_regione" queryTableFieldId="3"/>
    <tableColumn id="4" xr3:uid="{AAF36031-4ADE-4EE7-8799-3DA6B1F7FE86}" uniqueName="4" name="denominazione_regione" queryTableFieldId="4" dataDxfId="97"/>
    <tableColumn id="5" xr3:uid="{9ED8F63B-9A03-4DF0-A934-5DFB378F2D04}" uniqueName="5" name="lat" queryTableFieldId="5"/>
    <tableColumn id="6" xr3:uid="{26FA62E4-809D-4E46-A047-441395970A33}" uniqueName="6" name="long" queryTableFieldId="6"/>
    <tableColumn id="7" xr3:uid="{70C8D92C-DC1D-42E3-A1CA-A1F8088466B5}" uniqueName="7" name="ricoverati_con_sintomi" queryTableFieldId="7"/>
    <tableColumn id="8" xr3:uid="{E3D7D206-31FA-44C3-8CA9-C45047573232}" uniqueName="8" name="terapia_intensiva" queryTableFieldId="8"/>
    <tableColumn id="9" xr3:uid="{18438A4C-E380-457B-B7AC-11CC4DFF9288}" uniqueName="9" name="totale_ospedalizzati" queryTableFieldId="9"/>
    <tableColumn id="10" xr3:uid="{466E8A3D-6A70-4332-A889-6CC4EC4670C7}" uniqueName="10" name="isolamento_domiciliare" queryTableFieldId="10"/>
    <tableColumn id="11" xr3:uid="{C92ED2A1-0C60-4300-9F06-F4AEED2D5000}" uniqueName="11" name="totale_attualmente_positivi" queryTableFieldId="11"/>
    <tableColumn id="12" xr3:uid="{3141823B-F875-436E-81B9-A684CE63C799}" uniqueName="12" name="nuovi_attualmente_positivi" queryTableFieldId="12"/>
    <tableColumn id="13" xr3:uid="{351419AA-0E0D-4C98-BC5D-F968B2C210D1}" uniqueName="13" name="dimessi_guariti" queryTableFieldId="13"/>
    <tableColumn id="14" xr3:uid="{C43CBB18-A4DA-4C1B-9C8A-AE1F7FD9E431}" uniqueName="14" name="deceduti" queryTableFieldId="14"/>
    <tableColumn id="15" xr3:uid="{15132951-8058-46A9-8486-CFE4642BA187}" uniqueName="15" name="totale_casi" queryTableFieldId="15"/>
    <tableColumn id="16" xr3:uid="{040DC69F-DDAB-4531-B724-CA8573ADA0D6}" uniqueName="16" name="tamponi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SequenzaTemporale_data" xr10:uid="{A966DF0A-2404-4C1E-8510-8A979141DA3E}" sourceName="[dpc_covid19_ita_andamento_nazionale].[data]">
  <pivotTables>
    <pivotTable tabId="1" name="Tabella pivot3"/>
    <pivotTable tabId="1" name="Tabella pivot4"/>
    <pivotTable tabId="1" name="Tabella pivot5"/>
    <pivotTable tabId="1" name="Tabella pivot6"/>
  </pivotTables>
  <state minimalRefreshVersion="6" lastRefreshVersion="6" pivotCacheId="675686815" filterType="unknown">
    <bounds startDate="2020-01-01T18:00:00" endDate="2021-01-01T18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" xr10:uid="{BAD214B4-A07C-4273-9743-2BECBD322BBF}" cache="SequenzaTemporale_data" caption="filtro per data" level="3" selectionLevel="3" scrollPosition="2020-02-20T00:00:00" style="Stile sequenza temporale 1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pcm-dpc/COVID-19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11/relationships/timeline" Target="../timelines/timelin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FCADC-A8D1-4BD8-BD76-E73401C8094D}">
  <dimension ref="A1:C11"/>
  <sheetViews>
    <sheetView workbookViewId="0">
      <selection activeCell="K20" sqref="K20"/>
    </sheetView>
  </sheetViews>
  <sheetFormatPr defaultRowHeight="15" x14ac:dyDescent="0.25"/>
  <sheetData>
    <row r="1" spans="1:3" x14ac:dyDescent="0.25">
      <c r="A1" t="s">
        <v>20</v>
      </c>
    </row>
    <row r="2" spans="1:3" x14ac:dyDescent="0.25">
      <c r="C2" s="5" t="s">
        <v>28</v>
      </c>
    </row>
    <row r="4" spans="1:3" x14ac:dyDescent="0.25">
      <c r="B4">
        <v>1</v>
      </c>
      <c r="C4" t="s">
        <v>59</v>
      </c>
    </row>
    <row r="5" spans="1:3" x14ac:dyDescent="0.25">
      <c r="B5">
        <v>2</v>
      </c>
      <c r="C5" t="s">
        <v>17</v>
      </c>
    </row>
    <row r="6" spans="1:3" x14ac:dyDescent="0.25">
      <c r="B6">
        <v>3</v>
      </c>
      <c r="C6" t="s">
        <v>27</v>
      </c>
    </row>
    <row r="7" spans="1:3" x14ac:dyDescent="0.25">
      <c r="B7">
        <v>4</v>
      </c>
      <c r="C7" t="s">
        <v>18</v>
      </c>
    </row>
    <row r="8" spans="1:3" x14ac:dyDescent="0.25">
      <c r="B8">
        <v>5</v>
      </c>
      <c r="C8" t="s">
        <v>19</v>
      </c>
    </row>
    <row r="9" spans="1:3" x14ac:dyDescent="0.25">
      <c r="B9">
        <v>6</v>
      </c>
      <c r="C9" t="s">
        <v>21</v>
      </c>
    </row>
    <row r="10" spans="1:3" x14ac:dyDescent="0.25">
      <c r="B10">
        <v>7</v>
      </c>
      <c r="C10" t="s">
        <v>57</v>
      </c>
    </row>
    <row r="11" spans="1:3" x14ac:dyDescent="0.25">
      <c r="B11">
        <v>8</v>
      </c>
      <c r="C11" t="s">
        <v>58</v>
      </c>
    </row>
  </sheetData>
  <hyperlinks>
    <hyperlink ref="C2" r:id="rId1" xr:uid="{382D3505-2A32-4085-ABF4-E9B635869EC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3E37E-6C0C-4C6C-B66B-FC4912D918BD}">
  <dimension ref="B1:AD45"/>
  <sheetViews>
    <sheetView showGridLines="0" showRowColHeaders="0" tabSelected="1" zoomScale="90" zoomScaleNormal="90" workbookViewId="0">
      <selection activeCell="AF10" sqref="AF10"/>
    </sheetView>
  </sheetViews>
  <sheetFormatPr defaultRowHeight="15" x14ac:dyDescent="0.25"/>
  <sheetData>
    <row r="1" spans="2:30" x14ac:dyDescent="0.25"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</row>
    <row r="3" spans="2:30" x14ac:dyDescent="0.25">
      <c r="G3" s="9" t="s">
        <v>22</v>
      </c>
      <c r="H3" s="9"/>
      <c r="I3" s="9"/>
      <c r="J3" s="10"/>
      <c r="K3" s="9" t="s">
        <v>25</v>
      </c>
      <c r="L3" s="9"/>
      <c r="M3" s="9"/>
      <c r="N3" s="10"/>
      <c r="O3" s="9" t="s">
        <v>14</v>
      </c>
      <c r="P3" s="9"/>
      <c r="Q3" s="9"/>
      <c r="R3" s="10"/>
      <c r="S3" s="9" t="s">
        <v>26</v>
      </c>
      <c r="T3" s="9"/>
      <c r="U3" s="9"/>
      <c r="W3" s="13" t="s">
        <v>54</v>
      </c>
      <c r="X3" s="13"/>
      <c r="Y3" s="13"/>
      <c r="Z3" s="13"/>
      <c r="AA3" s="13"/>
      <c r="AB3" s="13"/>
    </row>
    <row r="4" spans="2:30" ht="15.75" customHeight="1" x14ac:dyDescent="0.25">
      <c r="G4" s="11">
        <f>Pivot!B3</f>
        <v>10149</v>
      </c>
      <c r="H4" s="11"/>
      <c r="I4" s="11"/>
      <c r="J4" s="10"/>
      <c r="K4" s="11">
        <f>Pivot!D3</f>
        <v>1004</v>
      </c>
      <c r="L4" s="11"/>
      <c r="M4" s="11"/>
      <c r="N4" s="10"/>
      <c r="O4" s="11">
        <f>Pivot!F3</f>
        <v>631</v>
      </c>
      <c r="P4" s="11"/>
      <c r="Q4" s="11"/>
      <c r="R4" s="10"/>
      <c r="S4" s="11">
        <f>Pivot!H3</f>
        <v>8514</v>
      </c>
      <c r="T4" s="11"/>
      <c r="U4" s="11"/>
      <c r="Y4" s="14" t="s">
        <v>55</v>
      </c>
      <c r="Z4" s="15"/>
      <c r="AA4" s="15"/>
      <c r="AB4" s="15"/>
    </row>
    <row r="5" spans="2:30" x14ac:dyDescent="0.25">
      <c r="G5" s="11"/>
      <c r="H5" s="11"/>
      <c r="I5" s="11"/>
      <c r="J5" s="10"/>
      <c r="K5" s="11"/>
      <c r="L5" s="11"/>
      <c r="M5" s="11"/>
      <c r="N5" s="10"/>
      <c r="O5" s="11"/>
      <c r="P5" s="11"/>
      <c r="Q5" s="11"/>
      <c r="R5" s="10"/>
      <c r="S5" s="11"/>
      <c r="T5" s="11"/>
      <c r="U5" s="11"/>
      <c r="Y5" s="15"/>
      <c r="Z5" s="15"/>
      <c r="AA5" s="15"/>
      <c r="AB5" s="15"/>
    </row>
    <row r="6" spans="2:30" x14ac:dyDescent="0.25">
      <c r="G6" s="11"/>
      <c r="H6" s="11"/>
      <c r="I6" s="11"/>
      <c r="J6" s="10"/>
      <c r="K6" s="11"/>
      <c r="L6" s="11"/>
      <c r="M6" s="11"/>
      <c r="N6" s="10"/>
      <c r="O6" s="11"/>
      <c r="P6" s="11"/>
      <c r="Q6" s="11"/>
      <c r="R6" s="10"/>
      <c r="S6" s="11"/>
      <c r="T6" s="11"/>
      <c r="U6" s="11"/>
      <c r="Y6" s="15"/>
      <c r="Z6" s="15"/>
      <c r="AA6" s="15"/>
      <c r="AB6" s="15"/>
    </row>
    <row r="7" spans="2:30" x14ac:dyDescent="0.25">
      <c r="G7" s="11"/>
      <c r="H7" s="11"/>
      <c r="I7" s="11"/>
      <c r="J7" s="10"/>
      <c r="K7" s="11"/>
      <c r="L7" s="11"/>
      <c r="M7" s="11"/>
      <c r="N7" s="10"/>
      <c r="O7" s="11"/>
      <c r="P7" s="11"/>
      <c r="Q7" s="11"/>
      <c r="R7" s="10"/>
      <c r="S7" s="11"/>
      <c r="T7" s="11"/>
      <c r="U7" s="11"/>
      <c r="Y7" s="15"/>
      <c r="Z7" s="15"/>
      <c r="AA7" s="15"/>
      <c r="AB7" s="15"/>
    </row>
    <row r="8" spans="2:30" x14ac:dyDescent="0.25">
      <c r="G8" s="11"/>
      <c r="H8" s="11"/>
      <c r="I8" s="11"/>
      <c r="J8" s="10"/>
      <c r="K8" s="11"/>
      <c r="L8" s="11"/>
      <c r="M8" s="11"/>
      <c r="N8" s="10"/>
      <c r="O8" s="11"/>
      <c r="P8" s="11"/>
      <c r="Q8" s="11"/>
      <c r="R8" s="10"/>
      <c r="S8" s="11"/>
      <c r="T8" s="11"/>
      <c r="U8" s="11"/>
      <c r="Y8" s="15"/>
      <c r="Z8" s="15"/>
      <c r="AA8" s="15"/>
      <c r="AB8" s="15"/>
    </row>
    <row r="9" spans="2:30" x14ac:dyDescent="0.25">
      <c r="G9" s="7"/>
      <c r="H9" s="7"/>
      <c r="I9" s="7"/>
      <c r="K9" s="8">
        <f>K4/G4</f>
        <v>9.8926002561828749E-2</v>
      </c>
      <c r="L9" s="8"/>
      <c r="M9" s="8"/>
      <c r="O9" s="8">
        <f>O4/G4</f>
        <v>6.2173613163858506E-2</v>
      </c>
      <c r="P9" s="8"/>
      <c r="Q9" s="8"/>
      <c r="S9" s="7"/>
      <c r="T9" s="7"/>
      <c r="U9" s="7"/>
    </row>
    <row r="45" spans="2:30" x14ac:dyDescent="0.25"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</row>
  </sheetData>
  <mergeCells count="15">
    <mergeCell ref="B45:AD45"/>
    <mergeCell ref="W3:AB3"/>
    <mergeCell ref="Y4:AB8"/>
    <mergeCell ref="G4:I8"/>
    <mergeCell ref="G3:I3"/>
    <mergeCell ref="G9:I9"/>
    <mergeCell ref="K3:M3"/>
    <mergeCell ref="K4:M8"/>
    <mergeCell ref="K9:M9"/>
    <mergeCell ref="O4:Q8"/>
    <mergeCell ref="O3:Q3"/>
    <mergeCell ref="S3:U3"/>
    <mergeCell ref="S4:U8"/>
    <mergeCell ref="O9:Q9"/>
    <mergeCell ref="S9:U9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7DFBF-AB79-419B-8974-DE5350C750F7}">
  <dimension ref="A1:L17"/>
  <sheetViews>
    <sheetView workbookViewId="0">
      <selection activeCell="C12" sqref="C12"/>
    </sheetView>
  </sheetViews>
  <sheetFormatPr defaultRowHeight="15" x14ac:dyDescent="0.25"/>
  <cols>
    <col min="1" max="1" width="15.85546875" bestFit="1" customWidth="1"/>
    <col min="2" max="2" width="7.7109375" bestFit="1" customWidth="1"/>
    <col min="3" max="3" width="24" bestFit="1" customWidth="1"/>
    <col min="4" max="4" width="18.85546875" bestFit="1" customWidth="1"/>
    <col min="5" max="5" width="21.42578125" bestFit="1" customWidth="1"/>
    <col min="6" max="6" width="24.7109375" bestFit="1" customWidth="1"/>
    <col min="7" max="7" width="28.7109375" bestFit="1" customWidth="1"/>
    <col min="8" max="8" width="28.42578125" bestFit="1" customWidth="1"/>
    <col min="9" max="9" width="17" bestFit="1" customWidth="1"/>
    <col min="10" max="10" width="11.140625" bestFit="1" customWidth="1"/>
    <col min="11" max="11" width="12.85546875" bestFit="1" customWidth="1"/>
    <col min="12" max="12" width="10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43885.75</v>
      </c>
      <c r="B2" s="2" t="s">
        <v>12</v>
      </c>
      <c r="C2">
        <v>101</v>
      </c>
      <c r="D2">
        <v>26</v>
      </c>
      <c r="E2">
        <v>127</v>
      </c>
      <c r="F2">
        <v>94</v>
      </c>
      <c r="G2">
        <v>221</v>
      </c>
      <c r="H2">
        <v>221</v>
      </c>
      <c r="I2">
        <v>1</v>
      </c>
      <c r="J2">
        <v>7</v>
      </c>
      <c r="K2">
        <v>229</v>
      </c>
      <c r="L2">
        <v>4324</v>
      </c>
    </row>
    <row r="3" spans="1:12" x14ac:dyDescent="0.25">
      <c r="A3" s="1">
        <v>43886.75</v>
      </c>
      <c r="B3" s="2" t="s">
        <v>12</v>
      </c>
      <c r="C3">
        <v>114</v>
      </c>
      <c r="D3">
        <v>35</v>
      </c>
      <c r="E3">
        <v>150</v>
      </c>
      <c r="F3">
        <v>162</v>
      </c>
      <c r="G3">
        <v>311</v>
      </c>
      <c r="H3">
        <v>90</v>
      </c>
      <c r="I3">
        <v>1</v>
      </c>
      <c r="J3">
        <v>10</v>
      </c>
      <c r="K3">
        <v>322</v>
      </c>
      <c r="L3">
        <v>8623</v>
      </c>
    </row>
    <row r="4" spans="1:12" x14ac:dyDescent="0.25">
      <c r="A4" s="1">
        <v>43887.75</v>
      </c>
      <c r="B4" s="2" t="s">
        <v>12</v>
      </c>
      <c r="C4">
        <v>128</v>
      </c>
      <c r="D4">
        <v>36</v>
      </c>
      <c r="E4">
        <v>164</v>
      </c>
      <c r="F4">
        <v>221</v>
      </c>
      <c r="G4">
        <v>385</v>
      </c>
      <c r="H4">
        <v>74</v>
      </c>
      <c r="I4">
        <v>3</v>
      </c>
      <c r="J4">
        <v>12</v>
      </c>
      <c r="K4">
        <v>400</v>
      </c>
      <c r="L4">
        <v>9587</v>
      </c>
    </row>
    <row r="5" spans="1:12" x14ac:dyDescent="0.25">
      <c r="A5" s="1">
        <v>43888.75</v>
      </c>
      <c r="B5" s="2" t="s">
        <v>12</v>
      </c>
      <c r="C5">
        <v>248</v>
      </c>
      <c r="D5">
        <v>56</v>
      </c>
      <c r="E5">
        <v>304</v>
      </c>
      <c r="F5">
        <v>284</v>
      </c>
      <c r="G5">
        <v>588</v>
      </c>
      <c r="H5">
        <v>203</v>
      </c>
      <c r="I5">
        <v>45</v>
      </c>
      <c r="J5">
        <v>17</v>
      </c>
      <c r="K5">
        <v>650</v>
      </c>
      <c r="L5">
        <v>12014</v>
      </c>
    </row>
    <row r="6" spans="1:12" x14ac:dyDescent="0.25">
      <c r="A6" s="1">
        <v>43889.75</v>
      </c>
      <c r="B6" s="2" t="s">
        <v>12</v>
      </c>
      <c r="C6">
        <v>345</v>
      </c>
      <c r="D6">
        <v>64</v>
      </c>
      <c r="E6">
        <v>409</v>
      </c>
      <c r="F6">
        <v>412</v>
      </c>
      <c r="G6">
        <v>821</v>
      </c>
      <c r="H6">
        <v>233</v>
      </c>
      <c r="I6">
        <v>46</v>
      </c>
      <c r="J6">
        <v>21</v>
      </c>
      <c r="K6">
        <v>888</v>
      </c>
      <c r="L6">
        <v>15695</v>
      </c>
    </row>
    <row r="7" spans="1:12" x14ac:dyDescent="0.25">
      <c r="A7" s="1">
        <v>43890.75</v>
      </c>
      <c r="B7" s="2" t="s">
        <v>12</v>
      </c>
      <c r="C7">
        <v>401</v>
      </c>
      <c r="D7">
        <v>105</v>
      </c>
      <c r="E7">
        <v>506</v>
      </c>
      <c r="F7">
        <v>543</v>
      </c>
      <c r="G7">
        <v>1049</v>
      </c>
      <c r="H7">
        <v>228</v>
      </c>
      <c r="I7">
        <v>50</v>
      </c>
      <c r="J7">
        <v>29</v>
      </c>
      <c r="K7">
        <v>1128</v>
      </c>
      <c r="L7">
        <v>18661</v>
      </c>
    </row>
    <row r="8" spans="1:12" x14ac:dyDescent="0.25">
      <c r="A8" s="1">
        <v>43891.75</v>
      </c>
      <c r="B8" s="2" t="s">
        <v>12</v>
      </c>
      <c r="C8">
        <v>639</v>
      </c>
      <c r="D8">
        <v>140</v>
      </c>
      <c r="E8">
        <v>779</v>
      </c>
      <c r="F8">
        <v>798</v>
      </c>
      <c r="G8">
        <v>1577</v>
      </c>
      <c r="H8">
        <v>528</v>
      </c>
      <c r="I8">
        <v>83</v>
      </c>
      <c r="J8">
        <v>34</v>
      </c>
      <c r="K8">
        <v>1694</v>
      </c>
      <c r="L8">
        <v>21127</v>
      </c>
    </row>
    <row r="9" spans="1:12" x14ac:dyDescent="0.25">
      <c r="A9" s="1">
        <v>43892.75</v>
      </c>
      <c r="B9" s="2" t="s">
        <v>12</v>
      </c>
      <c r="C9">
        <v>742</v>
      </c>
      <c r="D9">
        <v>166</v>
      </c>
      <c r="E9">
        <v>908</v>
      </c>
      <c r="F9">
        <v>927</v>
      </c>
      <c r="G9">
        <v>1835</v>
      </c>
      <c r="H9">
        <v>258</v>
      </c>
      <c r="I9">
        <v>149</v>
      </c>
      <c r="J9">
        <v>52</v>
      </c>
      <c r="K9">
        <v>2036</v>
      </c>
      <c r="L9">
        <v>23345</v>
      </c>
    </row>
    <row r="10" spans="1:12" x14ac:dyDescent="0.25">
      <c r="A10" s="1">
        <v>43893.75</v>
      </c>
      <c r="B10" s="2" t="s">
        <v>12</v>
      </c>
      <c r="C10">
        <v>1034</v>
      </c>
      <c r="D10">
        <v>229</v>
      </c>
      <c r="E10">
        <v>1263</v>
      </c>
      <c r="F10">
        <v>1000</v>
      </c>
      <c r="G10">
        <v>2263</v>
      </c>
      <c r="H10">
        <v>428</v>
      </c>
      <c r="I10">
        <v>160</v>
      </c>
      <c r="J10">
        <v>79</v>
      </c>
      <c r="K10">
        <v>2502</v>
      </c>
      <c r="L10">
        <v>25856</v>
      </c>
    </row>
    <row r="11" spans="1:12" x14ac:dyDescent="0.25">
      <c r="A11" s="1">
        <v>43894.75</v>
      </c>
      <c r="B11" s="2" t="s">
        <v>12</v>
      </c>
      <c r="C11">
        <v>1346</v>
      </c>
      <c r="D11">
        <v>295</v>
      </c>
      <c r="E11">
        <v>1641</v>
      </c>
      <c r="F11">
        <v>1065</v>
      </c>
      <c r="G11">
        <v>2706</v>
      </c>
      <c r="H11">
        <v>443</v>
      </c>
      <c r="I11">
        <v>276</v>
      </c>
      <c r="J11">
        <v>107</v>
      </c>
      <c r="K11">
        <v>3089</v>
      </c>
      <c r="L11">
        <v>29837</v>
      </c>
    </row>
    <row r="12" spans="1:12" x14ac:dyDescent="0.25">
      <c r="A12" s="1">
        <v>43895.75</v>
      </c>
      <c r="B12" s="2" t="s">
        <v>12</v>
      </c>
      <c r="C12">
        <v>1790</v>
      </c>
      <c r="D12">
        <v>351</v>
      </c>
      <c r="E12">
        <v>2141</v>
      </c>
      <c r="F12">
        <v>1155</v>
      </c>
      <c r="G12">
        <v>3296</v>
      </c>
      <c r="H12">
        <v>590</v>
      </c>
      <c r="I12">
        <v>414</v>
      </c>
      <c r="J12">
        <v>148</v>
      </c>
      <c r="K12">
        <v>3858</v>
      </c>
      <c r="L12">
        <v>32362</v>
      </c>
    </row>
    <row r="13" spans="1:12" x14ac:dyDescent="0.25">
      <c r="A13" s="1">
        <v>43896.75</v>
      </c>
      <c r="B13" s="2" t="s">
        <v>12</v>
      </c>
      <c r="C13">
        <v>2394</v>
      </c>
      <c r="D13">
        <v>462</v>
      </c>
      <c r="E13">
        <v>2856</v>
      </c>
      <c r="F13">
        <v>1060</v>
      </c>
      <c r="G13">
        <v>3916</v>
      </c>
      <c r="H13">
        <v>620</v>
      </c>
      <c r="I13">
        <v>523</v>
      </c>
      <c r="J13">
        <v>197</v>
      </c>
      <c r="K13">
        <v>4636</v>
      </c>
      <c r="L13">
        <v>36359</v>
      </c>
    </row>
    <row r="14" spans="1:12" x14ac:dyDescent="0.25">
      <c r="A14" s="1">
        <v>43897.75</v>
      </c>
      <c r="B14" s="2" t="s">
        <v>12</v>
      </c>
      <c r="C14">
        <v>2651</v>
      </c>
      <c r="D14">
        <v>567</v>
      </c>
      <c r="E14">
        <v>3218</v>
      </c>
      <c r="F14">
        <v>1843</v>
      </c>
      <c r="G14">
        <v>5061</v>
      </c>
      <c r="H14">
        <v>1145</v>
      </c>
      <c r="I14">
        <v>589</v>
      </c>
      <c r="J14">
        <v>233</v>
      </c>
      <c r="K14">
        <v>5883</v>
      </c>
      <c r="L14">
        <v>42062</v>
      </c>
    </row>
    <row r="15" spans="1:12" x14ac:dyDescent="0.25">
      <c r="A15" s="1">
        <v>43898.75</v>
      </c>
      <c r="B15" s="2" t="s">
        <v>12</v>
      </c>
      <c r="C15">
        <v>3557</v>
      </c>
      <c r="D15">
        <v>650</v>
      </c>
      <c r="E15">
        <v>4207</v>
      </c>
      <c r="F15">
        <v>2180</v>
      </c>
      <c r="G15">
        <v>6387</v>
      </c>
      <c r="H15">
        <v>1326</v>
      </c>
      <c r="I15">
        <v>622</v>
      </c>
      <c r="J15">
        <v>366</v>
      </c>
      <c r="K15">
        <v>7375</v>
      </c>
      <c r="L15">
        <v>49937</v>
      </c>
    </row>
    <row r="16" spans="1:12" x14ac:dyDescent="0.25">
      <c r="A16" s="1">
        <v>43899.75</v>
      </c>
      <c r="B16" s="2" t="s">
        <v>12</v>
      </c>
      <c r="C16">
        <v>4316</v>
      </c>
      <c r="D16">
        <v>733</v>
      </c>
      <c r="E16">
        <v>5049</v>
      </c>
      <c r="F16">
        <v>2936</v>
      </c>
      <c r="G16">
        <v>7985</v>
      </c>
      <c r="H16">
        <v>1598</v>
      </c>
      <c r="I16">
        <v>724</v>
      </c>
      <c r="J16">
        <v>463</v>
      </c>
      <c r="K16">
        <v>9172</v>
      </c>
      <c r="L16">
        <v>53826</v>
      </c>
    </row>
    <row r="17" spans="1:12" x14ac:dyDescent="0.25">
      <c r="A17" s="1">
        <v>43900.75</v>
      </c>
      <c r="B17" s="2" t="s">
        <v>12</v>
      </c>
      <c r="C17">
        <v>5038</v>
      </c>
      <c r="D17">
        <v>877</v>
      </c>
      <c r="E17">
        <v>5915</v>
      </c>
      <c r="F17">
        <v>2599</v>
      </c>
      <c r="G17">
        <v>8514</v>
      </c>
      <c r="H17">
        <v>529</v>
      </c>
      <c r="I17">
        <v>1004</v>
      </c>
      <c r="J17">
        <v>631</v>
      </c>
      <c r="K17">
        <v>10149</v>
      </c>
      <c r="L17">
        <v>60761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E2945-C539-40A1-A43D-88745D7B83AE}">
  <dimension ref="A1:P337"/>
  <sheetViews>
    <sheetView topLeftCell="A34" workbookViewId="0">
      <selection activeCell="D319" sqref="D319"/>
    </sheetView>
  </sheetViews>
  <sheetFormatPr defaultRowHeight="15" x14ac:dyDescent="0.25"/>
  <cols>
    <col min="1" max="1" width="15.85546875" bestFit="1" customWidth="1"/>
    <col min="2" max="2" width="7.7109375" bestFit="1" customWidth="1"/>
    <col min="3" max="3" width="17" bestFit="1" customWidth="1"/>
    <col min="4" max="4" width="25.42578125" bestFit="1" customWidth="1"/>
    <col min="5" max="6" width="11" bestFit="1" customWidth="1"/>
    <col min="7" max="7" width="24" bestFit="1" customWidth="1"/>
    <col min="8" max="8" width="18.85546875" bestFit="1" customWidth="1"/>
    <col min="9" max="9" width="21.42578125" bestFit="1" customWidth="1"/>
    <col min="10" max="10" width="24.7109375" bestFit="1" customWidth="1"/>
    <col min="11" max="11" width="28.7109375" bestFit="1" customWidth="1"/>
    <col min="12" max="12" width="28.42578125" bestFit="1" customWidth="1"/>
    <col min="13" max="13" width="17" bestFit="1" customWidth="1"/>
    <col min="14" max="14" width="11.140625" bestFit="1" customWidth="1"/>
    <col min="15" max="15" width="12.85546875" bestFit="1" customWidth="1"/>
    <col min="16" max="16" width="10.7109375" bestFit="1" customWidth="1"/>
  </cols>
  <sheetData>
    <row r="1" spans="1:16" x14ac:dyDescent="0.25">
      <c r="A1" t="s">
        <v>0</v>
      </c>
      <c r="B1" t="s">
        <v>1</v>
      </c>
      <c r="C1" t="s">
        <v>29</v>
      </c>
      <c r="D1" t="s">
        <v>30</v>
      </c>
      <c r="E1" t="s">
        <v>31</v>
      </c>
      <c r="F1" t="s">
        <v>32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 x14ac:dyDescent="0.25">
      <c r="A2" s="1">
        <v>43885.75</v>
      </c>
      <c r="B2" s="2" t="s">
        <v>12</v>
      </c>
      <c r="C2">
        <v>13</v>
      </c>
      <c r="D2" s="2" t="s">
        <v>33</v>
      </c>
      <c r="E2">
        <v>4235122196</v>
      </c>
      <c r="F2">
        <v>1339843823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5</v>
      </c>
    </row>
    <row r="3" spans="1:16" x14ac:dyDescent="0.25">
      <c r="A3" s="1">
        <v>43885.75</v>
      </c>
      <c r="B3" s="2" t="s">
        <v>12</v>
      </c>
      <c r="C3">
        <v>17</v>
      </c>
      <c r="D3" s="2" t="s">
        <v>34</v>
      </c>
      <c r="E3">
        <v>4063947052</v>
      </c>
      <c r="F3">
        <v>1580514834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5">
      <c r="A4" s="1">
        <v>43885.75</v>
      </c>
      <c r="B4" s="2" t="s">
        <v>12</v>
      </c>
      <c r="C4">
        <v>4</v>
      </c>
      <c r="D4" s="2" t="s">
        <v>35</v>
      </c>
      <c r="E4">
        <v>4649933453</v>
      </c>
      <c r="F4">
        <v>1135662422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</row>
    <row r="5" spans="1:16" x14ac:dyDescent="0.25">
      <c r="A5" s="1">
        <v>43885.75</v>
      </c>
      <c r="B5" s="2" t="s">
        <v>12</v>
      </c>
      <c r="C5">
        <v>18</v>
      </c>
      <c r="D5" s="2" t="s">
        <v>36</v>
      </c>
      <c r="E5">
        <v>3890597598</v>
      </c>
      <c r="F5">
        <v>1659440194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</row>
    <row r="6" spans="1:16" x14ac:dyDescent="0.25">
      <c r="A6" s="1">
        <v>43885.75</v>
      </c>
      <c r="B6" s="2" t="s">
        <v>12</v>
      </c>
      <c r="C6">
        <v>15</v>
      </c>
      <c r="D6" s="2" t="s">
        <v>37</v>
      </c>
      <c r="E6">
        <v>4083956555</v>
      </c>
      <c r="F6">
        <v>1425084984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10</v>
      </c>
    </row>
    <row r="7" spans="1:16" x14ac:dyDescent="0.25">
      <c r="A7" s="1">
        <v>43885.75</v>
      </c>
      <c r="B7" s="2" t="s">
        <v>12</v>
      </c>
      <c r="C7">
        <v>8</v>
      </c>
      <c r="D7" s="2" t="s">
        <v>38</v>
      </c>
      <c r="E7">
        <v>4449436681</v>
      </c>
      <c r="F7">
        <v>113417208</v>
      </c>
      <c r="G7">
        <v>10</v>
      </c>
      <c r="H7">
        <v>2</v>
      </c>
      <c r="I7">
        <v>12</v>
      </c>
      <c r="J7">
        <v>6</v>
      </c>
      <c r="K7">
        <v>18</v>
      </c>
      <c r="L7">
        <v>18</v>
      </c>
      <c r="M7">
        <v>0</v>
      </c>
      <c r="N7">
        <v>0</v>
      </c>
      <c r="O7">
        <v>18</v>
      </c>
      <c r="P7">
        <v>148</v>
      </c>
    </row>
    <row r="8" spans="1:16" x14ac:dyDescent="0.25">
      <c r="A8" s="1">
        <v>43885.75</v>
      </c>
      <c r="B8" s="2" t="s">
        <v>12</v>
      </c>
      <c r="C8">
        <v>6</v>
      </c>
      <c r="D8" s="2" t="s">
        <v>39</v>
      </c>
      <c r="E8">
        <v>456494354</v>
      </c>
      <c r="F8">
        <v>1376813649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58</v>
      </c>
    </row>
    <row r="9" spans="1:16" x14ac:dyDescent="0.25">
      <c r="A9" s="1">
        <v>43885.75</v>
      </c>
      <c r="B9" s="2" t="s">
        <v>12</v>
      </c>
      <c r="C9">
        <v>12</v>
      </c>
      <c r="D9" s="2" t="s">
        <v>40</v>
      </c>
      <c r="E9">
        <v>4189277044</v>
      </c>
      <c r="F9">
        <v>1248366722</v>
      </c>
      <c r="G9">
        <v>1</v>
      </c>
      <c r="H9">
        <v>1</v>
      </c>
      <c r="I9">
        <v>2</v>
      </c>
      <c r="J9">
        <v>0</v>
      </c>
      <c r="K9">
        <v>2</v>
      </c>
      <c r="L9">
        <v>2</v>
      </c>
      <c r="M9">
        <v>1</v>
      </c>
      <c r="N9">
        <v>0</v>
      </c>
      <c r="O9">
        <v>3</v>
      </c>
      <c r="P9">
        <v>124</v>
      </c>
    </row>
    <row r="10" spans="1:16" x14ac:dyDescent="0.25">
      <c r="A10" s="1">
        <v>43885.75</v>
      </c>
      <c r="B10" s="2" t="s">
        <v>12</v>
      </c>
      <c r="C10">
        <v>7</v>
      </c>
      <c r="D10" s="2" t="s">
        <v>41</v>
      </c>
      <c r="E10">
        <v>4441149315</v>
      </c>
      <c r="F10">
        <v>89326992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</row>
    <row r="11" spans="1:16" x14ac:dyDescent="0.25">
      <c r="A11" s="1">
        <v>43885.75</v>
      </c>
      <c r="B11" s="2" t="s">
        <v>12</v>
      </c>
      <c r="C11">
        <v>3</v>
      </c>
      <c r="D11" s="2" t="s">
        <v>42</v>
      </c>
      <c r="E11">
        <v>4546679409</v>
      </c>
      <c r="F11">
        <v>9190347404</v>
      </c>
      <c r="G11">
        <v>76</v>
      </c>
      <c r="H11">
        <v>19</v>
      </c>
      <c r="I11">
        <v>95</v>
      </c>
      <c r="J11">
        <v>71</v>
      </c>
      <c r="K11">
        <v>166</v>
      </c>
      <c r="L11">
        <v>166</v>
      </c>
      <c r="M11">
        <v>0</v>
      </c>
      <c r="N11">
        <v>6</v>
      </c>
      <c r="O11">
        <v>172</v>
      </c>
      <c r="P11">
        <v>1463</v>
      </c>
    </row>
    <row r="12" spans="1:16" x14ac:dyDescent="0.25">
      <c r="A12" s="1">
        <v>43885.75</v>
      </c>
      <c r="B12" s="2" t="s">
        <v>12</v>
      </c>
      <c r="C12">
        <v>11</v>
      </c>
      <c r="D12" s="2" t="s">
        <v>43</v>
      </c>
      <c r="E12">
        <v>4361675973</v>
      </c>
      <c r="F12">
        <v>135188753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16</v>
      </c>
    </row>
    <row r="13" spans="1:16" x14ac:dyDescent="0.25">
      <c r="A13" s="1">
        <v>43885.75</v>
      </c>
      <c r="B13" s="2" t="s">
        <v>12</v>
      </c>
      <c r="C13">
        <v>14</v>
      </c>
      <c r="D13" s="2" t="s">
        <v>44</v>
      </c>
      <c r="E13">
        <v>4155774754</v>
      </c>
      <c r="F13">
        <v>1465916051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25">
      <c r="A14" s="1">
        <v>43885.75</v>
      </c>
      <c r="B14" s="2" t="s">
        <v>12</v>
      </c>
      <c r="C14">
        <v>1</v>
      </c>
      <c r="D14" s="2" t="s">
        <v>45</v>
      </c>
      <c r="E14">
        <v>450732745</v>
      </c>
      <c r="F14">
        <v>7680687483</v>
      </c>
      <c r="G14">
        <v>2</v>
      </c>
      <c r="H14">
        <v>0</v>
      </c>
      <c r="I14">
        <v>2</v>
      </c>
      <c r="J14">
        <v>1</v>
      </c>
      <c r="K14">
        <v>3</v>
      </c>
      <c r="L14">
        <v>3</v>
      </c>
      <c r="M14">
        <v>0</v>
      </c>
      <c r="N14">
        <v>0</v>
      </c>
      <c r="O14">
        <v>3</v>
      </c>
      <c r="P14">
        <v>141</v>
      </c>
    </row>
    <row r="15" spans="1:16" x14ac:dyDescent="0.25">
      <c r="A15" s="1">
        <v>43885.75</v>
      </c>
      <c r="B15" s="2" t="s">
        <v>12</v>
      </c>
      <c r="C15">
        <v>16</v>
      </c>
      <c r="D15" s="2" t="s">
        <v>46</v>
      </c>
      <c r="E15">
        <v>4112559576</v>
      </c>
      <c r="F15">
        <v>1686736689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25">
      <c r="A16" s="1">
        <v>43885.75</v>
      </c>
      <c r="B16" s="2" t="s">
        <v>12</v>
      </c>
      <c r="C16">
        <v>20</v>
      </c>
      <c r="D16" s="2" t="s">
        <v>47</v>
      </c>
      <c r="E16">
        <v>3921531192</v>
      </c>
      <c r="F16">
        <v>9110616306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</row>
    <row r="17" spans="1:16" x14ac:dyDescent="0.25">
      <c r="A17" s="1">
        <v>43885.75</v>
      </c>
      <c r="B17" s="2" t="s">
        <v>12</v>
      </c>
      <c r="C17">
        <v>19</v>
      </c>
      <c r="D17" s="2" t="s">
        <v>48</v>
      </c>
      <c r="E17">
        <v>3811569725</v>
      </c>
      <c r="F17">
        <v>133623567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5</v>
      </c>
    </row>
    <row r="18" spans="1:16" x14ac:dyDescent="0.25">
      <c r="A18" s="1">
        <v>43885.75</v>
      </c>
      <c r="B18" s="2" t="s">
        <v>12</v>
      </c>
      <c r="C18">
        <v>9</v>
      </c>
      <c r="D18" s="2" t="s">
        <v>49</v>
      </c>
      <c r="E18">
        <v>4376923077</v>
      </c>
      <c r="F18">
        <v>1125588885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140</v>
      </c>
    </row>
    <row r="19" spans="1:16" x14ac:dyDescent="0.25">
      <c r="A19" s="1">
        <v>43885.75</v>
      </c>
      <c r="B19" s="2" t="s">
        <v>12</v>
      </c>
      <c r="C19">
        <v>4</v>
      </c>
      <c r="D19" s="2" t="s">
        <v>50</v>
      </c>
      <c r="E19">
        <v>4606893511</v>
      </c>
      <c r="F19">
        <v>1112123097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</v>
      </c>
    </row>
    <row r="20" spans="1:16" x14ac:dyDescent="0.25">
      <c r="A20" s="1">
        <v>43885.75</v>
      </c>
      <c r="B20" s="2" t="s">
        <v>12</v>
      </c>
      <c r="C20">
        <v>10</v>
      </c>
      <c r="D20" s="2" t="s">
        <v>51</v>
      </c>
      <c r="E20">
        <v>4310675841</v>
      </c>
      <c r="F20">
        <v>1238824698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25">
      <c r="A21" s="1">
        <v>43885.75</v>
      </c>
      <c r="B21" s="2" t="s">
        <v>12</v>
      </c>
      <c r="C21">
        <v>2</v>
      </c>
      <c r="D21" s="2" t="s">
        <v>52</v>
      </c>
      <c r="E21">
        <v>4573750286</v>
      </c>
      <c r="F21">
        <v>7320149366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7</v>
      </c>
    </row>
    <row r="22" spans="1:16" x14ac:dyDescent="0.25">
      <c r="A22" s="1">
        <v>43885.75</v>
      </c>
      <c r="B22" s="2" t="s">
        <v>12</v>
      </c>
      <c r="C22">
        <v>5</v>
      </c>
      <c r="D22" s="2" t="s">
        <v>53</v>
      </c>
      <c r="E22">
        <v>4543490485</v>
      </c>
      <c r="F22">
        <v>1233845213</v>
      </c>
      <c r="G22">
        <v>12</v>
      </c>
      <c r="H22">
        <v>4</v>
      </c>
      <c r="I22">
        <v>16</v>
      </c>
      <c r="J22">
        <v>16</v>
      </c>
      <c r="K22">
        <v>32</v>
      </c>
      <c r="L22">
        <v>32</v>
      </c>
      <c r="M22">
        <v>0</v>
      </c>
      <c r="N22">
        <v>1</v>
      </c>
      <c r="O22">
        <v>33</v>
      </c>
      <c r="P22">
        <v>2200</v>
      </c>
    </row>
    <row r="23" spans="1:16" x14ac:dyDescent="0.25">
      <c r="A23" s="1">
        <v>43886.75</v>
      </c>
      <c r="B23" s="2" t="s">
        <v>12</v>
      </c>
      <c r="C23">
        <v>13</v>
      </c>
      <c r="D23" s="2" t="s">
        <v>33</v>
      </c>
      <c r="E23">
        <v>4235122196</v>
      </c>
      <c r="F23">
        <v>1339843823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5</v>
      </c>
    </row>
    <row r="24" spans="1:16" x14ac:dyDescent="0.25">
      <c r="A24" s="1">
        <v>43886.75</v>
      </c>
      <c r="B24" s="2" t="s">
        <v>12</v>
      </c>
      <c r="C24">
        <v>17</v>
      </c>
      <c r="D24" s="2" t="s">
        <v>34</v>
      </c>
      <c r="E24">
        <v>4063947052</v>
      </c>
      <c r="F24">
        <v>1580514834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25">
      <c r="A25" s="1">
        <v>43886.75</v>
      </c>
      <c r="B25" s="2" t="s">
        <v>12</v>
      </c>
      <c r="C25">
        <v>4</v>
      </c>
      <c r="D25" s="2" t="s">
        <v>35</v>
      </c>
      <c r="E25">
        <v>4649933453</v>
      </c>
      <c r="F25">
        <v>1135662422</v>
      </c>
      <c r="G25">
        <v>1</v>
      </c>
      <c r="H25">
        <v>0</v>
      </c>
      <c r="I25">
        <v>1</v>
      </c>
      <c r="J25">
        <v>0</v>
      </c>
      <c r="K25">
        <v>1</v>
      </c>
      <c r="L25">
        <v>1</v>
      </c>
      <c r="M25">
        <v>0</v>
      </c>
      <c r="N25">
        <v>0</v>
      </c>
      <c r="O25">
        <v>1</v>
      </c>
      <c r="P25">
        <v>1</v>
      </c>
    </row>
    <row r="26" spans="1:16" x14ac:dyDescent="0.25">
      <c r="A26" s="1">
        <v>43886.75</v>
      </c>
      <c r="B26" s="2" t="s">
        <v>12</v>
      </c>
      <c r="C26">
        <v>18</v>
      </c>
      <c r="D26" s="2" t="s">
        <v>36</v>
      </c>
      <c r="E26">
        <v>3890597598</v>
      </c>
      <c r="F26">
        <v>1659440194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</v>
      </c>
    </row>
    <row r="27" spans="1:16" x14ac:dyDescent="0.25">
      <c r="A27" s="1">
        <v>43886.75</v>
      </c>
      <c r="B27" s="2" t="s">
        <v>12</v>
      </c>
      <c r="C27">
        <v>15</v>
      </c>
      <c r="D27" s="2" t="s">
        <v>37</v>
      </c>
      <c r="E27">
        <v>4083956555</v>
      </c>
      <c r="F27">
        <v>1425084984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10</v>
      </c>
    </row>
    <row r="28" spans="1:16" x14ac:dyDescent="0.25">
      <c r="A28" s="1">
        <v>43886.75</v>
      </c>
      <c r="B28" s="2" t="s">
        <v>12</v>
      </c>
      <c r="C28">
        <v>8</v>
      </c>
      <c r="D28" s="2" t="s">
        <v>38</v>
      </c>
      <c r="E28">
        <v>4449436681</v>
      </c>
      <c r="F28">
        <v>113417208</v>
      </c>
      <c r="G28">
        <v>15</v>
      </c>
      <c r="H28">
        <v>2</v>
      </c>
      <c r="I28">
        <v>17</v>
      </c>
      <c r="J28">
        <v>9</v>
      </c>
      <c r="K28">
        <v>26</v>
      </c>
      <c r="L28">
        <v>8</v>
      </c>
      <c r="M28">
        <v>0</v>
      </c>
      <c r="N28">
        <v>0</v>
      </c>
      <c r="O28">
        <v>26</v>
      </c>
      <c r="P28">
        <v>391</v>
      </c>
    </row>
    <row r="29" spans="1:16" x14ac:dyDescent="0.25">
      <c r="A29" s="1">
        <v>43886.75</v>
      </c>
      <c r="B29" s="2" t="s">
        <v>12</v>
      </c>
      <c r="C29">
        <v>6</v>
      </c>
      <c r="D29" s="2" t="s">
        <v>39</v>
      </c>
      <c r="E29">
        <v>456494354</v>
      </c>
      <c r="F29">
        <v>1376813649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89</v>
      </c>
    </row>
    <row r="30" spans="1:16" x14ac:dyDescent="0.25">
      <c r="A30" s="1">
        <v>43886.75</v>
      </c>
      <c r="B30" s="2" t="s">
        <v>12</v>
      </c>
      <c r="C30">
        <v>12</v>
      </c>
      <c r="D30" s="2" t="s">
        <v>40</v>
      </c>
      <c r="E30">
        <v>4189277044</v>
      </c>
      <c r="F30">
        <v>1248366722</v>
      </c>
      <c r="G30">
        <v>1</v>
      </c>
      <c r="H30">
        <v>1</v>
      </c>
      <c r="I30">
        <v>2</v>
      </c>
      <c r="J30">
        <v>0</v>
      </c>
      <c r="K30">
        <v>2</v>
      </c>
      <c r="L30">
        <v>0</v>
      </c>
      <c r="M30">
        <v>1</v>
      </c>
      <c r="N30">
        <v>0</v>
      </c>
      <c r="O30">
        <v>3</v>
      </c>
      <c r="P30">
        <v>124</v>
      </c>
    </row>
    <row r="31" spans="1:16" x14ac:dyDescent="0.25">
      <c r="A31" s="1">
        <v>43886.75</v>
      </c>
      <c r="B31" s="2" t="s">
        <v>12</v>
      </c>
      <c r="C31">
        <v>7</v>
      </c>
      <c r="D31" s="2" t="s">
        <v>41</v>
      </c>
      <c r="E31">
        <v>4441149315</v>
      </c>
      <c r="F31">
        <v>89326992</v>
      </c>
      <c r="G31">
        <v>1</v>
      </c>
      <c r="H31">
        <v>0</v>
      </c>
      <c r="I31">
        <v>1</v>
      </c>
      <c r="J31">
        <v>0</v>
      </c>
      <c r="K31">
        <v>1</v>
      </c>
      <c r="L31">
        <v>1</v>
      </c>
      <c r="M31">
        <v>0</v>
      </c>
      <c r="N31">
        <v>0</v>
      </c>
      <c r="O31">
        <v>1</v>
      </c>
      <c r="P31">
        <v>39</v>
      </c>
    </row>
    <row r="32" spans="1:16" x14ac:dyDescent="0.25">
      <c r="A32" s="1">
        <v>43886.75</v>
      </c>
      <c r="B32" s="2" t="s">
        <v>12</v>
      </c>
      <c r="C32">
        <v>3</v>
      </c>
      <c r="D32" s="2" t="s">
        <v>42</v>
      </c>
      <c r="E32">
        <v>4546679409</v>
      </c>
      <c r="F32">
        <v>9190347404</v>
      </c>
      <c r="G32">
        <v>79</v>
      </c>
      <c r="H32">
        <v>25</v>
      </c>
      <c r="I32">
        <v>104</v>
      </c>
      <c r="J32">
        <v>127</v>
      </c>
      <c r="K32">
        <v>231</v>
      </c>
      <c r="L32">
        <v>65</v>
      </c>
      <c r="M32">
        <v>0</v>
      </c>
      <c r="N32">
        <v>9</v>
      </c>
      <c r="O32">
        <v>240</v>
      </c>
      <c r="P32">
        <v>3700</v>
      </c>
    </row>
    <row r="33" spans="1:16" x14ac:dyDescent="0.25">
      <c r="A33" s="1">
        <v>43886.75</v>
      </c>
      <c r="B33" s="2" t="s">
        <v>12</v>
      </c>
      <c r="C33">
        <v>11</v>
      </c>
      <c r="D33" s="2" t="s">
        <v>43</v>
      </c>
      <c r="E33">
        <v>4361675973</v>
      </c>
      <c r="F33">
        <v>135188753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21</v>
      </c>
    </row>
    <row r="34" spans="1:16" x14ac:dyDescent="0.25">
      <c r="A34" s="1">
        <v>43886.75</v>
      </c>
      <c r="B34" s="2" t="s">
        <v>12</v>
      </c>
      <c r="C34">
        <v>14</v>
      </c>
      <c r="D34" s="2" t="s">
        <v>44</v>
      </c>
      <c r="E34">
        <v>4155774754</v>
      </c>
      <c r="F34">
        <v>1465916051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 x14ac:dyDescent="0.25">
      <c r="A35" s="1">
        <v>43886.75</v>
      </c>
      <c r="B35" s="2" t="s">
        <v>12</v>
      </c>
      <c r="C35">
        <v>1</v>
      </c>
      <c r="D35" s="2" t="s">
        <v>45</v>
      </c>
      <c r="E35">
        <v>450732745</v>
      </c>
      <c r="F35">
        <v>7680687483</v>
      </c>
      <c r="G35">
        <v>2</v>
      </c>
      <c r="H35">
        <v>0</v>
      </c>
      <c r="I35">
        <v>2</v>
      </c>
      <c r="J35">
        <v>1</v>
      </c>
      <c r="K35">
        <v>3</v>
      </c>
      <c r="L35">
        <v>0</v>
      </c>
      <c r="M35">
        <v>0</v>
      </c>
      <c r="N35">
        <v>0</v>
      </c>
      <c r="O35">
        <v>3</v>
      </c>
      <c r="P35">
        <v>141</v>
      </c>
    </row>
    <row r="36" spans="1:16" x14ac:dyDescent="0.25">
      <c r="A36" s="1">
        <v>43886.75</v>
      </c>
      <c r="B36" s="2" t="s">
        <v>12</v>
      </c>
      <c r="C36">
        <v>16</v>
      </c>
      <c r="D36" s="2" t="s">
        <v>46</v>
      </c>
      <c r="E36">
        <v>4112559576</v>
      </c>
      <c r="F36">
        <v>1686736689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x14ac:dyDescent="0.25">
      <c r="A37" s="1">
        <v>43886.75</v>
      </c>
      <c r="B37" s="2" t="s">
        <v>12</v>
      </c>
      <c r="C37">
        <v>20</v>
      </c>
      <c r="D37" s="2" t="s">
        <v>47</v>
      </c>
      <c r="E37">
        <v>3921531192</v>
      </c>
      <c r="F37">
        <v>9110616306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</row>
    <row r="38" spans="1:16" x14ac:dyDescent="0.25">
      <c r="A38" s="1">
        <v>43886.75</v>
      </c>
      <c r="B38" s="2" t="s">
        <v>12</v>
      </c>
      <c r="C38">
        <v>19</v>
      </c>
      <c r="D38" s="2" t="s">
        <v>48</v>
      </c>
      <c r="E38">
        <v>3811569725</v>
      </c>
      <c r="F38">
        <v>133623567</v>
      </c>
      <c r="G38">
        <v>1</v>
      </c>
      <c r="H38">
        <v>0</v>
      </c>
      <c r="I38">
        <v>2</v>
      </c>
      <c r="J38">
        <v>2</v>
      </c>
      <c r="K38">
        <v>3</v>
      </c>
      <c r="L38">
        <v>3</v>
      </c>
      <c r="M38">
        <v>0</v>
      </c>
      <c r="N38">
        <v>0</v>
      </c>
      <c r="O38">
        <v>3</v>
      </c>
      <c r="P38">
        <v>5</v>
      </c>
    </row>
    <row r="39" spans="1:16" x14ac:dyDescent="0.25">
      <c r="A39" s="1">
        <v>43886.75</v>
      </c>
      <c r="B39" s="2" t="s">
        <v>12</v>
      </c>
      <c r="C39">
        <v>9</v>
      </c>
      <c r="D39" s="2" t="s">
        <v>49</v>
      </c>
      <c r="E39">
        <v>4376923077</v>
      </c>
      <c r="F39">
        <v>1125588885</v>
      </c>
      <c r="G39">
        <v>2</v>
      </c>
      <c r="H39">
        <v>0</v>
      </c>
      <c r="I39">
        <v>2</v>
      </c>
      <c r="J39">
        <v>0</v>
      </c>
      <c r="K39">
        <v>2</v>
      </c>
      <c r="L39">
        <v>2</v>
      </c>
      <c r="M39">
        <v>0</v>
      </c>
      <c r="N39">
        <v>0</v>
      </c>
      <c r="O39">
        <v>2</v>
      </c>
      <c r="P39">
        <v>296</v>
      </c>
    </row>
    <row r="40" spans="1:16" x14ac:dyDescent="0.25">
      <c r="A40" s="1">
        <v>43886.75</v>
      </c>
      <c r="B40" s="2" t="s">
        <v>12</v>
      </c>
      <c r="C40">
        <v>4</v>
      </c>
      <c r="D40" s="2" t="s">
        <v>50</v>
      </c>
      <c r="E40">
        <v>4606893511</v>
      </c>
      <c r="F40">
        <v>1112123097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3</v>
      </c>
    </row>
    <row r="41" spans="1:16" x14ac:dyDescent="0.25">
      <c r="A41" s="1">
        <v>43886.75</v>
      </c>
      <c r="B41" s="2" t="s">
        <v>12</v>
      </c>
      <c r="C41">
        <v>10</v>
      </c>
      <c r="D41" s="2" t="s">
        <v>51</v>
      </c>
      <c r="E41">
        <v>4310675841</v>
      </c>
      <c r="F41">
        <v>1238824698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8</v>
      </c>
    </row>
    <row r="42" spans="1:16" x14ac:dyDescent="0.25">
      <c r="A42" s="1">
        <v>43886.75</v>
      </c>
      <c r="B42" s="2" t="s">
        <v>12</v>
      </c>
      <c r="C42">
        <v>2</v>
      </c>
      <c r="D42" s="2" t="s">
        <v>52</v>
      </c>
      <c r="E42">
        <v>4573750286</v>
      </c>
      <c r="F42">
        <v>7320149366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7</v>
      </c>
    </row>
    <row r="43" spans="1:16" x14ac:dyDescent="0.25">
      <c r="A43" s="1">
        <v>43886.75</v>
      </c>
      <c r="B43" s="2" t="s">
        <v>12</v>
      </c>
      <c r="C43">
        <v>5</v>
      </c>
      <c r="D43" s="2" t="s">
        <v>53</v>
      </c>
      <c r="E43">
        <v>4543490485</v>
      </c>
      <c r="F43">
        <v>1233845213</v>
      </c>
      <c r="G43">
        <v>12</v>
      </c>
      <c r="H43">
        <v>7</v>
      </c>
      <c r="I43">
        <v>19</v>
      </c>
      <c r="J43">
        <v>23</v>
      </c>
      <c r="K43">
        <v>42</v>
      </c>
      <c r="L43">
        <v>10</v>
      </c>
      <c r="M43">
        <v>0</v>
      </c>
      <c r="N43">
        <v>1</v>
      </c>
      <c r="O43">
        <v>43</v>
      </c>
      <c r="P43">
        <v>3780</v>
      </c>
    </row>
    <row r="44" spans="1:16" x14ac:dyDescent="0.25">
      <c r="A44" s="1">
        <v>43887.75</v>
      </c>
      <c r="B44" s="2" t="s">
        <v>12</v>
      </c>
      <c r="C44">
        <v>13</v>
      </c>
      <c r="D44" s="2" t="s">
        <v>33</v>
      </c>
      <c r="E44">
        <v>4235122196</v>
      </c>
      <c r="F44">
        <v>1339843823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13</v>
      </c>
    </row>
    <row r="45" spans="1:16" x14ac:dyDescent="0.25">
      <c r="A45" s="1">
        <v>43887.75</v>
      </c>
      <c r="B45" s="2" t="s">
        <v>12</v>
      </c>
      <c r="C45">
        <v>17</v>
      </c>
      <c r="D45" s="2" t="s">
        <v>34</v>
      </c>
      <c r="E45">
        <v>4063947052</v>
      </c>
      <c r="F45">
        <v>1580514834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 x14ac:dyDescent="0.25">
      <c r="A46" s="1">
        <v>43887.75</v>
      </c>
      <c r="B46" s="2" t="s">
        <v>12</v>
      </c>
      <c r="C46">
        <v>4</v>
      </c>
      <c r="D46" s="2" t="s">
        <v>35</v>
      </c>
      <c r="E46">
        <v>4649933453</v>
      </c>
      <c r="F46">
        <v>1135662422</v>
      </c>
      <c r="G46">
        <v>1</v>
      </c>
      <c r="H46">
        <v>0</v>
      </c>
      <c r="I46">
        <v>1</v>
      </c>
      <c r="J46">
        <v>0</v>
      </c>
      <c r="K46">
        <v>1</v>
      </c>
      <c r="L46">
        <v>0</v>
      </c>
      <c r="M46">
        <v>0</v>
      </c>
      <c r="N46">
        <v>0</v>
      </c>
      <c r="O46">
        <v>1</v>
      </c>
      <c r="P46">
        <v>1</v>
      </c>
    </row>
    <row r="47" spans="1:16" x14ac:dyDescent="0.25">
      <c r="A47" s="1">
        <v>43887.75</v>
      </c>
      <c r="B47" s="2" t="s">
        <v>12</v>
      </c>
      <c r="C47">
        <v>18</v>
      </c>
      <c r="D47" s="2" t="s">
        <v>36</v>
      </c>
      <c r="E47">
        <v>3890597598</v>
      </c>
      <c r="F47">
        <v>1659440194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3</v>
      </c>
    </row>
    <row r="48" spans="1:16" x14ac:dyDescent="0.25">
      <c r="A48" s="1">
        <v>43887.75</v>
      </c>
      <c r="B48" s="2" t="s">
        <v>12</v>
      </c>
      <c r="C48">
        <v>15</v>
      </c>
      <c r="D48" s="2" t="s">
        <v>37</v>
      </c>
      <c r="E48">
        <v>4083956555</v>
      </c>
      <c r="F48">
        <v>1425084984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10</v>
      </c>
    </row>
    <row r="49" spans="1:16" x14ac:dyDescent="0.25">
      <c r="A49" s="1">
        <v>43887.75</v>
      </c>
      <c r="B49" s="2" t="s">
        <v>12</v>
      </c>
      <c r="C49">
        <v>8</v>
      </c>
      <c r="D49" s="2" t="s">
        <v>38</v>
      </c>
      <c r="E49">
        <v>4449436681</v>
      </c>
      <c r="F49">
        <v>113417208</v>
      </c>
      <c r="G49">
        <v>20</v>
      </c>
      <c r="H49">
        <v>3</v>
      </c>
      <c r="I49">
        <v>23</v>
      </c>
      <c r="J49">
        <v>23</v>
      </c>
      <c r="K49">
        <v>46</v>
      </c>
      <c r="L49">
        <v>20</v>
      </c>
      <c r="M49">
        <v>0</v>
      </c>
      <c r="N49">
        <v>1</v>
      </c>
      <c r="O49">
        <v>47</v>
      </c>
      <c r="P49">
        <v>577</v>
      </c>
    </row>
    <row r="50" spans="1:16" x14ac:dyDescent="0.25">
      <c r="A50" s="1">
        <v>43887.75</v>
      </c>
      <c r="B50" s="2" t="s">
        <v>12</v>
      </c>
      <c r="C50">
        <v>6</v>
      </c>
      <c r="D50" s="2" t="s">
        <v>39</v>
      </c>
      <c r="E50">
        <v>456494354</v>
      </c>
      <c r="F50">
        <v>1376813649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114</v>
      </c>
    </row>
    <row r="51" spans="1:16" x14ac:dyDescent="0.25">
      <c r="A51" s="1">
        <v>43887.75</v>
      </c>
      <c r="B51" s="2" t="s">
        <v>12</v>
      </c>
      <c r="C51">
        <v>12</v>
      </c>
      <c r="D51" s="2" t="s">
        <v>40</v>
      </c>
      <c r="E51">
        <v>4189277044</v>
      </c>
      <c r="F51">
        <v>1248366722</v>
      </c>
      <c r="G51">
        <v>0</v>
      </c>
      <c r="H51">
        <v>0</v>
      </c>
      <c r="I51">
        <v>0</v>
      </c>
      <c r="J51">
        <v>0</v>
      </c>
      <c r="K51">
        <v>0</v>
      </c>
      <c r="L51">
        <v>-2</v>
      </c>
      <c r="M51">
        <v>3</v>
      </c>
      <c r="N51">
        <v>0</v>
      </c>
      <c r="O51">
        <v>3</v>
      </c>
      <c r="P51">
        <v>124</v>
      </c>
    </row>
    <row r="52" spans="1:16" x14ac:dyDescent="0.25">
      <c r="A52" s="1">
        <v>43887.75</v>
      </c>
      <c r="B52" s="2" t="s">
        <v>12</v>
      </c>
      <c r="C52">
        <v>7</v>
      </c>
      <c r="D52" s="2" t="s">
        <v>41</v>
      </c>
      <c r="E52">
        <v>4441149315</v>
      </c>
      <c r="F52">
        <v>89326992</v>
      </c>
      <c r="G52">
        <v>6</v>
      </c>
      <c r="H52">
        <v>0</v>
      </c>
      <c r="I52">
        <v>6</v>
      </c>
      <c r="J52">
        <v>5</v>
      </c>
      <c r="K52">
        <v>11</v>
      </c>
      <c r="L52">
        <v>10</v>
      </c>
      <c r="M52">
        <v>0</v>
      </c>
      <c r="N52">
        <v>0</v>
      </c>
      <c r="O52">
        <v>11</v>
      </c>
      <c r="P52">
        <v>66</v>
      </c>
    </row>
    <row r="53" spans="1:16" x14ac:dyDescent="0.25">
      <c r="A53" s="1">
        <v>43887.75</v>
      </c>
      <c r="B53" s="2" t="s">
        <v>12</v>
      </c>
      <c r="C53">
        <v>3</v>
      </c>
      <c r="D53" s="2" t="s">
        <v>42</v>
      </c>
      <c r="E53">
        <v>4546679409</v>
      </c>
      <c r="F53">
        <v>9190347404</v>
      </c>
      <c r="G53">
        <v>79</v>
      </c>
      <c r="H53">
        <v>25</v>
      </c>
      <c r="I53">
        <v>104</v>
      </c>
      <c r="J53">
        <v>145</v>
      </c>
      <c r="K53">
        <v>249</v>
      </c>
      <c r="L53">
        <v>18</v>
      </c>
      <c r="M53">
        <v>0</v>
      </c>
      <c r="N53">
        <v>9</v>
      </c>
      <c r="O53">
        <v>258</v>
      </c>
      <c r="P53">
        <v>3208</v>
      </c>
    </row>
    <row r="54" spans="1:16" x14ac:dyDescent="0.25">
      <c r="A54" s="1">
        <v>43887.75</v>
      </c>
      <c r="B54" s="2" t="s">
        <v>12</v>
      </c>
      <c r="C54">
        <v>11</v>
      </c>
      <c r="D54" s="2" t="s">
        <v>43</v>
      </c>
      <c r="E54">
        <v>4361675973</v>
      </c>
      <c r="F54">
        <v>135188753</v>
      </c>
      <c r="G54">
        <v>1</v>
      </c>
      <c r="H54">
        <v>0</v>
      </c>
      <c r="I54">
        <v>1</v>
      </c>
      <c r="J54">
        <v>0</v>
      </c>
      <c r="K54">
        <v>1</v>
      </c>
      <c r="L54">
        <v>1</v>
      </c>
      <c r="M54">
        <v>0</v>
      </c>
      <c r="N54">
        <v>0</v>
      </c>
      <c r="O54">
        <v>1</v>
      </c>
      <c r="P54">
        <v>28</v>
      </c>
    </row>
    <row r="55" spans="1:16" x14ac:dyDescent="0.25">
      <c r="A55" s="1">
        <v>43887.75</v>
      </c>
      <c r="B55" s="2" t="s">
        <v>12</v>
      </c>
      <c r="C55">
        <v>14</v>
      </c>
      <c r="D55" s="2" t="s">
        <v>44</v>
      </c>
      <c r="E55">
        <v>4155774754</v>
      </c>
      <c r="F55">
        <v>1465916051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 x14ac:dyDescent="0.25">
      <c r="A56" s="1">
        <v>43887.75</v>
      </c>
      <c r="B56" s="2" t="s">
        <v>12</v>
      </c>
      <c r="C56">
        <v>1</v>
      </c>
      <c r="D56" s="2" t="s">
        <v>45</v>
      </c>
      <c r="E56">
        <v>450732745</v>
      </c>
      <c r="F56">
        <v>7680687483</v>
      </c>
      <c r="G56">
        <v>2</v>
      </c>
      <c r="H56">
        <v>0</v>
      </c>
      <c r="I56">
        <v>2</v>
      </c>
      <c r="J56">
        <v>1</v>
      </c>
      <c r="K56">
        <v>3</v>
      </c>
      <c r="L56">
        <v>0</v>
      </c>
      <c r="M56">
        <v>0</v>
      </c>
      <c r="N56">
        <v>0</v>
      </c>
      <c r="O56">
        <v>3</v>
      </c>
      <c r="P56">
        <v>156</v>
      </c>
    </row>
    <row r="57" spans="1:16" x14ac:dyDescent="0.25">
      <c r="A57" s="1">
        <v>43887.75</v>
      </c>
      <c r="B57" s="2" t="s">
        <v>12</v>
      </c>
      <c r="C57">
        <v>16</v>
      </c>
      <c r="D57" s="2" t="s">
        <v>46</v>
      </c>
      <c r="E57">
        <v>4112559576</v>
      </c>
      <c r="F57">
        <v>1686736689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 x14ac:dyDescent="0.25">
      <c r="A58" s="1">
        <v>43887.75</v>
      </c>
      <c r="B58" s="2" t="s">
        <v>12</v>
      </c>
      <c r="C58">
        <v>20</v>
      </c>
      <c r="D58" s="2" t="s">
        <v>47</v>
      </c>
      <c r="E58">
        <v>3921531192</v>
      </c>
      <c r="F58">
        <v>9110616306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</row>
    <row r="59" spans="1:16" x14ac:dyDescent="0.25">
      <c r="A59" s="1">
        <v>43887.75</v>
      </c>
      <c r="B59" s="2" t="s">
        <v>12</v>
      </c>
      <c r="C59">
        <v>19</v>
      </c>
      <c r="D59" s="2" t="s">
        <v>48</v>
      </c>
      <c r="E59">
        <v>3811569725</v>
      </c>
      <c r="F59">
        <v>133623567</v>
      </c>
      <c r="G59">
        <v>1</v>
      </c>
      <c r="H59">
        <v>0</v>
      </c>
      <c r="I59">
        <v>1</v>
      </c>
      <c r="J59">
        <v>2</v>
      </c>
      <c r="K59">
        <v>3</v>
      </c>
      <c r="L59">
        <v>0</v>
      </c>
      <c r="M59">
        <v>0</v>
      </c>
      <c r="N59">
        <v>0</v>
      </c>
      <c r="O59">
        <v>3</v>
      </c>
      <c r="P59">
        <v>5</v>
      </c>
    </row>
    <row r="60" spans="1:16" x14ac:dyDescent="0.25">
      <c r="A60" s="1">
        <v>43887.75</v>
      </c>
      <c r="B60" s="2" t="s">
        <v>12</v>
      </c>
      <c r="C60">
        <v>9</v>
      </c>
      <c r="D60" s="2" t="s">
        <v>49</v>
      </c>
      <c r="E60">
        <v>4376923077</v>
      </c>
      <c r="F60">
        <v>1125588885</v>
      </c>
      <c r="G60">
        <v>2</v>
      </c>
      <c r="H60">
        <v>0</v>
      </c>
      <c r="I60">
        <v>2</v>
      </c>
      <c r="J60">
        <v>0</v>
      </c>
      <c r="K60">
        <v>2</v>
      </c>
      <c r="L60">
        <v>0</v>
      </c>
      <c r="M60">
        <v>0</v>
      </c>
      <c r="N60">
        <v>0</v>
      </c>
      <c r="O60">
        <v>2</v>
      </c>
      <c r="P60">
        <v>363</v>
      </c>
    </row>
    <row r="61" spans="1:16" x14ac:dyDescent="0.25">
      <c r="A61" s="1">
        <v>43887.75</v>
      </c>
      <c r="B61" s="2" t="s">
        <v>12</v>
      </c>
      <c r="C61">
        <v>4</v>
      </c>
      <c r="D61" s="2" t="s">
        <v>50</v>
      </c>
      <c r="E61">
        <v>4606893511</v>
      </c>
      <c r="F61">
        <v>1112123097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3</v>
      </c>
    </row>
    <row r="62" spans="1:16" x14ac:dyDescent="0.25">
      <c r="A62" s="1">
        <v>43887.75</v>
      </c>
      <c r="B62" s="2" t="s">
        <v>12</v>
      </c>
      <c r="C62">
        <v>10</v>
      </c>
      <c r="D62" s="2" t="s">
        <v>51</v>
      </c>
      <c r="E62">
        <v>4310675841</v>
      </c>
      <c r="F62">
        <v>1238824698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8</v>
      </c>
    </row>
    <row r="63" spans="1:16" x14ac:dyDescent="0.25">
      <c r="A63" s="1">
        <v>43887.75</v>
      </c>
      <c r="B63" s="2" t="s">
        <v>12</v>
      </c>
      <c r="C63">
        <v>2</v>
      </c>
      <c r="D63" s="2" t="s">
        <v>52</v>
      </c>
      <c r="E63">
        <v>4573750286</v>
      </c>
      <c r="F63">
        <v>7320149366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7</v>
      </c>
    </row>
    <row r="64" spans="1:16" x14ac:dyDescent="0.25">
      <c r="A64" s="1">
        <v>43887.75</v>
      </c>
      <c r="B64" s="2" t="s">
        <v>12</v>
      </c>
      <c r="C64">
        <v>5</v>
      </c>
      <c r="D64" s="2" t="s">
        <v>53</v>
      </c>
      <c r="E64">
        <v>4543490485</v>
      </c>
      <c r="F64">
        <v>1233845213</v>
      </c>
      <c r="G64">
        <v>16</v>
      </c>
      <c r="H64">
        <v>8</v>
      </c>
      <c r="I64">
        <v>24</v>
      </c>
      <c r="J64">
        <v>45</v>
      </c>
      <c r="K64">
        <v>69</v>
      </c>
      <c r="L64">
        <v>27</v>
      </c>
      <c r="M64">
        <v>0</v>
      </c>
      <c r="N64">
        <v>2</v>
      </c>
      <c r="O64">
        <v>71</v>
      </c>
      <c r="P64">
        <v>4900</v>
      </c>
    </row>
    <row r="65" spans="1:16" x14ac:dyDescent="0.25">
      <c r="A65" s="1">
        <v>43888.75</v>
      </c>
      <c r="B65" s="2" t="s">
        <v>12</v>
      </c>
      <c r="C65">
        <v>13</v>
      </c>
      <c r="D65" s="2" t="s">
        <v>33</v>
      </c>
      <c r="E65">
        <v>4235122196</v>
      </c>
      <c r="F65">
        <v>1339843823</v>
      </c>
      <c r="G65">
        <v>1</v>
      </c>
      <c r="H65">
        <v>0</v>
      </c>
      <c r="I65">
        <v>1</v>
      </c>
      <c r="J65">
        <v>0</v>
      </c>
      <c r="K65">
        <v>1</v>
      </c>
      <c r="L65">
        <v>1</v>
      </c>
      <c r="M65">
        <v>0</v>
      </c>
      <c r="N65">
        <v>0</v>
      </c>
      <c r="O65">
        <v>1</v>
      </c>
      <c r="P65">
        <v>33</v>
      </c>
    </row>
    <row r="66" spans="1:16" x14ac:dyDescent="0.25">
      <c r="A66" s="1">
        <v>43888.75</v>
      </c>
      <c r="B66" s="2" t="s">
        <v>12</v>
      </c>
      <c r="C66">
        <v>17</v>
      </c>
      <c r="D66" s="2" t="s">
        <v>34</v>
      </c>
      <c r="E66">
        <v>4063947052</v>
      </c>
      <c r="F66">
        <v>1580514834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25">
      <c r="A67" s="1">
        <v>43888.75</v>
      </c>
      <c r="B67" s="2" t="s">
        <v>12</v>
      </c>
      <c r="C67">
        <v>4</v>
      </c>
      <c r="D67" s="2" t="s">
        <v>35</v>
      </c>
      <c r="E67">
        <v>4649933453</v>
      </c>
      <c r="F67">
        <v>1135662422</v>
      </c>
      <c r="G67">
        <v>1</v>
      </c>
      <c r="H67">
        <v>0</v>
      </c>
      <c r="I67">
        <v>1</v>
      </c>
      <c r="J67">
        <v>0</v>
      </c>
      <c r="K67">
        <v>1</v>
      </c>
      <c r="L67">
        <v>0</v>
      </c>
      <c r="M67">
        <v>0</v>
      </c>
      <c r="N67">
        <v>0</v>
      </c>
      <c r="O67">
        <v>1</v>
      </c>
      <c r="P67">
        <v>2</v>
      </c>
    </row>
    <row r="68" spans="1:16" x14ac:dyDescent="0.25">
      <c r="A68" s="1">
        <v>43888.75</v>
      </c>
      <c r="B68" s="2" t="s">
        <v>12</v>
      </c>
      <c r="C68">
        <v>18</v>
      </c>
      <c r="D68" s="2" t="s">
        <v>36</v>
      </c>
      <c r="E68">
        <v>3890597598</v>
      </c>
      <c r="F68">
        <v>1659440194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14</v>
      </c>
    </row>
    <row r="69" spans="1:16" x14ac:dyDescent="0.25">
      <c r="A69" s="1">
        <v>43888.75</v>
      </c>
      <c r="B69" s="2" t="s">
        <v>12</v>
      </c>
      <c r="C69">
        <v>15</v>
      </c>
      <c r="D69" s="2" t="s">
        <v>37</v>
      </c>
      <c r="E69">
        <v>4083956555</v>
      </c>
      <c r="F69">
        <v>1425084984</v>
      </c>
      <c r="G69">
        <v>2</v>
      </c>
      <c r="H69">
        <v>0</v>
      </c>
      <c r="I69">
        <v>2</v>
      </c>
      <c r="J69">
        <v>1</v>
      </c>
      <c r="K69">
        <v>3</v>
      </c>
      <c r="L69">
        <v>3</v>
      </c>
      <c r="M69">
        <v>0</v>
      </c>
      <c r="N69">
        <v>0</v>
      </c>
      <c r="O69">
        <v>3</v>
      </c>
      <c r="P69">
        <v>10</v>
      </c>
    </row>
    <row r="70" spans="1:16" x14ac:dyDescent="0.25">
      <c r="A70" s="1">
        <v>43888.75</v>
      </c>
      <c r="B70" s="2" t="s">
        <v>12</v>
      </c>
      <c r="C70">
        <v>8</v>
      </c>
      <c r="D70" s="2" t="s">
        <v>38</v>
      </c>
      <c r="E70">
        <v>4449436681</v>
      </c>
      <c r="F70">
        <v>113417208</v>
      </c>
      <c r="G70">
        <v>36</v>
      </c>
      <c r="H70">
        <v>6</v>
      </c>
      <c r="I70">
        <v>42</v>
      </c>
      <c r="J70">
        <v>54</v>
      </c>
      <c r="K70">
        <v>96</v>
      </c>
      <c r="L70">
        <v>50</v>
      </c>
      <c r="M70">
        <v>0</v>
      </c>
      <c r="N70">
        <v>1</v>
      </c>
      <c r="O70">
        <v>97</v>
      </c>
      <c r="P70">
        <v>1033</v>
      </c>
    </row>
    <row r="71" spans="1:16" x14ac:dyDescent="0.25">
      <c r="A71" s="1">
        <v>43888.75</v>
      </c>
      <c r="B71" s="2" t="s">
        <v>12</v>
      </c>
      <c r="C71">
        <v>6</v>
      </c>
      <c r="D71" s="2" t="s">
        <v>39</v>
      </c>
      <c r="E71">
        <v>456494354</v>
      </c>
      <c r="F71">
        <v>1376813649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141</v>
      </c>
    </row>
    <row r="72" spans="1:16" x14ac:dyDescent="0.25">
      <c r="A72" s="1">
        <v>43888.75</v>
      </c>
      <c r="B72" s="2" t="s">
        <v>12</v>
      </c>
      <c r="C72">
        <v>12</v>
      </c>
      <c r="D72" s="2" t="s">
        <v>40</v>
      </c>
      <c r="E72">
        <v>4189277044</v>
      </c>
      <c r="F72">
        <v>1248366722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</v>
      </c>
      <c r="N72">
        <v>0</v>
      </c>
      <c r="O72">
        <v>3</v>
      </c>
      <c r="P72">
        <v>552</v>
      </c>
    </row>
    <row r="73" spans="1:16" x14ac:dyDescent="0.25">
      <c r="A73" s="1">
        <v>43888.75</v>
      </c>
      <c r="B73" s="2" t="s">
        <v>12</v>
      </c>
      <c r="C73">
        <v>7</v>
      </c>
      <c r="D73" s="2" t="s">
        <v>41</v>
      </c>
      <c r="E73">
        <v>4441149315</v>
      </c>
      <c r="F73">
        <v>89326992</v>
      </c>
      <c r="G73">
        <v>9</v>
      </c>
      <c r="H73">
        <v>0</v>
      </c>
      <c r="I73">
        <v>9</v>
      </c>
      <c r="J73">
        <v>10</v>
      </c>
      <c r="K73">
        <v>19</v>
      </c>
      <c r="L73">
        <v>8</v>
      </c>
      <c r="M73">
        <v>0</v>
      </c>
      <c r="N73">
        <v>0</v>
      </c>
      <c r="O73">
        <v>19</v>
      </c>
      <c r="P73">
        <v>78</v>
      </c>
    </row>
    <row r="74" spans="1:16" x14ac:dyDescent="0.25">
      <c r="A74" s="1">
        <v>43888.75</v>
      </c>
      <c r="B74" s="2" t="s">
        <v>12</v>
      </c>
      <c r="C74">
        <v>3</v>
      </c>
      <c r="D74" s="2" t="s">
        <v>42</v>
      </c>
      <c r="E74">
        <v>4546679409</v>
      </c>
      <c r="F74">
        <v>9190347404</v>
      </c>
      <c r="G74">
        <v>172</v>
      </c>
      <c r="H74">
        <v>41</v>
      </c>
      <c r="I74">
        <v>213</v>
      </c>
      <c r="J74">
        <v>136</v>
      </c>
      <c r="K74">
        <v>349</v>
      </c>
      <c r="L74">
        <v>100</v>
      </c>
      <c r="M74">
        <v>40</v>
      </c>
      <c r="N74">
        <v>14</v>
      </c>
      <c r="O74">
        <v>403</v>
      </c>
      <c r="P74">
        <v>3320</v>
      </c>
    </row>
    <row r="75" spans="1:16" x14ac:dyDescent="0.25">
      <c r="A75" s="1">
        <v>43888.75</v>
      </c>
      <c r="B75" s="2" t="s">
        <v>12</v>
      </c>
      <c r="C75">
        <v>11</v>
      </c>
      <c r="D75" s="2" t="s">
        <v>43</v>
      </c>
      <c r="E75">
        <v>4361675973</v>
      </c>
      <c r="F75">
        <v>135188753</v>
      </c>
      <c r="G75">
        <v>2</v>
      </c>
      <c r="H75">
        <v>1</v>
      </c>
      <c r="I75">
        <v>3</v>
      </c>
      <c r="J75">
        <v>0</v>
      </c>
      <c r="K75">
        <v>3</v>
      </c>
      <c r="L75">
        <v>2</v>
      </c>
      <c r="M75">
        <v>0</v>
      </c>
      <c r="N75">
        <v>0</v>
      </c>
      <c r="O75">
        <v>3</v>
      </c>
      <c r="P75">
        <v>46</v>
      </c>
    </row>
    <row r="76" spans="1:16" x14ac:dyDescent="0.25">
      <c r="A76" s="1">
        <v>43888.75</v>
      </c>
      <c r="B76" s="2" t="s">
        <v>12</v>
      </c>
      <c r="C76">
        <v>14</v>
      </c>
      <c r="D76" s="2" t="s">
        <v>44</v>
      </c>
      <c r="E76">
        <v>4155774754</v>
      </c>
      <c r="F76">
        <v>1465916051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25">
      <c r="A77" s="1">
        <v>43888.75</v>
      </c>
      <c r="B77" s="2" t="s">
        <v>12</v>
      </c>
      <c r="C77">
        <v>1</v>
      </c>
      <c r="D77" s="2" t="s">
        <v>45</v>
      </c>
      <c r="E77">
        <v>450732745</v>
      </c>
      <c r="F77">
        <v>7680687483</v>
      </c>
      <c r="G77">
        <v>2</v>
      </c>
      <c r="H77">
        <v>0</v>
      </c>
      <c r="I77">
        <v>2</v>
      </c>
      <c r="J77">
        <v>0</v>
      </c>
      <c r="K77">
        <v>2</v>
      </c>
      <c r="L77">
        <v>-1</v>
      </c>
      <c r="M77">
        <v>0</v>
      </c>
      <c r="N77">
        <v>0</v>
      </c>
      <c r="O77">
        <v>2</v>
      </c>
      <c r="P77">
        <v>156</v>
      </c>
    </row>
    <row r="78" spans="1:16" x14ac:dyDescent="0.25">
      <c r="A78" s="1">
        <v>43888.75</v>
      </c>
      <c r="B78" s="2" t="s">
        <v>12</v>
      </c>
      <c r="C78">
        <v>16</v>
      </c>
      <c r="D78" s="2" t="s">
        <v>46</v>
      </c>
      <c r="E78">
        <v>4112559576</v>
      </c>
      <c r="F78">
        <v>1686736689</v>
      </c>
      <c r="G78">
        <v>1</v>
      </c>
      <c r="H78">
        <v>0</v>
      </c>
      <c r="I78">
        <v>1</v>
      </c>
      <c r="J78">
        <v>0</v>
      </c>
      <c r="K78">
        <v>1</v>
      </c>
      <c r="L78">
        <v>1</v>
      </c>
      <c r="M78">
        <v>0</v>
      </c>
      <c r="N78">
        <v>0</v>
      </c>
      <c r="O78">
        <v>1</v>
      </c>
      <c r="P78">
        <v>0</v>
      </c>
    </row>
    <row r="79" spans="1:16" x14ac:dyDescent="0.25">
      <c r="A79" s="1">
        <v>43888.75</v>
      </c>
      <c r="B79" s="2" t="s">
        <v>12</v>
      </c>
      <c r="C79">
        <v>20</v>
      </c>
      <c r="D79" s="2" t="s">
        <v>47</v>
      </c>
      <c r="E79">
        <v>3921531192</v>
      </c>
      <c r="F79">
        <v>9110616306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</row>
    <row r="80" spans="1:16" x14ac:dyDescent="0.25">
      <c r="A80" s="1">
        <v>43888.75</v>
      </c>
      <c r="B80" s="2" t="s">
        <v>12</v>
      </c>
      <c r="C80">
        <v>19</v>
      </c>
      <c r="D80" s="2" t="s">
        <v>48</v>
      </c>
      <c r="E80">
        <v>3811569725</v>
      </c>
      <c r="F80">
        <v>133623567</v>
      </c>
      <c r="G80">
        <v>1</v>
      </c>
      <c r="H80">
        <v>0</v>
      </c>
      <c r="I80">
        <v>1</v>
      </c>
      <c r="J80">
        <v>1</v>
      </c>
      <c r="K80">
        <v>2</v>
      </c>
      <c r="L80">
        <v>-1</v>
      </c>
      <c r="M80">
        <v>2</v>
      </c>
      <c r="N80">
        <v>0</v>
      </c>
      <c r="O80">
        <v>4</v>
      </c>
      <c r="P80">
        <v>5</v>
      </c>
    </row>
    <row r="81" spans="1:16" x14ac:dyDescent="0.25">
      <c r="A81" s="1">
        <v>43888.75</v>
      </c>
      <c r="B81" s="2" t="s">
        <v>12</v>
      </c>
      <c r="C81">
        <v>9</v>
      </c>
      <c r="D81" s="2" t="s">
        <v>49</v>
      </c>
      <c r="E81">
        <v>4376923077</v>
      </c>
      <c r="F81">
        <v>1125588885</v>
      </c>
      <c r="G81">
        <v>2</v>
      </c>
      <c r="H81">
        <v>0</v>
      </c>
      <c r="I81">
        <v>2</v>
      </c>
      <c r="J81">
        <v>0</v>
      </c>
      <c r="K81">
        <v>2</v>
      </c>
      <c r="L81">
        <v>0</v>
      </c>
      <c r="M81">
        <v>0</v>
      </c>
      <c r="N81">
        <v>0</v>
      </c>
      <c r="O81">
        <v>2</v>
      </c>
      <c r="P81">
        <v>410</v>
      </c>
    </row>
    <row r="82" spans="1:16" x14ac:dyDescent="0.25">
      <c r="A82" s="1">
        <v>43888.75</v>
      </c>
      <c r="B82" s="2" t="s">
        <v>12</v>
      </c>
      <c r="C82">
        <v>4</v>
      </c>
      <c r="D82" s="2" t="s">
        <v>50</v>
      </c>
      <c r="E82">
        <v>4606893511</v>
      </c>
      <c r="F82">
        <v>1112123097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32</v>
      </c>
    </row>
    <row r="83" spans="1:16" x14ac:dyDescent="0.25">
      <c r="A83" s="1">
        <v>43888.75</v>
      </c>
      <c r="B83" s="2" t="s">
        <v>12</v>
      </c>
      <c r="C83">
        <v>10</v>
      </c>
      <c r="D83" s="2" t="s">
        <v>51</v>
      </c>
      <c r="E83">
        <v>4310675841</v>
      </c>
      <c r="F83">
        <v>1238824698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8</v>
      </c>
    </row>
    <row r="84" spans="1:16" x14ac:dyDescent="0.25">
      <c r="A84" s="1">
        <v>43888.75</v>
      </c>
      <c r="B84" s="2" t="s">
        <v>12</v>
      </c>
      <c r="C84">
        <v>2</v>
      </c>
      <c r="D84" s="2" t="s">
        <v>52</v>
      </c>
      <c r="E84">
        <v>4573750286</v>
      </c>
      <c r="F84">
        <v>7320149366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9</v>
      </c>
    </row>
    <row r="85" spans="1:16" x14ac:dyDescent="0.25">
      <c r="A85" s="1">
        <v>43888.75</v>
      </c>
      <c r="B85" s="2" t="s">
        <v>12</v>
      </c>
      <c r="C85">
        <v>5</v>
      </c>
      <c r="D85" s="2" t="s">
        <v>53</v>
      </c>
      <c r="E85">
        <v>4543490485</v>
      </c>
      <c r="F85">
        <v>1233845213</v>
      </c>
      <c r="G85">
        <v>19</v>
      </c>
      <c r="H85">
        <v>8</v>
      </c>
      <c r="I85">
        <v>27</v>
      </c>
      <c r="J85">
        <v>82</v>
      </c>
      <c r="K85">
        <v>109</v>
      </c>
      <c r="L85">
        <v>40</v>
      </c>
      <c r="M85">
        <v>0</v>
      </c>
      <c r="N85">
        <v>2</v>
      </c>
      <c r="O85">
        <v>111</v>
      </c>
      <c r="P85">
        <v>6164</v>
      </c>
    </row>
    <row r="86" spans="1:16" x14ac:dyDescent="0.25">
      <c r="A86" s="1">
        <v>43889.75</v>
      </c>
      <c r="B86" s="2" t="s">
        <v>12</v>
      </c>
      <c r="C86">
        <v>13</v>
      </c>
      <c r="D86" s="2" t="s">
        <v>33</v>
      </c>
      <c r="E86">
        <v>4235122196</v>
      </c>
      <c r="F86">
        <v>1339843823</v>
      </c>
      <c r="G86">
        <v>1</v>
      </c>
      <c r="H86">
        <v>0</v>
      </c>
      <c r="I86">
        <v>1</v>
      </c>
      <c r="J86">
        <v>0</v>
      </c>
      <c r="K86">
        <v>1</v>
      </c>
      <c r="L86">
        <v>0</v>
      </c>
      <c r="M86">
        <v>0</v>
      </c>
      <c r="N86">
        <v>0</v>
      </c>
      <c r="O86">
        <v>1</v>
      </c>
      <c r="P86">
        <v>33</v>
      </c>
    </row>
    <row r="87" spans="1:16" x14ac:dyDescent="0.25">
      <c r="A87" s="1">
        <v>43889.75</v>
      </c>
      <c r="B87" s="2" t="s">
        <v>12</v>
      </c>
      <c r="C87">
        <v>17</v>
      </c>
      <c r="D87" s="2" t="s">
        <v>34</v>
      </c>
      <c r="E87">
        <v>4063947052</v>
      </c>
      <c r="F87">
        <v>1580514834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25">
      <c r="A88" s="1">
        <v>43889.75</v>
      </c>
      <c r="B88" s="2" t="s">
        <v>12</v>
      </c>
      <c r="C88">
        <v>4</v>
      </c>
      <c r="D88" s="2" t="s">
        <v>35</v>
      </c>
      <c r="E88">
        <v>4649933453</v>
      </c>
      <c r="F88">
        <v>1135662422</v>
      </c>
      <c r="G88">
        <v>1</v>
      </c>
      <c r="H88">
        <v>0</v>
      </c>
      <c r="I88">
        <v>1</v>
      </c>
      <c r="J88">
        <v>0</v>
      </c>
      <c r="K88">
        <v>1</v>
      </c>
      <c r="L88">
        <v>0</v>
      </c>
      <c r="M88">
        <v>0</v>
      </c>
      <c r="N88">
        <v>0</v>
      </c>
      <c r="O88">
        <v>1</v>
      </c>
      <c r="P88">
        <v>2</v>
      </c>
    </row>
    <row r="89" spans="1:16" x14ac:dyDescent="0.25">
      <c r="A89" s="1">
        <v>43889.75</v>
      </c>
      <c r="B89" s="2" t="s">
        <v>12</v>
      </c>
      <c r="C89">
        <v>18</v>
      </c>
      <c r="D89" s="2" t="s">
        <v>36</v>
      </c>
      <c r="E89">
        <v>3890597598</v>
      </c>
      <c r="F89">
        <v>1659440194</v>
      </c>
      <c r="G89">
        <v>0</v>
      </c>
      <c r="H89">
        <v>0</v>
      </c>
      <c r="I89">
        <v>0</v>
      </c>
      <c r="J89">
        <v>1</v>
      </c>
      <c r="K89">
        <v>1</v>
      </c>
      <c r="L89">
        <v>1</v>
      </c>
      <c r="M89">
        <v>0</v>
      </c>
      <c r="N89">
        <v>0</v>
      </c>
      <c r="O89">
        <v>1</v>
      </c>
      <c r="P89">
        <v>21</v>
      </c>
    </row>
    <row r="90" spans="1:16" x14ac:dyDescent="0.25">
      <c r="A90" s="1">
        <v>43889.75</v>
      </c>
      <c r="B90" s="2" t="s">
        <v>12</v>
      </c>
      <c r="C90">
        <v>15</v>
      </c>
      <c r="D90" s="2" t="s">
        <v>37</v>
      </c>
      <c r="E90">
        <v>4083956555</v>
      </c>
      <c r="F90">
        <v>1425084984</v>
      </c>
      <c r="G90">
        <v>2</v>
      </c>
      <c r="H90">
        <v>0</v>
      </c>
      <c r="I90">
        <v>2</v>
      </c>
      <c r="J90">
        <v>2</v>
      </c>
      <c r="K90">
        <v>4</v>
      </c>
      <c r="L90">
        <v>1</v>
      </c>
      <c r="M90">
        <v>0</v>
      </c>
      <c r="N90">
        <v>0</v>
      </c>
      <c r="O90">
        <v>4</v>
      </c>
      <c r="P90">
        <v>213</v>
      </c>
    </row>
    <row r="91" spans="1:16" x14ac:dyDescent="0.25">
      <c r="A91" s="1">
        <v>43889.75</v>
      </c>
      <c r="B91" s="2" t="s">
        <v>12</v>
      </c>
      <c r="C91">
        <v>8</v>
      </c>
      <c r="D91" s="2" t="s">
        <v>38</v>
      </c>
      <c r="E91">
        <v>4449436681</v>
      </c>
      <c r="F91">
        <v>113417208</v>
      </c>
      <c r="G91">
        <v>56</v>
      </c>
      <c r="H91">
        <v>6</v>
      </c>
      <c r="I91">
        <v>62</v>
      </c>
      <c r="J91">
        <v>81</v>
      </c>
      <c r="K91">
        <v>143</v>
      </c>
      <c r="L91">
        <v>47</v>
      </c>
      <c r="M91">
        <v>0</v>
      </c>
      <c r="N91">
        <v>2</v>
      </c>
      <c r="O91">
        <v>145</v>
      </c>
      <c r="P91">
        <v>1277</v>
      </c>
    </row>
    <row r="92" spans="1:16" x14ac:dyDescent="0.25">
      <c r="A92" s="1">
        <v>43889.75</v>
      </c>
      <c r="B92" s="2" t="s">
        <v>12</v>
      </c>
      <c r="C92">
        <v>6</v>
      </c>
      <c r="D92" s="2" t="s">
        <v>39</v>
      </c>
      <c r="E92">
        <v>456494354</v>
      </c>
      <c r="F92">
        <v>1376813649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169</v>
      </c>
    </row>
    <row r="93" spans="1:16" x14ac:dyDescent="0.25">
      <c r="A93" s="1">
        <v>43889.75</v>
      </c>
      <c r="B93" s="2" t="s">
        <v>12</v>
      </c>
      <c r="C93">
        <v>12</v>
      </c>
      <c r="D93" s="2" t="s">
        <v>40</v>
      </c>
      <c r="E93">
        <v>4189277044</v>
      </c>
      <c r="F93">
        <v>1248366722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3</v>
      </c>
      <c r="N93">
        <v>0</v>
      </c>
      <c r="O93">
        <v>3</v>
      </c>
      <c r="P93">
        <v>611</v>
      </c>
    </row>
    <row r="94" spans="1:16" x14ac:dyDescent="0.25">
      <c r="A94" s="1">
        <v>43889.75</v>
      </c>
      <c r="B94" s="2" t="s">
        <v>12</v>
      </c>
      <c r="C94">
        <v>7</v>
      </c>
      <c r="D94" s="2" t="s">
        <v>41</v>
      </c>
      <c r="E94">
        <v>4441149315</v>
      </c>
      <c r="F94">
        <v>89326992</v>
      </c>
      <c r="G94">
        <v>9</v>
      </c>
      <c r="H94">
        <v>0</v>
      </c>
      <c r="I94">
        <v>9</v>
      </c>
      <c r="J94">
        <v>10</v>
      </c>
      <c r="K94">
        <v>19</v>
      </c>
      <c r="L94">
        <v>0</v>
      </c>
      <c r="M94">
        <v>0</v>
      </c>
      <c r="N94">
        <v>0</v>
      </c>
      <c r="O94">
        <v>19</v>
      </c>
      <c r="P94">
        <v>112</v>
      </c>
    </row>
    <row r="95" spans="1:16" x14ac:dyDescent="0.25">
      <c r="A95" s="1">
        <v>43889.75</v>
      </c>
      <c r="B95" s="2" t="s">
        <v>12</v>
      </c>
      <c r="C95">
        <v>3</v>
      </c>
      <c r="D95" s="2" t="s">
        <v>42</v>
      </c>
      <c r="E95">
        <v>4546679409</v>
      </c>
      <c r="F95">
        <v>9190347404</v>
      </c>
      <c r="G95">
        <v>235</v>
      </c>
      <c r="H95">
        <v>47</v>
      </c>
      <c r="I95">
        <v>282</v>
      </c>
      <c r="J95">
        <v>192</v>
      </c>
      <c r="K95">
        <v>474</v>
      </c>
      <c r="L95">
        <v>125</v>
      </c>
      <c r="M95">
        <v>40</v>
      </c>
      <c r="N95">
        <v>17</v>
      </c>
      <c r="O95">
        <v>531</v>
      </c>
      <c r="P95">
        <v>4835</v>
      </c>
    </row>
    <row r="96" spans="1:16" x14ac:dyDescent="0.25">
      <c r="A96" s="1">
        <v>43889.75</v>
      </c>
      <c r="B96" s="2" t="s">
        <v>12</v>
      </c>
      <c r="C96">
        <v>11</v>
      </c>
      <c r="D96" s="2" t="s">
        <v>43</v>
      </c>
      <c r="E96">
        <v>4361675973</v>
      </c>
      <c r="F96">
        <v>135188753</v>
      </c>
      <c r="G96">
        <v>3</v>
      </c>
      <c r="H96">
        <v>2</v>
      </c>
      <c r="I96">
        <v>5</v>
      </c>
      <c r="J96">
        <v>1</v>
      </c>
      <c r="K96">
        <v>6</v>
      </c>
      <c r="L96">
        <v>3</v>
      </c>
      <c r="M96">
        <v>0</v>
      </c>
      <c r="N96">
        <v>0</v>
      </c>
      <c r="O96">
        <v>6</v>
      </c>
      <c r="P96">
        <v>47</v>
      </c>
    </row>
    <row r="97" spans="1:16" x14ac:dyDescent="0.25">
      <c r="A97" s="1">
        <v>43889.75</v>
      </c>
      <c r="B97" s="2" t="s">
        <v>12</v>
      </c>
      <c r="C97">
        <v>14</v>
      </c>
      <c r="D97" s="2" t="s">
        <v>44</v>
      </c>
      <c r="E97">
        <v>4155774754</v>
      </c>
      <c r="F97">
        <v>1465916051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25">
      <c r="A98" s="1">
        <v>43889.75</v>
      </c>
      <c r="B98" s="2" t="s">
        <v>12</v>
      </c>
      <c r="C98">
        <v>1</v>
      </c>
      <c r="D98" s="2" t="s">
        <v>45</v>
      </c>
      <c r="E98">
        <v>450732745</v>
      </c>
      <c r="F98">
        <v>7680687483</v>
      </c>
      <c r="G98">
        <v>7</v>
      </c>
      <c r="H98">
        <v>0</v>
      </c>
      <c r="I98">
        <v>7</v>
      </c>
      <c r="J98">
        <v>4</v>
      </c>
      <c r="K98">
        <v>11</v>
      </c>
      <c r="L98">
        <v>9</v>
      </c>
      <c r="M98">
        <v>0</v>
      </c>
      <c r="N98">
        <v>0</v>
      </c>
      <c r="O98">
        <v>11</v>
      </c>
      <c r="P98">
        <v>227</v>
      </c>
    </row>
    <row r="99" spans="1:16" x14ac:dyDescent="0.25">
      <c r="A99" s="1">
        <v>43889.75</v>
      </c>
      <c r="B99" s="2" t="s">
        <v>12</v>
      </c>
      <c r="C99">
        <v>16</v>
      </c>
      <c r="D99" s="2" t="s">
        <v>46</v>
      </c>
      <c r="E99">
        <v>4112559576</v>
      </c>
      <c r="F99">
        <v>1686736689</v>
      </c>
      <c r="G99">
        <v>1</v>
      </c>
      <c r="H99">
        <v>0</v>
      </c>
      <c r="I99">
        <v>1</v>
      </c>
      <c r="J99">
        <v>2</v>
      </c>
      <c r="K99">
        <v>3</v>
      </c>
      <c r="L99">
        <v>2</v>
      </c>
      <c r="M99">
        <v>0</v>
      </c>
      <c r="N99">
        <v>0</v>
      </c>
      <c r="O99">
        <v>3</v>
      </c>
      <c r="P99">
        <v>242</v>
      </c>
    </row>
    <row r="100" spans="1:16" x14ac:dyDescent="0.25">
      <c r="A100" s="1">
        <v>43889.75</v>
      </c>
      <c r="B100" s="2" t="s">
        <v>12</v>
      </c>
      <c r="C100">
        <v>20</v>
      </c>
      <c r="D100" s="2" t="s">
        <v>47</v>
      </c>
      <c r="E100">
        <v>3921531192</v>
      </c>
      <c r="F100">
        <v>9110616306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</row>
    <row r="101" spans="1:16" x14ac:dyDescent="0.25">
      <c r="A101" s="1">
        <v>43889.75</v>
      </c>
      <c r="B101" s="2" t="s">
        <v>12</v>
      </c>
      <c r="C101">
        <v>19</v>
      </c>
      <c r="D101" s="2" t="s">
        <v>48</v>
      </c>
      <c r="E101">
        <v>3811569725</v>
      </c>
      <c r="F101">
        <v>133623567</v>
      </c>
      <c r="G101">
        <v>1</v>
      </c>
      <c r="H101">
        <v>0</v>
      </c>
      <c r="I101">
        <v>1</v>
      </c>
      <c r="J101">
        <v>1</v>
      </c>
      <c r="K101">
        <v>2</v>
      </c>
      <c r="L101">
        <v>0</v>
      </c>
      <c r="M101">
        <v>2</v>
      </c>
      <c r="N101">
        <v>0</v>
      </c>
      <c r="O101">
        <v>4</v>
      </c>
      <c r="P101">
        <v>5</v>
      </c>
    </row>
    <row r="102" spans="1:16" x14ac:dyDescent="0.25">
      <c r="A102" s="1">
        <v>43889.75</v>
      </c>
      <c r="B102" s="2" t="s">
        <v>12</v>
      </c>
      <c r="C102">
        <v>9</v>
      </c>
      <c r="D102" s="2" t="s">
        <v>49</v>
      </c>
      <c r="E102">
        <v>4376923077</v>
      </c>
      <c r="F102">
        <v>1125588885</v>
      </c>
      <c r="G102">
        <v>5</v>
      </c>
      <c r="H102">
        <v>0</v>
      </c>
      <c r="I102">
        <v>5</v>
      </c>
      <c r="J102">
        <v>2</v>
      </c>
      <c r="K102">
        <v>7</v>
      </c>
      <c r="L102">
        <v>5</v>
      </c>
      <c r="M102">
        <v>1</v>
      </c>
      <c r="N102">
        <v>0</v>
      </c>
      <c r="O102">
        <v>8</v>
      </c>
      <c r="P102">
        <v>437</v>
      </c>
    </row>
    <row r="103" spans="1:16" x14ac:dyDescent="0.25">
      <c r="A103" s="1">
        <v>43889.75</v>
      </c>
      <c r="B103" s="2" t="s">
        <v>12</v>
      </c>
      <c r="C103">
        <v>4</v>
      </c>
      <c r="D103" s="2" t="s">
        <v>50</v>
      </c>
      <c r="E103">
        <v>4606893511</v>
      </c>
      <c r="F103">
        <v>1112123097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32</v>
      </c>
    </row>
    <row r="104" spans="1:16" x14ac:dyDescent="0.25">
      <c r="A104" s="1">
        <v>43889.75</v>
      </c>
      <c r="B104" s="2" t="s">
        <v>12</v>
      </c>
      <c r="C104">
        <v>10</v>
      </c>
      <c r="D104" s="2" t="s">
        <v>51</v>
      </c>
      <c r="E104">
        <v>4310675841</v>
      </c>
      <c r="F104">
        <v>1238824698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8</v>
      </c>
    </row>
    <row r="105" spans="1:16" x14ac:dyDescent="0.25">
      <c r="A105" s="1">
        <v>43889.75</v>
      </c>
      <c r="B105" s="2" t="s">
        <v>12</v>
      </c>
      <c r="C105">
        <v>2</v>
      </c>
      <c r="D105" s="2" t="s">
        <v>52</v>
      </c>
      <c r="E105">
        <v>4573750286</v>
      </c>
      <c r="F105">
        <v>7320149366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9</v>
      </c>
    </row>
    <row r="106" spans="1:16" x14ac:dyDescent="0.25">
      <c r="A106" s="1">
        <v>43889.75</v>
      </c>
      <c r="B106" s="2" t="s">
        <v>12</v>
      </c>
      <c r="C106">
        <v>5</v>
      </c>
      <c r="D106" s="2" t="s">
        <v>53</v>
      </c>
      <c r="E106">
        <v>4543490485</v>
      </c>
      <c r="F106">
        <v>1233845213</v>
      </c>
      <c r="G106">
        <v>24</v>
      </c>
      <c r="H106">
        <v>9</v>
      </c>
      <c r="I106">
        <v>33</v>
      </c>
      <c r="J106">
        <v>116</v>
      </c>
      <c r="K106">
        <v>149</v>
      </c>
      <c r="L106">
        <v>40</v>
      </c>
      <c r="M106">
        <v>0</v>
      </c>
      <c r="N106">
        <v>2</v>
      </c>
      <c r="O106">
        <v>151</v>
      </c>
      <c r="P106">
        <v>7414</v>
      </c>
    </row>
    <row r="107" spans="1:16" x14ac:dyDescent="0.25">
      <c r="A107" s="1">
        <v>43890.708333333336</v>
      </c>
      <c r="B107" s="2" t="s">
        <v>12</v>
      </c>
      <c r="C107">
        <v>13</v>
      </c>
      <c r="D107" s="2" t="s">
        <v>33</v>
      </c>
      <c r="E107">
        <v>4235122196</v>
      </c>
      <c r="F107">
        <v>1339843823</v>
      </c>
      <c r="G107">
        <v>2</v>
      </c>
      <c r="H107">
        <v>0</v>
      </c>
      <c r="I107">
        <v>2</v>
      </c>
      <c r="J107">
        <v>0</v>
      </c>
      <c r="K107">
        <v>2</v>
      </c>
      <c r="L107">
        <v>1</v>
      </c>
      <c r="M107">
        <v>0</v>
      </c>
      <c r="N107">
        <v>0</v>
      </c>
      <c r="O107">
        <v>2</v>
      </c>
      <c r="P107">
        <v>43</v>
      </c>
    </row>
    <row r="108" spans="1:16" x14ac:dyDescent="0.25">
      <c r="A108" s="1">
        <v>43890.708333333336</v>
      </c>
      <c r="B108" s="2" t="s">
        <v>12</v>
      </c>
      <c r="C108">
        <v>17</v>
      </c>
      <c r="D108" s="2" t="s">
        <v>34</v>
      </c>
      <c r="E108">
        <v>4063947052</v>
      </c>
      <c r="F108">
        <v>1580514834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32</v>
      </c>
    </row>
    <row r="109" spans="1:16" x14ac:dyDescent="0.25">
      <c r="A109" s="1">
        <v>43890.708333333336</v>
      </c>
      <c r="B109" s="2" t="s">
        <v>12</v>
      </c>
      <c r="C109">
        <v>4</v>
      </c>
      <c r="D109" s="2" t="s">
        <v>35</v>
      </c>
      <c r="E109">
        <v>4649933453</v>
      </c>
      <c r="F109">
        <v>1135662422</v>
      </c>
      <c r="G109">
        <v>1</v>
      </c>
      <c r="H109">
        <v>0</v>
      </c>
      <c r="I109">
        <v>1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1</v>
      </c>
      <c r="P109">
        <v>16</v>
      </c>
    </row>
    <row r="110" spans="1:16" x14ac:dyDescent="0.25">
      <c r="A110" s="1">
        <v>43890.708333333336</v>
      </c>
      <c r="B110" s="2" t="s">
        <v>12</v>
      </c>
      <c r="C110">
        <v>18</v>
      </c>
      <c r="D110" s="2" t="s">
        <v>36</v>
      </c>
      <c r="E110">
        <v>3890597598</v>
      </c>
      <c r="F110">
        <v>1659440194</v>
      </c>
      <c r="G110">
        <v>0</v>
      </c>
      <c r="H110">
        <v>0</v>
      </c>
      <c r="I110">
        <v>0</v>
      </c>
      <c r="J110">
        <v>1</v>
      </c>
      <c r="K110">
        <v>1</v>
      </c>
      <c r="L110">
        <v>0</v>
      </c>
      <c r="M110">
        <v>0</v>
      </c>
      <c r="N110">
        <v>0</v>
      </c>
      <c r="O110">
        <v>1</v>
      </c>
      <c r="P110">
        <v>27</v>
      </c>
    </row>
    <row r="111" spans="1:16" x14ac:dyDescent="0.25">
      <c r="A111" s="1">
        <v>43890.708333333336</v>
      </c>
      <c r="B111" s="2" t="s">
        <v>12</v>
      </c>
      <c r="C111">
        <v>15</v>
      </c>
      <c r="D111" s="2" t="s">
        <v>37</v>
      </c>
      <c r="E111">
        <v>4083956555</v>
      </c>
      <c r="F111">
        <v>1425084984</v>
      </c>
      <c r="G111">
        <v>3</v>
      </c>
      <c r="H111">
        <v>0</v>
      </c>
      <c r="I111">
        <v>3</v>
      </c>
      <c r="J111">
        <v>10</v>
      </c>
      <c r="K111">
        <v>13</v>
      </c>
      <c r="L111">
        <v>9</v>
      </c>
      <c r="M111">
        <v>0</v>
      </c>
      <c r="N111">
        <v>0</v>
      </c>
      <c r="O111">
        <v>13</v>
      </c>
      <c r="P111">
        <v>373</v>
      </c>
    </row>
    <row r="112" spans="1:16" x14ac:dyDescent="0.25">
      <c r="A112" s="1">
        <v>43890.708333333336</v>
      </c>
      <c r="B112" s="2" t="s">
        <v>12</v>
      </c>
      <c r="C112">
        <v>8</v>
      </c>
      <c r="D112" s="2" t="s">
        <v>38</v>
      </c>
      <c r="E112">
        <v>4449436681</v>
      </c>
      <c r="F112">
        <v>113417208</v>
      </c>
      <c r="G112">
        <v>86</v>
      </c>
      <c r="H112">
        <v>11</v>
      </c>
      <c r="I112">
        <v>97</v>
      </c>
      <c r="J112">
        <v>116</v>
      </c>
      <c r="K112">
        <v>213</v>
      </c>
      <c r="L112">
        <v>70</v>
      </c>
      <c r="M112">
        <v>0</v>
      </c>
      <c r="N112">
        <v>4</v>
      </c>
      <c r="O112">
        <v>217</v>
      </c>
      <c r="P112">
        <v>1550</v>
      </c>
    </row>
    <row r="113" spans="1:16" x14ac:dyDescent="0.25">
      <c r="A113" s="1">
        <v>43890.708333333336</v>
      </c>
      <c r="B113" s="2" t="s">
        <v>12</v>
      </c>
      <c r="C113">
        <v>6</v>
      </c>
      <c r="D113" s="2" t="s">
        <v>39</v>
      </c>
      <c r="E113">
        <v>456494354</v>
      </c>
      <c r="F113">
        <v>1376813649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189</v>
      </c>
    </row>
    <row r="114" spans="1:16" x14ac:dyDescent="0.25">
      <c r="A114" s="1">
        <v>43890.708333333336</v>
      </c>
      <c r="B114" s="2" t="s">
        <v>12</v>
      </c>
      <c r="C114">
        <v>12</v>
      </c>
      <c r="D114" s="2" t="s">
        <v>40</v>
      </c>
      <c r="E114">
        <v>4189277044</v>
      </c>
      <c r="F114">
        <v>1248366722</v>
      </c>
      <c r="G114">
        <v>3</v>
      </c>
      <c r="H114">
        <v>0</v>
      </c>
      <c r="I114">
        <v>3</v>
      </c>
      <c r="J114">
        <v>0</v>
      </c>
      <c r="K114">
        <v>3</v>
      </c>
      <c r="L114">
        <v>3</v>
      </c>
      <c r="M114">
        <v>3</v>
      </c>
      <c r="N114">
        <v>0</v>
      </c>
      <c r="O114">
        <v>6</v>
      </c>
      <c r="P114">
        <v>679</v>
      </c>
    </row>
    <row r="115" spans="1:16" x14ac:dyDescent="0.25">
      <c r="A115" s="1">
        <v>43890.708333333336</v>
      </c>
      <c r="B115" s="2" t="s">
        <v>12</v>
      </c>
      <c r="C115">
        <v>7</v>
      </c>
      <c r="D115" s="2" t="s">
        <v>41</v>
      </c>
      <c r="E115">
        <v>4441149315</v>
      </c>
      <c r="F115">
        <v>89326992</v>
      </c>
      <c r="G115">
        <v>4</v>
      </c>
      <c r="H115">
        <v>1</v>
      </c>
      <c r="I115">
        <v>5</v>
      </c>
      <c r="J115">
        <v>33</v>
      </c>
      <c r="K115">
        <v>38</v>
      </c>
      <c r="L115">
        <v>19</v>
      </c>
      <c r="M115">
        <v>4</v>
      </c>
      <c r="N115">
        <v>0</v>
      </c>
      <c r="O115">
        <v>42</v>
      </c>
      <c r="P115">
        <v>121</v>
      </c>
    </row>
    <row r="116" spans="1:16" x14ac:dyDescent="0.25">
      <c r="A116" s="1">
        <v>43890.708333333336</v>
      </c>
      <c r="B116" s="2" t="s">
        <v>12</v>
      </c>
      <c r="C116">
        <v>3</v>
      </c>
      <c r="D116" s="2" t="s">
        <v>42</v>
      </c>
      <c r="E116">
        <v>4546679409</v>
      </c>
      <c r="F116">
        <v>9190347404</v>
      </c>
      <c r="G116">
        <v>256</v>
      </c>
      <c r="H116">
        <v>80</v>
      </c>
      <c r="I116">
        <v>336</v>
      </c>
      <c r="J116">
        <v>216</v>
      </c>
      <c r="K116">
        <v>552</v>
      </c>
      <c r="L116">
        <v>78</v>
      </c>
      <c r="M116">
        <v>40</v>
      </c>
      <c r="N116">
        <v>23</v>
      </c>
      <c r="O116">
        <v>615</v>
      </c>
      <c r="P116">
        <v>5723</v>
      </c>
    </row>
    <row r="117" spans="1:16" x14ac:dyDescent="0.25">
      <c r="A117" s="1">
        <v>43890.708333333336</v>
      </c>
      <c r="B117" s="2" t="s">
        <v>12</v>
      </c>
      <c r="C117">
        <v>11</v>
      </c>
      <c r="D117" s="2" t="s">
        <v>43</v>
      </c>
      <c r="E117">
        <v>4361675973</v>
      </c>
      <c r="F117">
        <v>135188753</v>
      </c>
      <c r="G117">
        <v>6</v>
      </c>
      <c r="H117">
        <v>2</v>
      </c>
      <c r="I117">
        <v>8</v>
      </c>
      <c r="J117">
        <v>3</v>
      </c>
      <c r="K117">
        <v>11</v>
      </c>
      <c r="L117">
        <v>5</v>
      </c>
      <c r="M117">
        <v>0</v>
      </c>
      <c r="N117">
        <v>0</v>
      </c>
      <c r="O117">
        <v>11</v>
      </c>
      <c r="P117">
        <v>68</v>
      </c>
    </row>
    <row r="118" spans="1:16" x14ac:dyDescent="0.25">
      <c r="A118" s="1">
        <v>43890.708333333336</v>
      </c>
      <c r="B118" s="2" t="s">
        <v>12</v>
      </c>
      <c r="C118">
        <v>14</v>
      </c>
      <c r="D118" s="2" t="s">
        <v>44</v>
      </c>
      <c r="E118">
        <v>4155774754</v>
      </c>
      <c r="F118">
        <v>1465916051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 x14ac:dyDescent="0.25">
      <c r="A119" s="1">
        <v>43890.708333333336</v>
      </c>
      <c r="B119" s="2" t="s">
        <v>12</v>
      </c>
      <c r="C119">
        <v>1</v>
      </c>
      <c r="D119" s="2" t="s">
        <v>45</v>
      </c>
      <c r="E119">
        <v>450732745</v>
      </c>
      <c r="F119">
        <v>7680687483</v>
      </c>
      <c r="G119">
        <v>7</v>
      </c>
      <c r="H119">
        <v>0</v>
      </c>
      <c r="I119">
        <v>7</v>
      </c>
      <c r="J119">
        <v>4</v>
      </c>
      <c r="K119">
        <v>11</v>
      </c>
      <c r="L119">
        <v>0</v>
      </c>
      <c r="M119">
        <v>0</v>
      </c>
      <c r="N119">
        <v>0</v>
      </c>
      <c r="O119">
        <v>11</v>
      </c>
      <c r="P119">
        <v>308</v>
      </c>
    </row>
    <row r="120" spans="1:16" x14ac:dyDescent="0.25">
      <c r="A120" s="1">
        <v>43890.708333333336</v>
      </c>
      <c r="B120" s="2" t="s">
        <v>12</v>
      </c>
      <c r="C120">
        <v>16</v>
      </c>
      <c r="D120" s="2" t="s">
        <v>46</v>
      </c>
      <c r="E120">
        <v>4112559576</v>
      </c>
      <c r="F120">
        <v>1686736689</v>
      </c>
      <c r="G120">
        <v>1</v>
      </c>
      <c r="H120">
        <v>0</v>
      </c>
      <c r="I120">
        <v>1</v>
      </c>
      <c r="J120">
        <v>2</v>
      </c>
      <c r="K120">
        <v>3</v>
      </c>
      <c r="L120">
        <v>0</v>
      </c>
      <c r="M120">
        <v>0</v>
      </c>
      <c r="N120">
        <v>0</v>
      </c>
      <c r="O120">
        <v>3</v>
      </c>
      <c r="P120">
        <v>252</v>
      </c>
    </row>
    <row r="121" spans="1:16" x14ac:dyDescent="0.25">
      <c r="A121" s="1">
        <v>43890.708333333336</v>
      </c>
      <c r="B121" s="2" t="s">
        <v>12</v>
      </c>
      <c r="C121">
        <v>20</v>
      </c>
      <c r="D121" s="2" t="s">
        <v>47</v>
      </c>
      <c r="E121">
        <v>3921531192</v>
      </c>
      <c r="F121">
        <v>9110616306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</row>
    <row r="122" spans="1:16" x14ac:dyDescent="0.25">
      <c r="A122" s="1">
        <v>43890.708333333336</v>
      </c>
      <c r="B122" s="2" t="s">
        <v>12</v>
      </c>
      <c r="C122">
        <v>19</v>
      </c>
      <c r="D122" s="2" t="s">
        <v>48</v>
      </c>
      <c r="E122">
        <v>3811569725</v>
      </c>
      <c r="F122">
        <v>133623567</v>
      </c>
      <c r="G122">
        <v>1</v>
      </c>
      <c r="H122">
        <v>0</v>
      </c>
      <c r="I122">
        <v>1</v>
      </c>
      <c r="J122">
        <v>1</v>
      </c>
      <c r="K122">
        <v>2</v>
      </c>
      <c r="L122">
        <v>0</v>
      </c>
      <c r="M122">
        <v>2</v>
      </c>
      <c r="N122">
        <v>0</v>
      </c>
      <c r="O122">
        <v>4</v>
      </c>
      <c r="P122">
        <v>6</v>
      </c>
    </row>
    <row r="123" spans="1:16" x14ac:dyDescent="0.25">
      <c r="A123" s="1">
        <v>43890.708333333336</v>
      </c>
      <c r="B123" s="2" t="s">
        <v>12</v>
      </c>
      <c r="C123">
        <v>9</v>
      </c>
      <c r="D123" s="2" t="s">
        <v>49</v>
      </c>
      <c r="E123">
        <v>4376923077</v>
      </c>
      <c r="F123">
        <v>1125588885</v>
      </c>
      <c r="G123">
        <v>7</v>
      </c>
      <c r="H123">
        <v>0</v>
      </c>
      <c r="I123">
        <v>7</v>
      </c>
      <c r="J123">
        <v>3</v>
      </c>
      <c r="K123">
        <v>10</v>
      </c>
      <c r="L123">
        <v>3</v>
      </c>
      <c r="M123">
        <v>1</v>
      </c>
      <c r="N123">
        <v>0</v>
      </c>
      <c r="O123">
        <v>11</v>
      </c>
      <c r="P123">
        <v>531</v>
      </c>
    </row>
    <row r="124" spans="1:16" x14ac:dyDescent="0.25">
      <c r="A124" s="1">
        <v>43890.708333333336</v>
      </c>
      <c r="B124" s="2" t="s">
        <v>12</v>
      </c>
      <c r="C124">
        <v>4</v>
      </c>
      <c r="D124" s="2" t="s">
        <v>50</v>
      </c>
      <c r="E124">
        <v>4606893511</v>
      </c>
      <c r="F124">
        <v>1112123097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43</v>
      </c>
    </row>
    <row r="125" spans="1:16" x14ac:dyDescent="0.25">
      <c r="A125" s="1">
        <v>43890.708333333336</v>
      </c>
      <c r="B125" s="2" t="s">
        <v>12</v>
      </c>
      <c r="C125">
        <v>10</v>
      </c>
      <c r="D125" s="2" t="s">
        <v>51</v>
      </c>
      <c r="E125">
        <v>4310675841</v>
      </c>
      <c r="F125">
        <v>1238824698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31</v>
      </c>
    </row>
    <row r="126" spans="1:16" x14ac:dyDescent="0.25">
      <c r="A126" s="1">
        <v>43890.708333333336</v>
      </c>
      <c r="B126" s="2" t="s">
        <v>12</v>
      </c>
      <c r="C126">
        <v>2</v>
      </c>
      <c r="D126" s="2" t="s">
        <v>52</v>
      </c>
      <c r="E126">
        <v>4573750286</v>
      </c>
      <c r="F126">
        <v>7320149366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9</v>
      </c>
    </row>
    <row r="127" spans="1:16" x14ac:dyDescent="0.25">
      <c r="A127" s="1">
        <v>43890.708333333336</v>
      </c>
      <c r="B127" s="2" t="s">
        <v>12</v>
      </c>
      <c r="C127">
        <v>5</v>
      </c>
      <c r="D127" s="2" t="s">
        <v>53</v>
      </c>
      <c r="E127">
        <v>4543490485</v>
      </c>
      <c r="F127">
        <v>1233845213</v>
      </c>
      <c r="G127">
        <v>24</v>
      </c>
      <c r="H127">
        <v>11</v>
      </c>
      <c r="I127">
        <v>35</v>
      </c>
      <c r="J127">
        <v>154</v>
      </c>
      <c r="K127">
        <v>189</v>
      </c>
      <c r="L127">
        <v>40</v>
      </c>
      <c r="M127">
        <v>0</v>
      </c>
      <c r="N127">
        <v>2</v>
      </c>
      <c r="O127">
        <v>191</v>
      </c>
      <c r="P127">
        <v>8659</v>
      </c>
    </row>
    <row r="128" spans="1:16" x14ac:dyDescent="0.25">
      <c r="A128" s="1">
        <v>43891.708333333336</v>
      </c>
      <c r="B128" s="2" t="s">
        <v>12</v>
      </c>
      <c r="C128">
        <v>13</v>
      </c>
      <c r="D128" s="2" t="s">
        <v>33</v>
      </c>
      <c r="E128">
        <v>4235122196</v>
      </c>
      <c r="F128">
        <v>1339843823</v>
      </c>
      <c r="G128">
        <v>3</v>
      </c>
      <c r="H128">
        <v>0</v>
      </c>
      <c r="I128">
        <v>3</v>
      </c>
      <c r="J128">
        <v>2</v>
      </c>
      <c r="K128">
        <v>5</v>
      </c>
      <c r="L128">
        <v>3</v>
      </c>
      <c r="M128">
        <v>0</v>
      </c>
      <c r="N128">
        <v>0</v>
      </c>
      <c r="O128">
        <v>5</v>
      </c>
      <c r="P128">
        <v>52</v>
      </c>
    </row>
    <row r="129" spans="1:16" x14ac:dyDescent="0.25">
      <c r="A129" s="1">
        <v>43891.708333333336</v>
      </c>
      <c r="B129" s="2" t="s">
        <v>12</v>
      </c>
      <c r="C129">
        <v>17</v>
      </c>
      <c r="D129" s="2" t="s">
        <v>34</v>
      </c>
      <c r="E129">
        <v>4063947052</v>
      </c>
      <c r="F129">
        <v>1580514834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39</v>
      </c>
    </row>
    <row r="130" spans="1:16" x14ac:dyDescent="0.25">
      <c r="A130" s="1">
        <v>43891.708333333336</v>
      </c>
      <c r="B130" s="2" t="s">
        <v>12</v>
      </c>
      <c r="C130">
        <v>4</v>
      </c>
      <c r="D130" s="2" t="s">
        <v>35</v>
      </c>
      <c r="E130">
        <v>4649933453</v>
      </c>
      <c r="F130">
        <v>1135662422</v>
      </c>
      <c r="G130">
        <v>1</v>
      </c>
      <c r="H130">
        <v>0</v>
      </c>
      <c r="I130">
        <v>1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1</v>
      </c>
      <c r="P130">
        <v>20</v>
      </c>
    </row>
    <row r="131" spans="1:16" x14ac:dyDescent="0.25">
      <c r="A131" s="1">
        <v>43891.708333333336</v>
      </c>
      <c r="B131" s="2" t="s">
        <v>12</v>
      </c>
      <c r="C131">
        <v>18</v>
      </c>
      <c r="D131" s="2" t="s">
        <v>36</v>
      </c>
      <c r="E131">
        <v>3890597598</v>
      </c>
      <c r="F131">
        <v>1659440194</v>
      </c>
      <c r="G131">
        <v>0</v>
      </c>
      <c r="H131">
        <v>0</v>
      </c>
      <c r="I131">
        <v>0</v>
      </c>
      <c r="J131">
        <v>1</v>
      </c>
      <c r="K131">
        <v>1</v>
      </c>
      <c r="L131">
        <v>0</v>
      </c>
      <c r="M131">
        <v>0</v>
      </c>
      <c r="N131">
        <v>0</v>
      </c>
      <c r="O131">
        <v>1</v>
      </c>
      <c r="P131">
        <v>35</v>
      </c>
    </row>
    <row r="132" spans="1:16" x14ac:dyDescent="0.25">
      <c r="A132" s="1">
        <v>43891.708333333336</v>
      </c>
      <c r="B132" s="2" t="s">
        <v>12</v>
      </c>
      <c r="C132">
        <v>15</v>
      </c>
      <c r="D132" s="2" t="s">
        <v>37</v>
      </c>
      <c r="E132">
        <v>4083956555</v>
      </c>
      <c r="F132">
        <v>1425084984</v>
      </c>
      <c r="G132">
        <v>4</v>
      </c>
      <c r="H132">
        <v>0</v>
      </c>
      <c r="I132">
        <v>4</v>
      </c>
      <c r="J132">
        <v>13</v>
      </c>
      <c r="K132">
        <v>17</v>
      </c>
      <c r="L132">
        <v>4</v>
      </c>
      <c r="M132">
        <v>0</v>
      </c>
      <c r="N132">
        <v>0</v>
      </c>
      <c r="O132">
        <v>17</v>
      </c>
      <c r="P132">
        <v>373</v>
      </c>
    </row>
    <row r="133" spans="1:16" x14ac:dyDescent="0.25">
      <c r="A133" s="1">
        <v>43891.708333333336</v>
      </c>
      <c r="B133" s="2" t="s">
        <v>12</v>
      </c>
      <c r="C133">
        <v>8</v>
      </c>
      <c r="D133" s="2" t="s">
        <v>38</v>
      </c>
      <c r="E133">
        <v>4449436681</v>
      </c>
      <c r="F133">
        <v>113417208</v>
      </c>
      <c r="G133">
        <v>127</v>
      </c>
      <c r="H133">
        <v>13</v>
      </c>
      <c r="I133">
        <v>140</v>
      </c>
      <c r="J133">
        <v>137</v>
      </c>
      <c r="K133">
        <v>277</v>
      </c>
      <c r="L133">
        <v>64</v>
      </c>
      <c r="M133">
        <v>0</v>
      </c>
      <c r="N133">
        <v>8</v>
      </c>
      <c r="O133">
        <v>285</v>
      </c>
      <c r="P133">
        <v>1795</v>
      </c>
    </row>
    <row r="134" spans="1:16" x14ac:dyDescent="0.25">
      <c r="A134" s="1">
        <v>43891.708333333336</v>
      </c>
      <c r="B134" s="2" t="s">
        <v>12</v>
      </c>
      <c r="C134">
        <v>6</v>
      </c>
      <c r="D134" s="2" t="s">
        <v>39</v>
      </c>
      <c r="E134">
        <v>456494354</v>
      </c>
      <c r="F134">
        <v>1376813649</v>
      </c>
      <c r="G134">
        <v>0</v>
      </c>
      <c r="H134">
        <v>0</v>
      </c>
      <c r="I134">
        <v>0</v>
      </c>
      <c r="J134">
        <v>6</v>
      </c>
      <c r="K134">
        <v>6</v>
      </c>
      <c r="L134">
        <v>6</v>
      </c>
      <c r="M134">
        <v>0</v>
      </c>
      <c r="N134">
        <v>0</v>
      </c>
      <c r="O134">
        <v>6</v>
      </c>
      <c r="P134">
        <v>243</v>
      </c>
    </row>
    <row r="135" spans="1:16" x14ac:dyDescent="0.25">
      <c r="A135" s="1">
        <v>43891.708333333336</v>
      </c>
      <c r="B135" s="2" t="s">
        <v>12</v>
      </c>
      <c r="C135">
        <v>12</v>
      </c>
      <c r="D135" s="2" t="s">
        <v>40</v>
      </c>
      <c r="E135">
        <v>4189277044</v>
      </c>
      <c r="F135">
        <v>1248366722</v>
      </c>
      <c r="G135">
        <v>3</v>
      </c>
      <c r="H135">
        <v>0</v>
      </c>
      <c r="I135">
        <v>3</v>
      </c>
      <c r="J135">
        <v>0</v>
      </c>
      <c r="K135">
        <v>3</v>
      </c>
      <c r="L135">
        <v>0</v>
      </c>
      <c r="M135">
        <v>3</v>
      </c>
      <c r="N135">
        <v>0</v>
      </c>
      <c r="O135">
        <v>6</v>
      </c>
      <c r="P135">
        <v>724</v>
      </c>
    </row>
    <row r="136" spans="1:16" x14ac:dyDescent="0.25">
      <c r="A136" s="1">
        <v>43891.708333333336</v>
      </c>
      <c r="B136" s="2" t="s">
        <v>12</v>
      </c>
      <c r="C136">
        <v>7</v>
      </c>
      <c r="D136" s="2" t="s">
        <v>41</v>
      </c>
      <c r="E136">
        <v>4441149315</v>
      </c>
      <c r="F136">
        <v>89326992</v>
      </c>
      <c r="G136">
        <v>12</v>
      </c>
      <c r="H136">
        <v>1</v>
      </c>
      <c r="I136">
        <v>13</v>
      </c>
      <c r="J136">
        <v>8</v>
      </c>
      <c r="K136">
        <v>21</v>
      </c>
      <c r="L136">
        <v>-17</v>
      </c>
      <c r="M136">
        <v>4</v>
      </c>
      <c r="N136">
        <v>0</v>
      </c>
      <c r="O136">
        <v>25</v>
      </c>
      <c r="P136">
        <v>121</v>
      </c>
    </row>
    <row r="137" spans="1:16" x14ac:dyDescent="0.25">
      <c r="A137" s="1">
        <v>43891.708333333336</v>
      </c>
      <c r="B137" s="2" t="s">
        <v>12</v>
      </c>
      <c r="C137">
        <v>3</v>
      </c>
      <c r="D137" s="2" t="s">
        <v>42</v>
      </c>
      <c r="E137">
        <v>4546679409</v>
      </c>
      <c r="F137">
        <v>9190347404</v>
      </c>
      <c r="G137">
        <v>406</v>
      </c>
      <c r="H137">
        <v>106</v>
      </c>
      <c r="I137">
        <v>512</v>
      </c>
      <c r="J137">
        <v>375</v>
      </c>
      <c r="K137">
        <v>887</v>
      </c>
      <c r="L137">
        <v>335</v>
      </c>
      <c r="M137">
        <v>73</v>
      </c>
      <c r="N137">
        <v>24</v>
      </c>
      <c r="O137">
        <v>984</v>
      </c>
      <c r="P137">
        <v>6879</v>
      </c>
    </row>
    <row r="138" spans="1:16" x14ac:dyDescent="0.25">
      <c r="A138" s="1">
        <v>43891.708333333336</v>
      </c>
      <c r="B138" s="2" t="s">
        <v>12</v>
      </c>
      <c r="C138">
        <v>11</v>
      </c>
      <c r="D138" s="2" t="s">
        <v>43</v>
      </c>
      <c r="E138">
        <v>4361675973</v>
      </c>
      <c r="F138">
        <v>135188753</v>
      </c>
      <c r="G138">
        <v>12</v>
      </c>
      <c r="H138">
        <v>5</v>
      </c>
      <c r="I138">
        <v>17</v>
      </c>
      <c r="J138">
        <v>8</v>
      </c>
      <c r="K138">
        <v>25</v>
      </c>
      <c r="L138">
        <v>14</v>
      </c>
      <c r="M138">
        <v>0</v>
      </c>
      <c r="N138">
        <v>0</v>
      </c>
      <c r="O138">
        <v>25</v>
      </c>
      <c r="P138">
        <v>101</v>
      </c>
    </row>
    <row r="139" spans="1:16" x14ac:dyDescent="0.25">
      <c r="A139" s="1">
        <v>43891.708333333336</v>
      </c>
      <c r="B139" s="2" t="s">
        <v>12</v>
      </c>
      <c r="C139">
        <v>14</v>
      </c>
      <c r="D139" s="2" t="s">
        <v>44</v>
      </c>
      <c r="E139">
        <v>4155774754</v>
      </c>
      <c r="F139">
        <v>1465916051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6</v>
      </c>
    </row>
    <row r="140" spans="1:16" x14ac:dyDescent="0.25">
      <c r="A140" s="1">
        <v>43891.708333333336</v>
      </c>
      <c r="B140" s="2" t="s">
        <v>12</v>
      </c>
      <c r="C140">
        <v>1</v>
      </c>
      <c r="D140" s="2" t="s">
        <v>45</v>
      </c>
      <c r="E140">
        <v>450732745</v>
      </c>
      <c r="F140">
        <v>7680687483</v>
      </c>
      <c r="G140">
        <v>11</v>
      </c>
      <c r="H140">
        <v>2</v>
      </c>
      <c r="I140">
        <v>13</v>
      </c>
      <c r="J140">
        <v>36</v>
      </c>
      <c r="K140">
        <v>49</v>
      </c>
      <c r="L140">
        <v>38</v>
      </c>
      <c r="M140">
        <v>0</v>
      </c>
      <c r="N140">
        <v>0</v>
      </c>
      <c r="O140">
        <v>49</v>
      </c>
      <c r="P140">
        <v>362</v>
      </c>
    </row>
    <row r="141" spans="1:16" x14ac:dyDescent="0.25">
      <c r="A141" s="1">
        <v>43891.708333333336</v>
      </c>
      <c r="B141" s="2" t="s">
        <v>12</v>
      </c>
      <c r="C141">
        <v>16</v>
      </c>
      <c r="D141" s="2" t="s">
        <v>46</v>
      </c>
      <c r="E141">
        <v>4112559576</v>
      </c>
      <c r="F141">
        <v>1686736689</v>
      </c>
      <c r="G141">
        <v>1</v>
      </c>
      <c r="H141">
        <v>0</v>
      </c>
      <c r="I141">
        <v>1</v>
      </c>
      <c r="J141">
        <v>2</v>
      </c>
      <c r="K141">
        <v>3</v>
      </c>
      <c r="L141">
        <v>0</v>
      </c>
      <c r="M141">
        <v>0</v>
      </c>
      <c r="N141">
        <v>0</v>
      </c>
      <c r="O141">
        <v>3</v>
      </c>
      <c r="P141">
        <v>262</v>
      </c>
    </row>
    <row r="142" spans="1:16" x14ac:dyDescent="0.25">
      <c r="A142" s="1">
        <v>43891.708333333336</v>
      </c>
      <c r="B142" s="2" t="s">
        <v>12</v>
      </c>
      <c r="C142">
        <v>20</v>
      </c>
      <c r="D142" s="2" t="s">
        <v>47</v>
      </c>
      <c r="E142">
        <v>3921531192</v>
      </c>
      <c r="F142">
        <v>9110616306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29</v>
      </c>
    </row>
    <row r="143" spans="1:16" x14ac:dyDescent="0.25">
      <c r="A143" s="1">
        <v>43891.708333333336</v>
      </c>
      <c r="B143" s="2" t="s">
        <v>12</v>
      </c>
      <c r="C143">
        <v>19</v>
      </c>
      <c r="D143" s="2" t="s">
        <v>48</v>
      </c>
      <c r="E143">
        <v>3811569725</v>
      </c>
      <c r="F143">
        <v>133623567</v>
      </c>
      <c r="G143">
        <v>1</v>
      </c>
      <c r="H143">
        <v>0</v>
      </c>
      <c r="I143">
        <v>1</v>
      </c>
      <c r="J143">
        <v>6</v>
      </c>
      <c r="K143">
        <v>7</v>
      </c>
      <c r="L143">
        <v>5</v>
      </c>
      <c r="M143">
        <v>2</v>
      </c>
      <c r="N143">
        <v>0</v>
      </c>
      <c r="O143">
        <v>9</v>
      </c>
      <c r="P143">
        <v>291</v>
      </c>
    </row>
    <row r="144" spans="1:16" x14ac:dyDescent="0.25">
      <c r="A144" s="1">
        <v>43891.708333333336</v>
      </c>
      <c r="B144" s="2" t="s">
        <v>12</v>
      </c>
      <c r="C144">
        <v>9</v>
      </c>
      <c r="D144" s="2" t="s">
        <v>49</v>
      </c>
      <c r="E144">
        <v>4376923077</v>
      </c>
      <c r="F144">
        <v>1125588885</v>
      </c>
      <c r="G144">
        <v>7</v>
      </c>
      <c r="H144">
        <v>0</v>
      </c>
      <c r="I144">
        <v>7</v>
      </c>
      <c r="J144">
        <v>5</v>
      </c>
      <c r="K144">
        <v>12</v>
      </c>
      <c r="L144">
        <v>2</v>
      </c>
      <c r="M144">
        <v>1</v>
      </c>
      <c r="N144">
        <v>0</v>
      </c>
      <c r="O144">
        <v>13</v>
      </c>
      <c r="P144">
        <v>572</v>
      </c>
    </row>
    <row r="145" spans="1:16" x14ac:dyDescent="0.25">
      <c r="A145" s="1">
        <v>43891.708333333336</v>
      </c>
      <c r="B145" s="2" t="s">
        <v>12</v>
      </c>
      <c r="C145">
        <v>4</v>
      </c>
      <c r="D145" s="2" t="s">
        <v>50</v>
      </c>
      <c r="E145">
        <v>4606893511</v>
      </c>
      <c r="F145">
        <v>1112123097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122</v>
      </c>
    </row>
    <row r="146" spans="1:16" x14ac:dyDescent="0.25">
      <c r="A146" s="1">
        <v>43891.708333333336</v>
      </c>
      <c r="B146" s="2" t="s">
        <v>12</v>
      </c>
      <c r="C146">
        <v>10</v>
      </c>
      <c r="D146" s="2" t="s">
        <v>51</v>
      </c>
      <c r="E146">
        <v>4310675841</v>
      </c>
      <c r="F146">
        <v>1238824698</v>
      </c>
      <c r="G146">
        <v>0</v>
      </c>
      <c r="H146">
        <v>0</v>
      </c>
      <c r="I146">
        <v>0</v>
      </c>
      <c r="J146">
        <v>2</v>
      </c>
      <c r="K146">
        <v>2</v>
      </c>
      <c r="L146">
        <v>2</v>
      </c>
      <c r="M146">
        <v>0</v>
      </c>
      <c r="N146">
        <v>0</v>
      </c>
      <c r="O146">
        <v>2</v>
      </c>
      <c r="P146">
        <v>35</v>
      </c>
    </row>
    <row r="147" spans="1:16" x14ac:dyDescent="0.25">
      <c r="A147" s="1">
        <v>43891.708333333336</v>
      </c>
      <c r="B147" s="2" t="s">
        <v>12</v>
      </c>
      <c r="C147">
        <v>2</v>
      </c>
      <c r="D147" s="2" t="s">
        <v>52</v>
      </c>
      <c r="E147">
        <v>4573750286</v>
      </c>
      <c r="F147">
        <v>7320149366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10</v>
      </c>
    </row>
    <row r="148" spans="1:16" x14ac:dyDescent="0.25">
      <c r="A148" s="1">
        <v>43891.708333333336</v>
      </c>
      <c r="B148" s="2" t="s">
        <v>12</v>
      </c>
      <c r="C148">
        <v>5</v>
      </c>
      <c r="D148" s="2" t="s">
        <v>53</v>
      </c>
      <c r="E148">
        <v>4543490485</v>
      </c>
      <c r="F148">
        <v>1233845213</v>
      </c>
      <c r="G148">
        <v>51</v>
      </c>
      <c r="H148">
        <v>13</v>
      </c>
      <c r="I148">
        <v>64</v>
      </c>
      <c r="J148">
        <v>197</v>
      </c>
      <c r="K148">
        <v>261</v>
      </c>
      <c r="L148">
        <v>72</v>
      </c>
      <c r="M148">
        <v>0</v>
      </c>
      <c r="N148">
        <v>2</v>
      </c>
      <c r="O148">
        <v>263</v>
      </c>
      <c r="P148">
        <v>9056</v>
      </c>
    </row>
    <row r="149" spans="1:16" x14ac:dyDescent="0.25">
      <c r="A149" s="1">
        <v>43892.75</v>
      </c>
      <c r="B149" s="2" t="s">
        <v>12</v>
      </c>
      <c r="C149">
        <v>13</v>
      </c>
      <c r="D149" s="2" t="s">
        <v>33</v>
      </c>
      <c r="E149">
        <v>4235122196</v>
      </c>
      <c r="F149">
        <v>1339843823</v>
      </c>
      <c r="G149">
        <v>3</v>
      </c>
      <c r="H149">
        <v>0</v>
      </c>
      <c r="I149">
        <v>3</v>
      </c>
      <c r="J149">
        <v>2</v>
      </c>
      <c r="K149">
        <v>5</v>
      </c>
      <c r="L149">
        <v>0</v>
      </c>
      <c r="M149">
        <v>0</v>
      </c>
      <c r="N149">
        <v>0</v>
      </c>
      <c r="O149">
        <v>5</v>
      </c>
      <c r="P149">
        <v>52</v>
      </c>
    </row>
    <row r="150" spans="1:16" x14ac:dyDescent="0.25">
      <c r="A150" s="1">
        <v>43892.75</v>
      </c>
      <c r="B150" s="2" t="s">
        <v>12</v>
      </c>
      <c r="C150">
        <v>17</v>
      </c>
      <c r="D150" s="2" t="s">
        <v>34</v>
      </c>
      <c r="E150">
        <v>4063947052</v>
      </c>
      <c r="F150">
        <v>1580514834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39</v>
      </c>
    </row>
    <row r="151" spans="1:16" x14ac:dyDescent="0.25">
      <c r="A151" s="1">
        <v>43892.75</v>
      </c>
      <c r="B151" s="2" t="s">
        <v>12</v>
      </c>
      <c r="C151">
        <v>4</v>
      </c>
      <c r="D151" s="2" t="s">
        <v>35</v>
      </c>
      <c r="E151">
        <v>4649933453</v>
      </c>
      <c r="F151">
        <v>1135662422</v>
      </c>
      <c r="G151">
        <v>1</v>
      </c>
      <c r="H151">
        <v>0</v>
      </c>
      <c r="I151">
        <v>1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1</v>
      </c>
      <c r="P151">
        <v>20</v>
      </c>
    </row>
    <row r="152" spans="1:16" x14ac:dyDescent="0.25">
      <c r="A152" s="1">
        <v>43892.75</v>
      </c>
      <c r="B152" s="2" t="s">
        <v>12</v>
      </c>
      <c r="C152">
        <v>18</v>
      </c>
      <c r="D152" s="2" t="s">
        <v>36</v>
      </c>
      <c r="E152">
        <v>3890597598</v>
      </c>
      <c r="F152">
        <v>1659440194</v>
      </c>
      <c r="G152">
        <v>0</v>
      </c>
      <c r="H152">
        <v>0</v>
      </c>
      <c r="I152">
        <v>0</v>
      </c>
      <c r="J152">
        <v>1</v>
      </c>
      <c r="K152">
        <v>1</v>
      </c>
      <c r="L152">
        <v>0</v>
      </c>
      <c r="M152">
        <v>0</v>
      </c>
      <c r="N152">
        <v>0</v>
      </c>
      <c r="O152">
        <v>1</v>
      </c>
      <c r="P152">
        <v>39</v>
      </c>
    </row>
    <row r="153" spans="1:16" x14ac:dyDescent="0.25">
      <c r="A153" s="1">
        <v>43892.75</v>
      </c>
      <c r="B153" s="2" t="s">
        <v>12</v>
      </c>
      <c r="C153">
        <v>15</v>
      </c>
      <c r="D153" s="2" t="s">
        <v>37</v>
      </c>
      <c r="E153">
        <v>4083956555</v>
      </c>
      <c r="F153">
        <v>1425084984</v>
      </c>
      <c r="G153">
        <v>4</v>
      </c>
      <c r="H153">
        <v>0</v>
      </c>
      <c r="I153">
        <v>4</v>
      </c>
      <c r="J153">
        <v>13</v>
      </c>
      <c r="K153">
        <v>17</v>
      </c>
      <c r="L153">
        <v>0</v>
      </c>
      <c r="M153">
        <v>0</v>
      </c>
      <c r="N153">
        <v>0</v>
      </c>
      <c r="O153">
        <v>17</v>
      </c>
      <c r="P153">
        <v>373</v>
      </c>
    </row>
    <row r="154" spans="1:16" x14ac:dyDescent="0.25">
      <c r="A154" s="1">
        <v>43892.75</v>
      </c>
      <c r="B154" s="2" t="s">
        <v>12</v>
      </c>
      <c r="C154">
        <v>8</v>
      </c>
      <c r="D154" s="2" t="s">
        <v>38</v>
      </c>
      <c r="E154">
        <v>4449436681</v>
      </c>
      <c r="F154">
        <v>113417208</v>
      </c>
      <c r="G154">
        <v>148</v>
      </c>
      <c r="H154">
        <v>16</v>
      </c>
      <c r="I154">
        <v>164</v>
      </c>
      <c r="J154">
        <v>160</v>
      </c>
      <c r="K154">
        <v>324</v>
      </c>
      <c r="L154">
        <v>47</v>
      </c>
      <c r="M154">
        <v>0</v>
      </c>
      <c r="N154">
        <v>11</v>
      </c>
      <c r="O154">
        <v>335</v>
      </c>
      <c r="P154">
        <v>1973</v>
      </c>
    </row>
    <row r="155" spans="1:16" x14ac:dyDescent="0.25">
      <c r="A155" s="1">
        <v>43892.75</v>
      </c>
      <c r="B155" s="2" t="s">
        <v>12</v>
      </c>
      <c r="C155">
        <v>6</v>
      </c>
      <c r="D155" s="2" t="s">
        <v>39</v>
      </c>
      <c r="E155">
        <v>456494354</v>
      </c>
      <c r="F155">
        <v>1376813649</v>
      </c>
      <c r="G155">
        <v>0</v>
      </c>
      <c r="H155">
        <v>0</v>
      </c>
      <c r="I155">
        <v>0</v>
      </c>
      <c r="J155">
        <v>9</v>
      </c>
      <c r="K155">
        <v>9</v>
      </c>
      <c r="L155">
        <v>3</v>
      </c>
      <c r="M155">
        <v>0</v>
      </c>
      <c r="N155">
        <v>0</v>
      </c>
      <c r="O155">
        <v>9</v>
      </c>
      <c r="P155">
        <v>269</v>
      </c>
    </row>
    <row r="156" spans="1:16" x14ac:dyDescent="0.25">
      <c r="A156" s="1">
        <v>43892.75</v>
      </c>
      <c r="B156" s="2" t="s">
        <v>12</v>
      </c>
      <c r="C156">
        <v>12</v>
      </c>
      <c r="D156" s="2" t="s">
        <v>40</v>
      </c>
      <c r="E156">
        <v>4189277044</v>
      </c>
      <c r="F156">
        <v>1248366722</v>
      </c>
      <c r="G156">
        <v>3</v>
      </c>
      <c r="H156">
        <v>0</v>
      </c>
      <c r="I156">
        <v>3</v>
      </c>
      <c r="J156">
        <v>1</v>
      </c>
      <c r="K156">
        <v>4</v>
      </c>
      <c r="L156">
        <v>1</v>
      </c>
      <c r="M156">
        <v>3</v>
      </c>
      <c r="N156">
        <v>0</v>
      </c>
      <c r="O156">
        <v>7</v>
      </c>
      <c r="P156">
        <v>773</v>
      </c>
    </row>
    <row r="157" spans="1:16" x14ac:dyDescent="0.25">
      <c r="A157" s="1">
        <v>43892.75</v>
      </c>
      <c r="B157" s="2" t="s">
        <v>12</v>
      </c>
      <c r="C157">
        <v>7</v>
      </c>
      <c r="D157" s="2" t="s">
        <v>41</v>
      </c>
      <c r="E157">
        <v>4441149315</v>
      </c>
      <c r="F157">
        <v>89326992</v>
      </c>
      <c r="G157">
        <v>12</v>
      </c>
      <c r="H157">
        <v>1</v>
      </c>
      <c r="I157">
        <v>13</v>
      </c>
      <c r="J157">
        <v>5</v>
      </c>
      <c r="K157">
        <v>18</v>
      </c>
      <c r="L157">
        <v>-3</v>
      </c>
      <c r="M157">
        <v>4</v>
      </c>
      <c r="N157">
        <v>0</v>
      </c>
      <c r="O157">
        <v>22</v>
      </c>
      <c r="P157">
        <v>121</v>
      </c>
    </row>
    <row r="158" spans="1:16" x14ac:dyDescent="0.25">
      <c r="A158" s="1">
        <v>43892.75</v>
      </c>
      <c r="B158" s="2" t="s">
        <v>12</v>
      </c>
      <c r="C158">
        <v>3</v>
      </c>
      <c r="D158" s="2" t="s">
        <v>42</v>
      </c>
      <c r="E158">
        <v>4546679409</v>
      </c>
      <c r="F158">
        <v>9190347404</v>
      </c>
      <c r="G158">
        <v>478</v>
      </c>
      <c r="H158">
        <v>127</v>
      </c>
      <c r="I158">
        <v>605</v>
      </c>
      <c r="J158">
        <v>472</v>
      </c>
      <c r="K158">
        <v>1077</v>
      </c>
      <c r="L158">
        <v>190</v>
      </c>
      <c r="M158">
        <v>139</v>
      </c>
      <c r="N158">
        <v>38</v>
      </c>
      <c r="O158">
        <v>1254</v>
      </c>
      <c r="P158">
        <v>7925</v>
      </c>
    </row>
    <row r="159" spans="1:16" x14ac:dyDescent="0.25">
      <c r="A159" s="1">
        <v>43892.75</v>
      </c>
      <c r="B159" s="2" t="s">
        <v>12</v>
      </c>
      <c r="C159">
        <v>11</v>
      </c>
      <c r="D159" s="2" t="s">
        <v>43</v>
      </c>
      <c r="E159">
        <v>4361675973</v>
      </c>
      <c r="F159">
        <v>135188753</v>
      </c>
      <c r="G159">
        <v>17</v>
      </c>
      <c r="H159">
        <v>6</v>
      </c>
      <c r="I159">
        <v>23</v>
      </c>
      <c r="J159">
        <v>11</v>
      </c>
      <c r="K159">
        <v>34</v>
      </c>
      <c r="L159">
        <v>9</v>
      </c>
      <c r="M159">
        <v>0</v>
      </c>
      <c r="N159">
        <v>1</v>
      </c>
      <c r="O159">
        <v>35</v>
      </c>
      <c r="P159">
        <v>137</v>
      </c>
    </row>
    <row r="160" spans="1:16" x14ac:dyDescent="0.25">
      <c r="A160" s="1">
        <v>43892.75</v>
      </c>
      <c r="B160" s="2" t="s">
        <v>12</v>
      </c>
      <c r="C160">
        <v>14</v>
      </c>
      <c r="D160" s="2" t="s">
        <v>44</v>
      </c>
      <c r="E160">
        <v>4155774754</v>
      </c>
      <c r="F160">
        <v>1465916051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13</v>
      </c>
    </row>
    <row r="161" spans="1:16" x14ac:dyDescent="0.25">
      <c r="A161" s="1">
        <v>43892.75</v>
      </c>
      <c r="B161" s="2" t="s">
        <v>12</v>
      </c>
      <c r="C161">
        <v>1</v>
      </c>
      <c r="D161" s="2" t="s">
        <v>45</v>
      </c>
      <c r="E161">
        <v>450732745</v>
      </c>
      <c r="F161">
        <v>7680687483</v>
      </c>
      <c r="G161">
        <v>12</v>
      </c>
      <c r="H161">
        <v>2</v>
      </c>
      <c r="I161">
        <v>14</v>
      </c>
      <c r="J161">
        <v>37</v>
      </c>
      <c r="K161">
        <v>51</v>
      </c>
      <c r="L161">
        <v>2</v>
      </c>
      <c r="M161">
        <v>0</v>
      </c>
      <c r="N161">
        <v>0</v>
      </c>
      <c r="O161">
        <v>51</v>
      </c>
      <c r="P161">
        <v>434</v>
      </c>
    </row>
    <row r="162" spans="1:16" x14ac:dyDescent="0.25">
      <c r="A162" s="1">
        <v>43892.75</v>
      </c>
      <c r="B162" s="2" t="s">
        <v>12</v>
      </c>
      <c r="C162">
        <v>16</v>
      </c>
      <c r="D162" s="2" t="s">
        <v>46</v>
      </c>
      <c r="E162">
        <v>4112559576</v>
      </c>
      <c r="F162">
        <v>1686736689</v>
      </c>
      <c r="G162">
        <v>2</v>
      </c>
      <c r="H162">
        <v>0</v>
      </c>
      <c r="I162">
        <v>2</v>
      </c>
      <c r="J162">
        <v>2</v>
      </c>
      <c r="K162">
        <v>4</v>
      </c>
      <c r="L162">
        <v>1</v>
      </c>
      <c r="M162">
        <v>0</v>
      </c>
      <c r="N162">
        <v>0</v>
      </c>
      <c r="O162">
        <v>4</v>
      </c>
      <c r="P162">
        <v>278</v>
      </c>
    </row>
    <row r="163" spans="1:16" x14ac:dyDescent="0.25">
      <c r="A163" s="1">
        <v>43892.75</v>
      </c>
      <c r="B163" s="2" t="s">
        <v>12</v>
      </c>
      <c r="C163">
        <v>20</v>
      </c>
      <c r="D163" s="2" t="s">
        <v>47</v>
      </c>
      <c r="E163">
        <v>3921531192</v>
      </c>
      <c r="F163">
        <v>9110616306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29</v>
      </c>
    </row>
    <row r="164" spans="1:16" x14ac:dyDescent="0.25">
      <c r="A164" s="1">
        <v>43892.75</v>
      </c>
      <c r="B164" s="2" t="s">
        <v>12</v>
      </c>
      <c r="C164">
        <v>19</v>
      </c>
      <c r="D164" s="2" t="s">
        <v>48</v>
      </c>
      <c r="E164">
        <v>3811569725</v>
      </c>
      <c r="F164">
        <v>133623567</v>
      </c>
      <c r="G164">
        <v>2</v>
      </c>
      <c r="H164">
        <v>0</v>
      </c>
      <c r="I164">
        <v>2</v>
      </c>
      <c r="J164">
        <v>3</v>
      </c>
      <c r="K164">
        <v>5</v>
      </c>
      <c r="L164">
        <v>-2</v>
      </c>
      <c r="M164">
        <v>2</v>
      </c>
      <c r="N164">
        <v>0</v>
      </c>
      <c r="O164">
        <v>7</v>
      </c>
      <c r="P164">
        <v>307</v>
      </c>
    </row>
    <row r="165" spans="1:16" x14ac:dyDescent="0.25">
      <c r="A165" s="1">
        <v>43892.75</v>
      </c>
      <c r="B165" s="2" t="s">
        <v>12</v>
      </c>
      <c r="C165">
        <v>9</v>
      </c>
      <c r="D165" s="2" t="s">
        <v>49</v>
      </c>
      <c r="E165">
        <v>4376923077</v>
      </c>
      <c r="F165">
        <v>1125588885</v>
      </c>
      <c r="G165">
        <v>7</v>
      </c>
      <c r="H165">
        <v>0</v>
      </c>
      <c r="I165">
        <v>7</v>
      </c>
      <c r="J165">
        <v>5</v>
      </c>
      <c r="K165">
        <v>12</v>
      </c>
      <c r="L165">
        <v>0</v>
      </c>
      <c r="M165">
        <v>1</v>
      </c>
      <c r="N165">
        <v>0</v>
      </c>
      <c r="O165">
        <v>13</v>
      </c>
      <c r="P165">
        <v>613</v>
      </c>
    </row>
    <row r="166" spans="1:16" x14ac:dyDescent="0.25">
      <c r="A166" s="1">
        <v>43892.75</v>
      </c>
      <c r="B166" s="2" t="s">
        <v>12</v>
      </c>
      <c r="C166">
        <v>4</v>
      </c>
      <c r="D166" s="2" t="s">
        <v>50</v>
      </c>
      <c r="E166">
        <v>4606893511</v>
      </c>
      <c r="F166">
        <v>1112123097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122</v>
      </c>
    </row>
    <row r="167" spans="1:16" x14ac:dyDescent="0.25">
      <c r="A167" s="1">
        <v>43892.75</v>
      </c>
      <c r="B167" s="2" t="s">
        <v>12</v>
      </c>
      <c r="C167">
        <v>10</v>
      </c>
      <c r="D167" s="2" t="s">
        <v>51</v>
      </c>
      <c r="E167">
        <v>4310675841</v>
      </c>
      <c r="F167">
        <v>1238824698</v>
      </c>
      <c r="G167">
        <v>0</v>
      </c>
      <c r="H167">
        <v>0</v>
      </c>
      <c r="I167">
        <v>0</v>
      </c>
      <c r="J167">
        <v>2</v>
      </c>
      <c r="K167">
        <v>2</v>
      </c>
      <c r="L167">
        <v>0</v>
      </c>
      <c r="M167">
        <v>0</v>
      </c>
      <c r="N167">
        <v>0</v>
      </c>
      <c r="O167">
        <v>2</v>
      </c>
      <c r="P167">
        <v>35</v>
      </c>
    </row>
    <row r="168" spans="1:16" x14ac:dyDescent="0.25">
      <c r="A168" s="1">
        <v>43892.75</v>
      </c>
      <c r="B168" s="2" t="s">
        <v>12</v>
      </c>
      <c r="C168">
        <v>2</v>
      </c>
      <c r="D168" s="2" t="s">
        <v>52</v>
      </c>
      <c r="E168">
        <v>4573750286</v>
      </c>
      <c r="F168">
        <v>7320149366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11</v>
      </c>
    </row>
    <row r="169" spans="1:16" x14ac:dyDescent="0.25">
      <c r="A169" s="1">
        <v>43892.75</v>
      </c>
      <c r="B169" s="2" t="s">
        <v>12</v>
      </c>
      <c r="C169">
        <v>5</v>
      </c>
      <c r="D169" s="2" t="s">
        <v>53</v>
      </c>
      <c r="E169">
        <v>4543490485</v>
      </c>
      <c r="F169">
        <v>1233845213</v>
      </c>
      <c r="G169">
        <v>53</v>
      </c>
      <c r="H169">
        <v>14</v>
      </c>
      <c r="I169">
        <v>67</v>
      </c>
      <c r="J169">
        <v>204</v>
      </c>
      <c r="K169">
        <v>271</v>
      </c>
      <c r="L169">
        <v>10</v>
      </c>
      <c r="M169">
        <v>0</v>
      </c>
      <c r="N169">
        <v>2</v>
      </c>
      <c r="O169">
        <v>273</v>
      </c>
      <c r="P169">
        <v>9782</v>
      </c>
    </row>
    <row r="170" spans="1:16" x14ac:dyDescent="0.25">
      <c r="A170" s="1">
        <v>43893.75</v>
      </c>
      <c r="B170" s="2" t="s">
        <v>12</v>
      </c>
      <c r="C170">
        <v>13</v>
      </c>
      <c r="D170" s="2" t="s">
        <v>33</v>
      </c>
      <c r="E170">
        <v>4235122196</v>
      </c>
      <c r="F170">
        <v>1339843823</v>
      </c>
      <c r="G170">
        <v>5</v>
      </c>
      <c r="H170">
        <v>0</v>
      </c>
      <c r="I170">
        <v>5</v>
      </c>
      <c r="J170">
        <v>1</v>
      </c>
      <c r="K170">
        <v>6</v>
      </c>
      <c r="L170">
        <v>1</v>
      </c>
      <c r="M170">
        <v>0</v>
      </c>
      <c r="N170">
        <v>0</v>
      </c>
      <c r="O170">
        <v>6</v>
      </c>
      <c r="P170">
        <v>52</v>
      </c>
    </row>
    <row r="171" spans="1:16" x14ac:dyDescent="0.25">
      <c r="A171" s="1">
        <v>43893.75</v>
      </c>
      <c r="B171" s="2" t="s">
        <v>12</v>
      </c>
      <c r="C171">
        <v>17</v>
      </c>
      <c r="D171" s="2" t="s">
        <v>34</v>
      </c>
      <c r="E171">
        <v>4063947052</v>
      </c>
      <c r="F171">
        <v>1580514834</v>
      </c>
      <c r="G171">
        <v>0</v>
      </c>
      <c r="H171">
        <v>0</v>
      </c>
      <c r="I171">
        <v>0</v>
      </c>
      <c r="J171">
        <v>1</v>
      </c>
      <c r="K171">
        <v>1</v>
      </c>
      <c r="L171">
        <v>1</v>
      </c>
      <c r="M171">
        <v>0</v>
      </c>
      <c r="N171">
        <v>0</v>
      </c>
      <c r="O171">
        <v>1</v>
      </c>
      <c r="P171">
        <v>42</v>
      </c>
    </row>
    <row r="172" spans="1:16" x14ac:dyDescent="0.25">
      <c r="A172" s="1">
        <v>43893.75</v>
      </c>
      <c r="B172" s="2" t="s">
        <v>12</v>
      </c>
      <c r="C172">
        <v>4</v>
      </c>
      <c r="D172" s="2" t="s">
        <v>35</v>
      </c>
      <c r="E172">
        <v>4649933453</v>
      </c>
      <c r="F172">
        <v>1135662422</v>
      </c>
      <c r="G172">
        <v>1</v>
      </c>
      <c r="H172">
        <v>0</v>
      </c>
      <c r="I172">
        <v>1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1</v>
      </c>
      <c r="P172">
        <v>20</v>
      </c>
    </row>
    <row r="173" spans="1:16" x14ac:dyDescent="0.25">
      <c r="A173" s="1">
        <v>43893.75</v>
      </c>
      <c r="B173" s="2" t="s">
        <v>12</v>
      </c>
      <c r="C173">
        <v>18</v>
      </c>
      <c r="D173" s="2" t="s">
        <v>36</v>
      </c>
      <c r="E173">
        <v>3890597598</v>
      </c>
      <c r="F173">
        <v>1659440194</v>
      </c>
      <c r="G173">
        <v>0</v>
      </c>
      <c r="H173">
        <v>0</v>
      </c>
      <c r="I173">
        <v>0</v>
      </c>
      <c r="J173">
        <v>1</v>
      </c>
      <c r="K173">
        <v>1</v>
      </c>
      <c r="L173">
        <v>0</v>
      </c>
      <c r="M173">
        <v>0</v>
      </c>
      <c r="N173">
        <v>0</v>
      </c>
      <c r="O173">
        <v>1</v>
      </c>
      <c r="P173">
        <v>39</v>
      </c>
    </row>
    <row r="174" spans="1:16" x14ac:dyDescent="0.25">
      <c r="A174" s="1">
        <v>43893.75</v>
      </c>
      <c r="B174" s="2" t="s">
        <v>12</v>
      </c>
      <c r="C174">
        <v>15</v>
      </c>
      <c r="D174" s="2" t="s">
        <v>37</v>
      </c>
      <c r="E174">
        <v>4083956555</v>
      </c>
      <c r="F174">
        <v>1425084984</v>
      </c>
      <c r="G174">
        <v>11</v>
      </c>
      <c r="H174">
        <v>0</v>
      </c>
      <c r="I174">
        <v>11</v>
      </c>
      <c r="J174">
        <v>19</v>
      </c>
      <c r="K174">
        <v>30</v>
      </c>
      <c r="L174">
        <v>13</v>
      </c>
      <c r="M174">
        <v>0</v>
      </c>
      <c r="N174">
        <v>0</v>
      </c>
      <c r="O174">
        <v>30</v>
      </c>
      <c r="P174">
        <v>405</v>
      </c>
    </row>
    <row r="175" spans="1:16" x14ac:dyDescent="0.25">
      <c r="A175" s="1">
        <v>43893.75</v>
      </c>
      <c r="B175" s="2" t="s">
        <v>12</v>
      </c>
      <c r="C175">
        <v>8</v>
      </c>
      <c r="D175" s="2" t="s">
        <v>38</v>
      </c>
      <c r="E175">
        <v>4449436681</v>
      </c>
      <c r="F175">
        <v>113417208</v>
      </c>
      <c r="G175">
        <v>187</v>
      </c>
      <c r="H175">
        <v>24</v>
      </c>
      <c r="I175">
        <v>211</v>
      </c>
      <c r="J175">
        <v>187</v>
      </c>
      <c r="K175">
        <v>398</v>
      </c>
      <c r="L175">
        <v>74</v>
      </c>
      <c r="M175">
        <v>4</v>
      </c>
      <c r="N175">
        <v>18</v>
      </c>
      <c r="O175">
        <v>420</v>
      </c>
      <c r="P175">
        <v>2012</v>
      </c>
    </row>
    <row r="176" spans="1:16" x14ac:dyDescent="0.25">
      <c r="A176" s="1">
        <v>43893.75</v>
      </c>
      <c r="B176" s="2" t="s">
        <v>12</v>
      </c>
      <c r="C176">
        <v>6</v>
      </c>
      <c r="D176" s="2" t="s">
        <v>39</v>
      </c>
      <c r="E176">
        <v>456494354</v>
      </c>
      <c r="F176">
        <v>1376813649</v>
      </c>
      <c r="G176">
        <v>1</v>
      </c>
      <c r="H176">
        <v>0</v>
      </c>
      <c r="I176">
        <v>1</v>
      </c>
      <c r="J176">
        <v>12</v>
      </c>
      <c r="K176">
        <v>13</v>
      </c>
      <c r="L176">
        <v>4</v>
      </c>
      <c r="M176">
        <v>0</v>
      </c>
      <c r="N176">
        <v>0</v>
      </c>
      <c r="O176">
        <v>13</v>
      </c>
      <c r="P176">
        <v>354</v>
      </c>
    </row>
    <row r="177" spans="1:16" x14ac:dyDescent="0.25">
      <c r="A177" s="1">
        <v>43893.75</v>
      </c>
      <c r="B177" s="2" t="s">
        <v>12</v>
      </c>
      <c r="C177">
        <v>12</v>
      </c>
      <c r="D177" s="2" t="s">
        <v>40</v>
      </c>
      <c r="E177">
        <v>4189277044</v>
      </c>
      <c r="F177">
        <v>1248366722</v>
      </c>
      <c r="G177">
        <v>10</v>
      </c>
      <c r="H177">
        <v>0</v>
      </c>
      <c r="I177">
        <v>10</v>
      </c>
      <c r="J177">
        <v>1</v>
      </c>
      <c r="K177">
        <v>11</v>
      </c>
      <c r="L177">
        <v>7</v>
      </c>
      <c r="M177">
        <v>3</v>
      </c>
      <c r="N177">
        <v>0</v>
      </c>
      <c r="O177">
        <v>14</v>
      </c>
      <c r="P177">
        <v>877</v>
      </c>
    </row>
    <row r="178" spans="1:16" x14ac:dyDescent="0.25">
      <c r="A178" s="1">
        <v>43893.75</v>
      </c>
      <c r="B178" s="2" t="s">
        <v>12</v>
      </c>
      <c r="C178">
        <v>7</v>
      </c>
      <c r="D178" s="2" t="s">
        <v>41</v>
      </c>
      <c r="E178">
        <v>4441149315</v>
      </c>
      <c r="F178">
        <v>89326992</v>
      </c>
      <c r="G178">
        <v>12</v>
      </c>
      <c r="H178">
        <v>2</v>
      </c>
      <c r="I178">
        <v>14</v>
      </c>
      <c r="J178">
        <v>5</v>
      </c>
      <c r="K178">
        <v>19</v>
      </c>
      <c r="L178">
        <v>1</v>
      </c>
      <c r="M178">
        <v>4</v>
      </c>
      <c r="N178">
        <v>1</v>
      </c>
      <c r="O178">
        <v>24</v>
      </c>
      <c r="P178">
        <v>121</v>
      </c>
    </row>
    <row r="179" spans="1:16" x14ac:dyDescent="0.25">
      <c r="A179" s="1">
        <v>43893.75</v>
      </c>
      <c r="B179" s="2" t="s">
        <v>12</v>
      </c>
      <c r="C179">
        <v>3</v>
      </c>
      <c r="D179" s="2" t="s">
        <v>42</v>
      </c>
      <c r="E179">
        <v>4546679409</v>
      </c>
      <c r="F179">
        <v>9190347404</v>
      </c>
      <c r="G179">
        <v>698</v>
      </c>
      <c r="H179">
        <v>167</v>
      </c>
      <c r="I179">
        <v>865</v>
      </c>
      <c r="J179">
        <v>461</v>
      </c>
      <c r="K179">
        <v>1326</v>
      </c>
      <c r="L179">
        <v>249</v>
      </c>
      <c r="M179">
        <v>139</v>
      </c>
      <c r="N179">
        <v>55</v>
      </c>
      <c r="O179">
        <v>1520</v>
      </c>
      <c r="P179">
        <v>9577</v>
      </c>
    </row>
    <row r="180" spans="1:16" x14ac:dyDescent="0.25">
      <c r="A180" s="1">
        <v>43893.75</v>
      </c>
      <c r="B180" s="2" t="s">
        <v>12</v>
      </c>
      <c r="C180">
        <v>11</v>
      </c>
      <c r="D180" s="2" t="s">
        <v>43</v>
      </c>
      <c r="E180">
        <v>4361675973</v>
      </c>
      <c r="F180">
        <v>135188753</v>
      </c>
      <c r="G180">
        <v>27</v>
      </c>
      <c r="H180">
        <v>13</v>
      </c>
      <c r="I180">
        <v>40</v>
      </c>
      <c r="J180">
        <v>19</v>
      </c>
      <c r="K180">
        <v>59</v>
      </c>
      <c r="L180">
        <v>25</v>
      </c>
      <c r="M180">
        <v>0</v>
      </c>
      <c r="N180">
        <v>2</v>
      </c>
      <c r="O180">
        <v>61</v>
      </c>
      <c r="P180">
        <v>200</v>
      </c>
    </row>
    <row r="181" spans="1:16" x14ac:dyDescent="0.25">
      <c r="A181" s="1">
        <v>43893.75</v>
      </c>
      <c r="B181" s="2" t="s">
        <v>12</v>
      </c>
      <c r="C181">
        <v>14</v>
      </c>
      <c r="D181" s="2" t="s">
        <v>44</v>
      </c>
      <c r="E181">
        <v>4155774754</v>
      </c>
      <c r="F181">
        <v>1465916051</v>
      </c>
      <c r="G181">
        <v>3</v>
      </c>
      <c r="H181">
        <v>0</v>
      </c>
      <c r="I181">
        <v>3</v>
      </c>
      <c r="J181">
        <v>0</v>
      </c>
      <c r="K181">
        <v>3</v>
      </c>
      <c r="L181">
        <v>3</v>
      </c>
      <c r="M181">
        <v>0</v>
      </c>
      <c r="N181">
        <v>0</v>
      </c>
      <c r="O181">
        <v>3</v>
      </c>
      <c r="P181">
        <v>13</v>
      </c>
    </row>
    <row r="182" spans="1:16" x14ac:dyDescent="0.25">
      <c r="A182" s="1">
        <v>43893.75</v>
      </c>
      <c r="B182" s="2" t="s">
        <v>12</v>
      </c>
      <c r="C182">
        <v>1</v>
      </c>
      <c r="D182" s="2" t="s">
        <v>45</v>
      </c>
      <c r="E182">
        <v>450732745</v>
      </c>
      <c r="F182">
        <v>7680687483</v>
      </c>
      <c r="G182">
        <v>13</v>
      </c>
      <c r="H182">
        <v>3</v>
      </c>
      <c r="I182">
        <v>16</v>
      </c>
      <c r="J182">
        <v>40</v>
      </c>
      <c r="K182">
        <v>56</v>
      </c>
      <c r="L182">
        <v>5</v>
      </c>
      <c r="M182">
        <v>0</v>
      </c>
      <c r="N182">
        <v>0</v>
      </c>
      <c r="O182">
        <v>56</v>
      </c>
      <c r="P182">
        <v>458</v>
      </c>
    </row>
    <row r="183" spans="1:16" x14ac:dyDescent="0.25">
      <c r="A183" s="1">
        <v>43893.75</v>
      </c>
      <c r="B183" s="2" t="s">
        <v>12</v>
      </c>
      <c r="C183">
        <v>16</v>
      </c>
      <c r="D183" s="2" t="s">
        <v>46</v>
      </c>
      <c r="E183">
        <v>4112559576</v>
      </c>
      <c r="F183">
        <v>1686736689</v>
      </c>
      <c r="G183">
        <v>2</v>
      </c>
      <c r="H183">
        <v>0</v>
      </c>
      <c r="I183">
        <v>2</v>
      </c>
      <c r="J183">
        <v>4</v>
      </c>
      <c r="K183">
        <v>6</v>
      </c>
      <c r="L183">
        <v>2</v>
      </c>
      <c r="M183">
        <v>0</v>
      </c>
      <c r="N183">
        <v>0</v>
      </c>
      <c r="O183">
        <v>6</v>
      </c>
      <c r="P183">
        <v>298</v>
      </c>
    </row>
    <row r="184" spans="1:16" x14ac:dyDescent="0.25">
      <c r="A184" s="1">
        <v>43893.75</v>
      </c>
      <c r="B184" s="2" t="s">
        <v>12</v>
      </c>
      <c r="C184">
        <v>20</v>
      </c>
      <c r="D184" s="2" t="s">
        <v>47</v>
      </c>
      <c r="E184">
        <v>3921531192</v>
      </c>
      <c r="F184">
        <v>9110616306</v>
      </c>
      <c r="G184">
        <v>1</v>
      </c>
      <c r="H184">
        <v>0</v>
      </c>
      <c r="I184">
        <v>1</v>
      </c>
      <c r="J184">
        <v>0</v>
      </c>
      <c r="K184">
        <v>1</v>
      </c>
      <c r="L184">
        <v>1</v>
      </c>
      <c r="M184">
        <v>0</v>
      </c>
      <c r="N184">
        <v>0</v>
      </c>
      <c r="O184">
        <v>1</v>
      </c>
      <c r="P184">
        <v>29</v>
      </c>
    </row>
    <row r="185" spans="1:16" x14ac:dyDescent="0.25">
      <c r="A185" s="1">
        <v>43893.75</v>
      </c>
      <c r="B185" s="2" t="s">
        <v>12</v>
      </c>
      <c r="C185">
        <v>19</v>
      </c>
      <c r="D185" s="2" t="s">
        <v>48</v>
      </c>
      <c r="E185">
        <v>3811569725</v>
      </c>
      <c r="F185">
        <v>133623567</v>
      </c>
      <c r="G185">
        <v>2</v>
      </c>
      <c r="H185">
        <v>0</v>
      </c>
      <c r="I185">
        <v>2</v>
      </c>
      <c r="J185">
        <v>3</v>
      </c>
      <c r="K185">
        <v>5</v>
      </c>
      <c r="L185">
        <v>0</v>
      </c>
      <c r="M185">
        <v>2</v>
      </c>
      <c r="N185">
        <v>0</v>
      </c>
      <c r="O185">
        <v>7</v>
      </c>
      <c r="P185">
        <v>307</v>
      </c>
    </row>
    <row r="186" spans="1:16" x14ac:dyDescent="0.25">
      <c r="A186" s="1">
        <v>43893.75</v>
      </c>
      <c r="B186" s="2" t="s">
        <v>12</v>
      </c>
      <c r="C186">
        <v>9</v>
      </c>
      <c r="D186" s="2" t="s">
        <v>49</v>
      </c>
      <c r="E186">
        <v>4376923077</v>
      </c>
      <c r="F186">
        <v>1125588885</v>
      </c>
      <c r="G186">
        <v>10</v>
      </c>
      <c r="H186">
        <v>0</v>
      </c>
      <c r="I186">
        <v>10</v>
      </c>
      <c r="J186">
        <v>8</v>
      </c>
      <c r="K186">
        <v>18</v>
      </c>
      <c r="L186">
        <v>6</v>
      </c>
      <c r="M186">
        <v>1</v>
      </c>
      <c r="N186">
        <v>0</v>
      </c>
      <c r="O186">
        <v>19</v>
      </c>
      <c r="P186">
        <v>697</v>
      </c>
    </row>
    <row r="187" spans="1:16" x14ac:dyDescent="0.25">
      <c r="A187" s="1">
        <v>43893.75</v>
      </c>
      <c r="B187" s="2" t="s">
        <v>12</v>
      </c>
      <c r="C187">
        <v>4</v>
      </c>
      <c r="D187" s="2" t="s">
        <v>50</v>
      </c>
      <c r="E187">
        <v>4606893511</v>
      </c>
      <c r="F187">
        <v>1112123097</v>
      </c>
      <c r="G187">
        <v>1</v>
      </c>
      <c r="H187">
        <v>0</v>
      </c>
      <c r="I187">
        <v>1</v>
      </c>
      <c r="J187">
        <v>3</v>
      </c>
      <c r="K187">
        <v>4</v>
      </c>
      <c r="L187">
        <v>4</v>
      </c>
      <c r="M187">
        <v>0</v>
      </c>
      <c r="N187">
        <v>0</v>
      </c>
      <c r="O187">
        <v>4</v>
      </c>
      <c r="P187">
        <v>122</v>
      </c>
    </row>
    <row r="188" spans="1:16" x14ac:dyDescent="0.25">
      <c r="A188" s="1">
        <v>43893.75</v>
      </c>
      <c r="B188" s="2" t="s">
        <v>12</v>
      </c>
      <c r="C188">
        <v>10</v>
      </c>
      <c r="D188" s="2" t="s">
        <v>51</v>
      </c>
      <c r="E188">
        <v>4310675841</v>
      </c>
      <c r="F188">
        <v>1238824698</v>
      </c>
      <c r="G188">
        <v>1</v>
      </c>
      <c r="H188">
        <v>1</v>
      </c>
      <c r="I188">
        <v>2</v>
      </c>
      <c r="J188">
        <v>6</v>
      </c>
      <c r="K188">
        <v>8</v>
      </c>
      <c r="L188">
        <v>6</v>
      </c>
      <c r="M188">
        <v>0</v>
      </c>
      <c r="N188">
        <v>0</v>
      </c>
      <c r="O188">
        <v>8</v>
      </c>
      <c r="P188">
        <v>45</v>
      </c>
    </row>
    <row r="189" spans="1:16" x14ac:dyDescent="0.25">
      <c r="A189" s="1">
        <v>43893.75</v>
      </c>
      <c r="B189" s="2" t="s">
        <v>12</v>
      </c>
      <c r="C189">
        <v>2</v>
      </c>
      <c r="D189" s="2" t="s">
        <v>52</v>
      </c>
      <c r="E189">
        <v>4573750286</v>
      </c>
      <c r="F189">
        <v>7320149366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12</v>
      </c>
    </row>
    <row r="190" spans="1:16" x14ac:dyDescent="0.25">
      <c r="A190" s="1">
        <v>43893.75</v>
      </c>
      <c r="B190" s="2" t="s">
        <v>12</v>
      </c>
      <c r="C190">
        <v>5</v>
      </c>
      <c r="D190" s="2" t="s">
        <v>53</v>
      </c>
      <c r="E190">
        <v>4543490485</v>
      </c>
      <c r="F190">
        <v>1233845213</v>
      </c>
      <c r="G190">
        <v>49</v>
      </c>
      <c r="H190">
        <v>19</v>
      </c>
      <c r="I190">
        <v>68</v>
      </c>
      <c r="J190">
        <v>229</v>
      </c>
      <c r="K190">
        <v>297</v>
      </c>
      <c r="L190">
        <v>26</v>
      </c>
      <c r="M190">
        <v>7</v>
      </c>
      <c r="N190">
        <v>3</v>
      </c>
      <c r="O190">
        <v>307</v>
      </c>
      <c r="P190">
        <v>10176</v>
      </c>
    </row>
    <row r="191" spans="1:16" x14ac:dyDescent="0.25">
      <c r="A191" s="1">
        <v>43894.708333333336</v>
      </c>
      <c r="B191" s="2" t="s">
        <v>12</v>
      </c>
      <c r="C191">
        <v>13</v>
      </c>
      <c r="D191" s="2" t="s">
        <v>33</v>
      </c>
      <c r="E191">
        <v>4235122196</v>
      </c>
      <c r="F191">
        <v>1339843823</v>
      </c>
      <c r="G191">
        <v>7</v>
      </c>
      <c r="H191">
        <v>0</v>
      </c>
      <c r="I191">
        <v>7</v>
      </c>
      <c r="J191">
        <v>0</v>
      </c>
      <c r="K191">
        <v>7</v>
      </c>
      <c r="L191">
        <v>1</v>
      </c>
      <c r="M191">
        <v>0</v>
      </c>
      <c r="N191">
        <v>0</v>
      </c>
      <c r="O191">
        <v>7</v>
      </c>
      <c r="P191">
        <v>85</v>
      </c>
    </row>
    <row r="192" spans="1:16" x14ac:dyDescent="0.25">
      <c r="A192" s="1">
        <v>43894.708333333336</v>
      </c>
      <c r="B192" s="2" t="s">
        <v>12</v>
      </c>
      <c r="C192">
        <v>17</v>
      </c>
      <c r="D192" s="2" t="s">
        <v>34</v>
      </c>
      <c r="E192">
        <v>4063947052</v>
      </c>
      <c r="F192">
        <v>1580514834</v>
      </c>
      <c r="G192">
        <v>0</v>
      </c>
      <c r="H192">
        <v>0</v>
      </c>
      <c r="I192">
        <v>0</v>
      </c>
      <c r="J192">
        <v>1</v>
      </c>
      <c r="K192">
        <v>1</v>
      </c>
      <c r="L192">
        <v>0</v>
      </c>
      <c r="M192">
        <v>0</v>
      </c>
      <c r="N192">
        <v>0</v>
      </c>
      <c r="O192">
        <v>1</v>
      </c>
      <c r="P192">
        <v>48</v>
      </c>
    </row>
    <row r="193" spans="1:16" x14ac:dyDescent="0.25">
      <c r="A193" s="1">
        <v>43894.708333333336</v>
      </c>
      <c r="B193" s="2" t="s">
        <v>12</v>
      </c>
      <c r="C193">
        <v>4</v>
      </c>
      <c r="D193" s="2" t="s">
        <v>35</v>
      </c>
      <c r="E193">
        <v>4649933453</v>
      </c>
      <c r="F193">
        <v>1135662422</v>
      </c>
      <c r="G193">
        <v>1</v>
      </c>
      <c r="H193">
        <v>0</v>
      </c>
      <c r="I193">
        <v>1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1</v>
      </c>
      <c r="P193">
        <v>20</v>
      </c>
    </row>
    <row r="194" spans="1:16" x14ac:dyDescent="0.25">
      <c r="A194" s="1">
        <v>43894.708333333336</v>
      </c>
      <c r="B194" s="2" t="s">
        <v>12</v>
      </c>
      <c r="C194">
        <v>18</v>
      </c>
      <c r="D194" s="2" t="s">
        <v>36</v>
      </c>
      <c r="E194">
        <v>3890597598</v>
      </c>
      <c r="F194">
        <v>1659440194</v>
      </c>
      <c r="G194">
        <v>0</v>
      </c>
      <c r="H194">
        <v>0</v>
      </c>
      <c r="I194">
        <v>0</v>
      </c>
      <c r="J194">
        <v>1</v>
      </c>
      <c r="K194">
        <v>1</v>
      </c>
      <c r="L194">
        <v>0</v>
      </c>
      <c r="M194">
        <v>0</v>
      </c>
      <c r="N194">
        <v>0</v>
      </c>
      <c r="O194">
        <v>1</v>
      </c>
      <c r="P194">
        <v>46</v>
      </c>
    </row>
    <row r="195" spans="1:16" x14ac:dyDescent="0.25">
      <c r="A195" s="1">
        <v>43894.708333333336</v>
      </c>
      <c r="B195" s="2" t="s">
        <v>12</v>
      </c>
      <c r="C195">
        <v>15</v>
      </c>
      <c r="D195" s="2" t="s">
        <v>37</v>
      </c>
      <c r="E195">
        <v>4083956555</v>
      </c>
      <c r="F195">
        <v>1425084984</v>
      </c>
      <c r="G195">
        <v>11</v>
      </c>
      <c r="H195">
        <v>0</v>
      </c>
      <c r="I195">
        <v>11</v>
      </c>
      <c r="J195">
        <v>20</v>
      </c>
      <c r="K195">
        <v>31</v>
      </c>
      <c r="L195">
        <v>1</v>
      </c>
      <c r="M195">
        <v>0</v>
      </c>
      <c r="N195">
        <v>0</v>
      </c>
      <c r="O195">
        <v>31</v>
      </c>
      <c r="P195">
        <v>429</v>
      </c>
    </row>
    <row r="196" spans="1:16" x14ac:dyDescent="0.25">
      <c r="A196" s="1">
        <v>43894.708333333336</v>
      </c>
      <c r="B196" s="2" t="s">
        <v>12</v>
      </c>
      <c r="C196">
        <v>8</v>
      </c>
      <c r="D196" s="2" t="s">
        <v>38</v>
      </c>
      <c r="E196">
        <v>4449436681</v>
      </c>
      <c r="F196">
        <v>113417208</v>
      </c>
      <c r="G196">
        <v>256</v>
      </c>
      <c r="H196">
        <v>26</v>
      </c>
      <c r="I196">
        <v>282</v>
      </c>
      <c r="J196">
        <v>234</v>
      </c>
      <c r="K196">
        <v>516</v>
      </c>
      <c r="L196">
        <v>118</v>
      </c>
      <c r="M196">
        <v>6</v>
      </c>
      <c r="N196">
        <v>22</v>
      </c>
      <c r="O196">
        <v>544</v>
      </c>
      <c r="P196">
        <v>2500</v>
      </c>
    </row>
    <row r="197" spans="1:16" x14ac:dyDescent="0.25">
      <c r="A197" s="1">
        <v>43894.708333333336</v>
      </c>
      <c r="B197" s="2" t="s">
        <v>12</v>
      </c>
      <c r="C197">
        <v>6</v>
      </c>
      <c r="D197" s="2" t="s">
        <v>39</v>
      </c>
      <c r="E197">
        <v>456494354</v>
      </c>
      <c r="F197">
        <v>1376813649</v>
      </c>
      <c r="G197">
        <v>3</v>
      </c>
      <c r="H197">
        <v>0</v>
      </c>
      <c r="I197">
        <v>3</v>
      </c>
      <c r="J197">
        <v>15</v>
      </c>
      <c r="K197">
        <v>18</v>
      </c>
      <c r="L197">
        <v>5</v>
      </c>
      <c r="M197">
        <v>0</v>
      </c>
      <c r="N197">
        <v>0</v>
      </c>
      <c r="O197">
        <v>18</v>
      </c>
      <c r="P197">
        <v>376</v>
      </c>
    </row>
    <row r="198" spans="1:16" x14ac:dyDescent="0.25">
      <c r="A198" s="1">
        <v>43894.708333333336</v>
      </c>
      <c r="B198" s="2" t="s">
        <v>12</v>
      </c>
      <c r="C198">
        <v>12</v>
      </c>
      <c r="D198" s="2" t="s">
        <v>40</v>
      </c>
      <c r="E198">
        <v>4189277044</v>
      </c>
      <c r="F198">
        <v>1248366722</v>
      </c>
      <c r="G198">
        <v>15</v>
      </c>
      <c r="H198">
        <v>3</v>
      </c>
      <c r="I198">
        <v>18</v>
      </c>
      <c r="J198">
        <v>9</v>
      </c>
      <c r="K198">
        <v>27</v>
      </c>
      <c r="L198">
        <v>16</v>
      </c>
      <c r="M198">
        <v>3</v>
      </c>
      <c r="N198">
        <v>0</v>
      </c>
      <c r="O198">
        <v>30</v>
      </c>
      <c r="P198">
        <v>995</v>
      </c>
    </row>
    <row r="199" spans="1:16" x14ac:dyDescent="0.25">
      <c r="A199" s="1">
        <v>43894.708333333336</v>
      </c>
      <c r="B199" s="2" t="s">
        <v>12</v>
      </c>
      <c r="C199">
        <v>7</v>
      </c>
      <c r="D199" s="2" t="s">
        <v>41</v>
      </c>
      <c r="E199">
        <v>4441149315</v>
      </c>
      <c r="F199">
        <v>89326992</v>
      </c>
      <c r="G199">
        <v>10</v>
      </c>
      <c r="H199">
        <v>3</v>
      </c>
      <c r="I199">
        <v>13</v>
      </c>
      <c r="J199">
        <v>8</v>
      </c>
      <c r="K199">
        <v>21</v>
      </c>
      <c r="L199">
        <v>2</v>
      </c>
      <c r="M199">
        <v>4</v>
      </c>
      <c r="N199">
        <v>1</v>
      </c>
      <c r="O199">
        <v>26</v>
      </c>
      <c r="P199">
        <v>133</v>
      </c>
    </row>
    <row r="200" spans="1:16" x14ac:dyDescent="0.25">
      <c r="A200" s="1">
        <v>43894.708333333336</v>
      </c>
      <c r="B200" s="2" t="s">
        <v>12</v>
      </c>
      <c r="C200">
        <v>3</v>
      </c>
      <c r="D200" s="2" t="s">
        <v>42</v>
      </c>
      <c r="E200">
        <v>4546679409</v>
      </c>
      <c r="F200">
        <v>9190347404</v>
      </c>
      <c r="G200">
        <v>877</v>
      </c>
      <c r="H200">
        <v>209</v>
      </c>
      <c r="I200">
        <v>1086</v>
      </c>
      <c r="J200">
        <v>411</v>
      </c>
      <c r="K200">
        <v>1497</v>
      </c>
      <c r="L200">
        <v>171</v>
      </c>
      <c r="M200">
        <v>250</v>
      </c>
      <c r="N200">
        <v>73</v>
      </c>
      <c r="O200">
        <v>1820</v>
      </c>
      <c r="P200">
        <v>12138</v>
      </c>
    </row>
    <row r="201" spans="1:16" x14ac:dyDescent="0.25">
      <c r="A201" s="1">
        <v>43894.708333333336</v>
      </c>
      <c r="B201" s="2" t="s">
        <v>12</v>
      </c>
      <c r="C201">
        <v>11</v>
      </c>
      <c r="D201" s="2" t="s">
        <v>43</v>
      </c>
      <c r="E201">
        <v>4361675973</v>
      </c>
      <c r="F201">
        <v>135188753</v>
      </c>
      <c r="G201">
        <v>34</v>
      </c>
      <c r="H201">
        <v>15</v>
      </c>
      <c r="I201">
        <v>49</v>
      </c>
      <c r="J201">
        <v>31</v>
      </c>
      <c r="K201">
        <v>80</v>
      </c>
      <c r="L201">
        <v>21</v>
      </c>
      <c r="M201">
        <v>0</v>
      </c>
      <c r="N201">
        <v>4</v>
      </c>
      <c r="O201">
        <v>84</v>
      </c>
      <c r="P201">
        <v>288</v>
      </c>
    </row>
    <row r="202" spans="1:16" x14ac:dyDescent="0.25">
      <c r="A202" s="1">
        <v>43894.708333333336</v>
      </c>
      <c r="B202" s="2" t="s">
        <v>12</v>
      </c>
      <c r="C202">
        <v>14</v>
      </c>
      <c r="D202" s="2" t="s">
        <v>44</v>
      </c>
      <c r="E202">
        <v>4155774754</v>
      </c>
      <c r="F202">
        <v>1465916051</v>
      </c>
      <c r="G202">
        <v>3</v>
      </c>
      <c r="H202">
        <v>0</v>
      </c>
      <c r="I202">
        <v>3</v>
      </c>
      <c r="J202">
        <v>0</v>
      </c>
      <c r="K202">
        <v>3</v>
      </c>
      <c r="L202">
        <v>0</v>
      </c>
      <c r="M202">
        <v>0</v>
      </c>
      <c r="N202">
        <v>0</v>
      </c>
      <c r="O202">
        <v>3</v>
      </c>
      <c r="P202">
        <v>19</v>
      </c>
    </row>
    <row r="203" spans="1:16" x14ac:dyDescent="0.25">
      <c r="A203" s="1">
        <v>43894.708333333336</v>
      </c>
      <c r="B203" s="2" t="s">
        <v>12</v>
      </c>
      <c r="C203">
        <v>1</v>
      </c>
      <c r="D203" s="2" t="s">
        <v>45</v>
      </c>
      <c r="E203">
        <v>450732745</v>
      </c>
      <c r="F203">
        <v>7680687483</v>
      </c>
      <c r="G203">
        <v>26</v>
      </c>
      <c r="H203">
        <v>13</v>
      </c>
      <c r="I203">
        <v>39</v>
      </c>
      <c r="J203">
        <v>43</v>
      </c>
      <c r="K203">
        <v>82</v>
      </c>
      <c r="L203">
        <v>26</v>
      </c>
      <c r="M203">
        <v>0</v>
      </c>
      <c r="N203">
        <v>0</v>
      </c>
      <c r="O203">
        <v>82</v>
      </c>
      <c r="P203">
        <v>543</v>
      </c>
    </row>
    <row r="204" spans="1:16" x14ac:dyDescent="0.25">
      <c r="A204" s="1">
        <v>43894.708333333336</v>
      </c>
      <c r="B204" s="2" t="s">
        <v>12</v>
      </c>
      <c r="C204">
        <v>16</v>
      </c>
      <c r="D204" s="2" t="s">
        <v>46</v>
      </c>
      <c r="E204">
        <v>4112559576</v>
      </c>
      <c r="F204">
        <v>1686736689</v>
      </c>
      <c r="G204">
        <v>4</v>
      </c>
      <c r="H204">
        <v>0</v>
      </c>
      <c r="I204">
        <v>4</v>
      </c>
      <c r="J204">
        <v>3</v>
      </c>
      <c r="K204">
        <v>7</v>
      </c>
      <c r="L204">
        <v>1</v>
      </c>
      <c r="M204">
        <v>1</v>
      </c>
      <c r="N204">
        <v>1</v>
      </c>
      <c r="O204">
        <v>9</v>
      </c>
      <c r="P204">
        <v>322</v>
      </c>
    </row>
    <row r="205" spans="1:16" x14ac:dyDescent="0.25">
      <c r="A205" s="1">
        <v>43894.708333333336</v>
      </c>
      <c r="B205" s="2" t="s">
        <v>12</v>
      </c>
      <c r="C205">
        <v>20</v>
      </c>
      <c r="D205" s="2" t="s">
        <v>47</v>
      </c>
      <c r="E205">
        <v>3921531192</v>
      </c>
      <c r="F205">
        <v>9110616306</v>
      </c>
      <c r="G205">
        <v>1</v>
      </c>
      <c r="H205">
        <v>0</v>
      </c>
      <c r="I205">
        <v>1</v>
      </c>
      <c r="J205">
        <v>1</v>
      </c>
      <c r="K205">
        <v>2</v>
      </c>
      <c r="L205">
        <v>1</v>
      </c>
      <c r="M205">
        <v>0</v>
      </c>
      <c r="N205">
        <v>0</v>
      </c>
      <c r="O205">
        <v>2</v>
      </c>
      <c r="P205">
        <v>42</v>
      </c>
    </row>
    <row r="206" spans="1:16" x14ac:dyDescent="0.25">
      <c r="A206" s="1">
        <v>43894.708333333336</v>
      </c>
      <c r="B206" s="2" t="s">
        <v>12</v>
      </c>
      <c r="C206">
        <v>19</v>
      </c>
      <c r="D206" s="2" t="s">
        <v>48</v>
      </c>
      <c r="E206">
        <v>3811569725</v>
      </c>
      <c r="F206">
        <v>133623567</v>
      </c>
      <c r="G206">
        <v>5</v>
      </c>
      <c r="H206">
        <v>0</v>
      </c>
      <c r="I206">
        <v>5</v>
      </c>
      <c r="J206">
        <v>11</v>
      </c>
      <c r="K206">
        <v>16</v>
      </c>
      <c r="L206">
        <v>11</v>
      </c>
      <c r="M206">
        <v>2</v>
      </c>
      <c r="N206">
        <v>0</v>
      </c>
      <c r="O206">
        <v>18</v>
      </c>
      <c r="P206">
        <v>367</v>
      </c>
    </row>
    <row r="207" spans="1:16" x14ac:dyDescent="0.25">
      <c r="A207" s="1">
        <v>43894.708333333336</v>
      </c>
      <c r="B207" s="2" t="s">
        <v>12</v>
      </c>
      <c r="C207">
        <v>9</v>
      </c>
      <c r="D207" s="2" t="s">
        <v>49</v>
      </c>
      <c r="E207">
        <v>4376923077</v>
      </c>
      <c r="F207">
        <v>1125588885</v>
      </c>
      <c r="G207">
        <v>15</v>
      </c>
      <c r="H207">
        <v>2</v>
      </c>
      <c r="I207">
        <v>17</v>
      </c>
      <c r="J207">
        <v>20</v>
      </c>
      <c r="K207">
        <v>37</v>
      </c>
      <c r="L207">
        <v>19</v>
      </c>
      <c r="M207">
        <v>1</v>
      </c>
      <c r="N207">
        <v>0</v>
      </c>
      <c r="O207">
        <v>38</v>
      </c>
      <c r="P207">
        <v>776</v>
      </c>
    </row>
    <row r="208" spans="1:16" x14ac:dyDescent="0.25">
      <c r="A208" s="1">
        <v>43894.708333333336</v>
      </c>
      <c r="B208" s="2" t="s">
        <v>12</v>
      </c>
      <c r="C208">
        <v>4</v>
      </c>
      <c r="D208" s="2" t="s">
        <v>50</v>
      </c>
      <c r="E208">
        <v>4606893511</v>
      </c>
      <c r="F208">
        <v>1112123097</v>
      </c>
      <c r="G208">
        <v>1</v>
      </c>
      <c r="H208">
        <v>0</v>
      </c>
      <c r="I208">
        <v>1</v>
      </c>
      <c r="J208">
        <v>4</v>
      </c>
      <c r="K208">
        <v>5</v>
      </c>
      <c r="L208">
        <v>1</v>
      </c>
      <c r="M208">
        <v>0</v>
      </c>
      <c r="N208">
        <v>0</v>
      </c>
      <c r="O208">
        <v>5</v>
      </c>
      <c r="P208">
        <v>122</v>
      </c>
    </row>
    <row r="209" spans="1:16" x14ac:dyDescent="0.25">
      <c r="A209" s="1">
        <v>43894.708333333336</v>
      </c>
      <c r="B209" s="2" t="s">
        <v>12</v>
      </c>
      <c r="C209">
        <v>10</v>
      </c>
      <c r="D209" s="2" t="s">
        <v>51</v>
      </c>
      <c r="E209">
        <v>4310675841</v>
      </c>
      <c r="F209">
        <v>1238824698</v>
      </c>
      <c r="G209">
        <v>1</v>
      </c>
      <c r="H209">
        <v>1</v>
      </c>
      <c r="I209">
        <v>2</v>
      </c>
      <c r="J209">
        <v>7</v>
      </c>
      <c r="K209">
        <v>9</v>
      </c>
      <c r="L209">
        <v>1</v>
      </c>
      <c r="M209">
        <v>0</v>
      </c>
      <c r="N209">
        <v>0</v>
      </c>
      <c r="O209">
        <v>9</v>
      </c>
      <c r="P209">
        <v>58</v>
      </c>
    </row>
    <row r="210" spans="1:16" x14ac:dyDescent="0.25">
      <c r="A210" s="1">
        <v>43894.708333333336</v>
      </c>
      <c r="B210" s="2" t="s">
        <v>12</v>
      </c>
      <c r="C210">
        <v>2</v>
      </c>
      <c r="D210" s="2" t="s">
        <v>52</v>
      </c>
      <c r="E210">
        <v>4573750286</v>
      </c>
      <c r="F210">
        <v>7320149366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15</v>
      </c>
    </row>
    <row r="211" spans="1:16" x14ac:dyDescent="0.25">
      <c r="A211" s="1">
        <v>43894.708333333336</v>
      </c>
      <c r="B211" s="2" t="s">
        <v>12</v>
      </c>
      <c r="C211">
        <v>5</v>
      </c>
      <c r="D211" s="2" t="s">
        <v>53</v>
      </c>
      <c r="E211">
        <v>4543490485</v>
      </c>
      <c r="F211">
        <v>1233845213</v>
      </c>
      <c r="G211">
        <v>76</v>
      </c>
      <c r="H211">
        <v>23</v>
      </c>
      <c r="I211">
        <v>99</v>
      </c>
      <c r="J211">
        <v>246</v>
      </c>
      <c r="K211">
        <v>345</v>
      </c>
      <c r="L211">
        <v>48</v>
      </c>
      <c r="M211">
        <v>9</v>
      </c>
      <c r="N211">
        <v>6</v>
      </c>
      <c r="O211">
        <v>360</v>
      </c>
      <c r="P211">
        <v>10515</v>
      </c>
    </row>
    <row r="212" spans="1:16" x14ac:dyDescent="0.25">
      <c r="A212" s="1">
        <v>43895.708333333336</v>
      </c>
      <c r="B212" s="2" t="s">
        <v>12</v>
      </c>
      <c r="C212">
        <v>13</v>
      </c>
      <c r="D212" s="2" t="s">
        <v>33</v>
      </c>
      <c r="E212">
        <v>4235122196</v>
      </c>
      <c r="F212">
        <v>1339843823</v>
      </c>
      <c r="G212">
        <v>8</v>
      </c>
      <c r="H212">
        <v>0</v>
      </c>
      <c r="I212">
        <v>8</v>
      </c>
      <c r="J212">
        <v>0</v>
      </c>
      <c r="K212">
        <v>8</v>
      </c>
      <c r="L212">
        <v>1</v>
      </c>
      <c r="M212">
        <v>0</v>
      </c>
      <c r="N212">
        <v>0</v>
      </c>
      <c r="O212">
        <v>8</v>
      </c>
      <c r="P212">
        <v>96</v>
      </c>
    </row>
    <row r="213" spans="1:16" x14ac:dyDescent="0.25">
      <c r="A213" s="1">
        <v>43895.708333333336</v>
      </c>
      <c r="B213" s="2" t="s">
        <v>12</v>
      </c>
      <c r="C213">
        <v>17</v>
      </c>
      <c r="D213" s="2" t="s">
        <v>34</v>
      </c>
      <c r="E213">
        <v>4063947052</v>
      </c>
      <c r="F213">
        <v>1580514834</v>
      </c>
      <c r="G213">
        <v>0</v>
      </c>
      <c r="H213">
        <v>0</v>
      </c>
      <c r="I213">
        <v>0</v>
      </c>
      <c r="J213">
        <v>1</v>
      </c>
      <c r="K213">
        <v>1</v>
      </c>
      <c r="L213">
        <v>0</v>
      </c>
      <c r="M213">
        <v>0</v>
      </c>
      <c r="N213">
        <v>0</v>
      </c>
      <c r="O213">
        <v>1</v>
      </c>
      <c r="P213">
        <v>54</v>
      </c>
    </row>
    <row r="214" spans="1:16" x14ac:dyDescent="0.25">
      <c r="A214" s="1">
        <v>43895.708333333336</v>
      </c>
      <c r="B214" s="2" t="s">
        <v>12</v>
      </c>
      <c r="C214">
        <v>4</v>
      </c>
      <c r="D214" s="2" t="s">
        <v>35</v>
      </c>
      <c r="E214">
        <v>4649933453</v>
      </c>
      <c r="F214">
        <v>1135662422</v>
      </c>
      <c r="G214">
        <v>1</v>
      </c>
      <c r="H214">
        <v>0</v>
      </c>
      <c r="I214">
        <v>1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1</v>
      </c>
      <c r="P214">
        <v>20</v>
      </c>
    </row>
    <row r="215" spans="1:16" x14ac:dyDescent="0.25">
      <c r="A215" s="1">
        <v>43895.708333333336</v>
      </c>
      <c r="B215" s="2" t="s">
        <v>12</v>
      </c>
      <c r="C215">
        <v>18</v>
      </c>
      <c r="D215" s="2" t="s">
        <v>36</v>
      </c>
      <c r="E215">
        <v>3890597598</v>
      </c>
      <c r="F215">
        <v>1659440194</v>
      </c>
      <c r="G215">
        <v>1</v>
      </c>
      <c r="H215">
        <v>0</v>
      </c>
      <c r="I215">
        <v>1</v>
      </c>
      <c r="J215">
        <v>1</v>
      </c>
      <c r="K215">
        <v>2</v>
      </c>
      <c r="L215">
        <v>1</v>
      </c>
      <c r="M215">
        <v>0</v>
      </c>
      <c r="N215">
        <v>0</v>
      </c>
      <c r="O215">
        <v>2</v>
      </c>
      <c r="P215">
        <v>53</v>
      </c>
    </row>
    <row r="216" spans="1:16" x14ac:dyDescent="0.25">
      <c r="A216" s="1">
        <v>43895.708333333336</v>
      </c>
      <c r="B216" s="2" t="s">
        <v>12</v>
      </c>
      <c r="C216">
        <v>15</v>
      </c>
      <c r="D216" s="2" t="s">
        <v>37</v>
      </c>
      <c r="E216">
        <v>4083956555</v>
      </c>
      <c r="F216">
        <v>1425084984</v>
      </c>
      <c r="G216">
        <v>12</v>
      </c>
      <c r="H216">
        <v>0</v>
      </c>
      <c r="I216">
        <v>12</v>
      </c>
      <c r="J216">
        <v>33</v>
      </c>
      <c r="K216">
        <v>45</v>
      </c>
      <c r="L216">
        <v>14</v>
      </c>
      <c r="M216">
        <v>0</v>
      </c>
      <c r="N216">
        <v>0</v>
      </c>
      <c r="O216">
        <v>45</v>
      </c>
      <c r="P216">
        <v>471</v>
      </c>
    </row>
    <row r="217" spans="1:16" x14ac:dyDescent="0.25">
      <c r="A217" s="1">
        <v>43895.708333333336</v>
      </c>
      <c r="B217" s="2" t="s">
        <v>12</v>
      </c>
      <c r="C217">
        <v>8</v>
      </c>
      <c r="D217" s="2" t="s">
        <v>38</v>
      </c>
      <c r="E217">
        <v>4449436681</v>
      </c>
      <c r="F217">
        <v>113417208</v>
      </c>
      <c r="G217">
        <v>327</v>
      </c>
      <c r="H217">
        <v>32</v>
      </c>
      <c r="I217">
        <v>359</v>
      </c>
      <c r="J217">
        <v>299</v>
      </c>
      <c r="K217">
        <v>658</v>
      </c>
      <c r="L217">
        <v>142</v>
      </c>
      <c r="M217">
        <v>10</v>
      </c>
      <c r="N217">
        <v>30</v>
      </c>
      <c r="O217">
        <v>698</v>
      </c>
      <c r="P217">
        <v>2884</v>
      </c>
    </row>
    <row r="218" spans="1:16" x14ac:dyDescent="0.25">
      <c r="A218" s="1">
        <v>43895.708333333336</v>
      </c>
      <c r="B218" s="2" t="s">
        <v>12</v>
      </c>
      <c r="C218">
        <v>6</v>
      </c>
      <c r="D218" s="2" t="s">
        <v>39</v>
      </c>
      <c r="E218">
        <v>456494354</v>
      </c>
      <c r="F218">
        <v>1376813649</v>
      </c>
      <c r="G218">
        <v>4</v>
      </c>
      <c r="H218">
        <v>0</v>
      </c>
      <c r="I218">
        <v>4</v>
      </c>
      <c r="J218">
        <v>17</v>
      </c>
      <c r="K218">
        <v>21</v>
      </c>
      <c r="L218">
        <v>3</v>
      </c>
      <c r="M218">
        <v>0</v>
      </c>
      <c r="N218">
        <v>0</v>
      </c>
      <c r="O218">
        <v>21</v>
      </c>
      <c r="P218">
        <v>397</v>
      </c>
    </row>
    <row r="219" spans="1:16" x14ac:dyDescent="0.25">
      <c r="A219" s="1">
        <v>43895.708333333336</v>
      </c>
      <c r="B219" s="2" t="s">
        <v>12</v>
      </c>
      <c r="C219">
        <v>12</v>
      </c>
      <c r="D219" s="2" t="s">
        <v>40</v>
      </c>
      <c r="E219">
        <v>4189277044</v>
      </c>
      <c r="F219">
        <v>1248366722</v>
      </c>
      <c r="G219">
        <v>20</v>
      </c>
      <c r="H219">
        <v>7</v>
      </c>
      <c r="I219">
        <v>27</v>
      </c>
      <c r="J219">
        <v>14</v>
      </c>
      <c r="K219">
        <v>41</v>
      </c>
      <c r="L219">
        <v>14</v>
      </c>
      <c r="M219">
        <v>3</v>
      </c>
      <c r="N219">
        <v>0</v>
      </c>
      <c r="O219">
        <v>44</v>
      </c>
      <c r="P219">
        <v>1175</v>
      </c>
    </row>
    <row r="220" spans="1:16" x14ac:dyDescent="0.25">
      <c r="A220" s="1">
        <v>43895.708333333336</v>
      </c>
      <c r="B220" s="2" t="s">
        <v>12</v>
      </c>
      <c r="C220">
        <v>7</v>
      </c>
      <c r="D220" s="2" t="s">
        <v>41</v>
      </c>
      <c r="E220">
        <v>4441149315</v>
      </c>
      <c r="F220">
        <v>89326992</v>
      </c>
      <c r="G220">
        <v>11</v>
      </c>
      <c r="H220">
        <v>3</v>
      </c>
      <c r="I220">
        <v>14</v>
      </c>
      <c r="J220">
        <v>7</v>
      </c>
      <c r="K220">
        <v>21</v>
      </c>
      <c r="L220">
        <v>0</v>
      </c>
      <c r="M220">
        <v>4</v>
      </c>
      <c r="N220">
        <v>3</v>
      </c>
      <c r="O220">
        <v>28</v>
      </c>
      <c r="P220">
        <v>146</v>
      </c>
    </row>
    <row r="221" spans="1:16" x14ac:dyDescent="0.25">
      <c r="A221" s="1">
        <v>43895.708333333336</v>
      </c>
      <c r="B221" s="2" t="s">
        <v>12</v>
      </c>
      <c r="C221">
        <v>3</v>
      </c>
      <c r="D221" s="2" t="s">
        <v>42</v>
      </c>
      <c r="E221">
        <v>4546679409</v>
      </c>
      <c r="F221">
        <v>9190347404</v>
      </c>
      <c r="G221">
        <v>1169</v>
      </c>
      <c r="H221">
        <v>244</v>
      </c>
      <c r="I221">
        <v>1413</v>
      </c>
      <c r="J221">
        <v>364</v>
      </c>
      <c r="K221">
        <v>1777</v>
      </c>
      <c r="L221">
        <v>280</v>
      </c>
      <c r="M221">
        <v>376</v>
      </c>
      <c r="N221">
        <v>98</v>
      </c>
      <c r="O221">
        <v>2251</v>
      </c>
      <c r="P221">
        <v>12354</v>
      </c>
    </row>
    <row r="222" spans="1:16" x14ac:dyDescent="0.25">
      <c r="A222" s="1">
        <v>43895.708333333336</v>
      </c>
      <c r="B222" s="2" t="s">
        <v>12</v>
      </c>
      <c r="C222">
        <v>11</v>
      </c>
      <c r="D222" s="2" t="s">
        <v>43</v>
      </c>
      <c r="E222">
        <v>4361675973</v>
      </c>
      <c r="F222">
        <v>135188753</v>
      </c>
      <c r="G222">
        <v>57</v>
      </c>
      <c r="H222">
        <v>19</v>
      </c>
      <c r="I222">
        <v>76</v>
      </c>
      <c r="J222">
        <v>44</v>
      </c>
      <c r="K222">
        <v>120</v>
      </c>
      <c r="L222">
        <v>40</v>
      </c>
      <c r="M222">
        <v>0</v>
      </c>
      <c r="N222">
        <v>4</v>
      </c>
      <c r="O222">
        <v>124</v>
      </c>
      <c r="P222">
        <v>413</v>
      </c>
    </row>
    <row r="223" spans="1:16" x14ac:dyDescent="0.25">
      <c r="A223" s="1">
        <v>43895.708333333336</v>
      </c>
      <c r="B223" s="2" t="s">
        <v>12</v>
      </c>
      <c r="C223">
        <v>14</v>
      </c>
      <c r="D223" s="2" t="s">
        <v>44</v>
      </c>
      <c r="E223">
        <v>4155774754</v>
      </c>
      <c r="F223">
        <v>1465916051</v>
      </c>
      <c r="G223">
        <v>4</v>
      </c>
      <c r="H223">
        <v>0</v>
      </c>
      <c r="I223">
        <v>4</v>
      </c>
      <c r="J223">
        <v>3</v>
      </c>
      <c r="K223">
        <v>7</v>
      </c>
      <c r="L223">
        <v>4</v>
      </c>
      <c r="M223">
        <v>0</v>
      </c>
      <c r="N223">
        <v>0</v>
      </c>
      <c r="O223">
        <v>7</v>
      </c>
      <c r="P223">
        <v>24</v>
      </c>
    </row>
    <row r="224" spans="1:16" x14ac:dyDescent="0.25">
      <c r="A224" s="1">
        <v>43895.708333333336</v>
      </c>
      <c r="B224" s="2" t="s">
        <v>12</v>
      </c>
      <c r="C224">
        <v>1</v>
      </c>
      <c r="D224" s="2" t="s">
        <v>45</v>
      </c>
      <c r="E224">
        <v>450732745</v>
      </c>
      <c r="F224">
        <v>7680687483</v>
      </c>
      <c r="G224">
        <v>43</v>
      </c>
      <c r="H224">
        <v>17</v>
      </c>
      <c r="I224">
        <v>60</v>
      </c>
      <c r="J224">
        <v>46</v>
      </c>
      <c r="K224">
        <v>106</v>
      </c>
      <c r="L224">
        <v>24</v>
      </c>
      <c r="M224">
        <v>0</v>
      </c>
      <c r="N224">
        <v>2</v>
      </c>
      <c r="O224">
        <v>108</v>
      </c>
      <c r="P224">
        <v>543</v>
      </c>
    </row>
    <row r="225" spans="1:16" x14ac:dyDescent="0.25">
      <c r="A225" s="1">
        <v>43895.708333333336</v>
      </c>
      <c r="B225" s="2" t="s">
        <v>12</v>
      </c>
      <c r="C225">
        <v>16</v>
      </c>
      <c r="D225" s="2" t="s">
        <v>46</v>
      </c>
      <c r="E225">
        <v>4112559576</v>
      </c>
      <c r="F225">
        <v>1686736689</v>
      </c>
      <c r="G225">
        <v>5</v>
      </c>
      <c r="H225">
        <v>1</v>
      </c>
      <c r="I225">
        <v>6</v>
      </c>
      <c r="J225">
        <v>6</v>
      </c>
      <c r="K225">
        <v>12</v>
      </c>
      <c r="L225">
        <v>5</v>
      </c>
      <c r="M225">
        <v>1</v>
      </c>
      <c r="N225">
        <v>1</v>
      </c>
      <c r="O225">
        <v>14</v>
      </c>
      <c r="P225">
        <v>359</v>
      </c>
    </row>
    <row r="226" spans="1:16" x14ac:dyDescent="0.25">
      <c r="A226" s="1">
        <v>43895.708333333336</v>
      </c>
      <c r="B226" s="2" t="s">
        <v>12</v>
      </c>
      <c r="C226">
        <v>20</v>
      </c>
      <c r="D226" s="2" t="s">
        <v>47</v>
      </c>
      <c r="E226">
        <v>3921531192</v>
      </c>
      <c r="F226">
        <v>9110616306</v>
      </c>
      <c r="G226">
        <v>2</v>
      </c>
      <c r="H226">
        <v>0</v>
      </c>
      <c r="I226">
        <v>2</v>
      </c>
      <c r="J226">
        <v>0</v>
      </c>
      <c r="K226">
        <v>2</v>
      </c>
      <c r="L226">
        <v>0</v>
      </c>
      <c r="M226">
        <v>0</v>
      </c>
      <c r="N226">
        <v>0</v>
      </c>
      <c r="O226">
        <v>2</v>
      </c>
      <c r="P226">
        <v>50</v>
      </c>
    </row>
    <row r="227" spans="1:16" x14ac:dyDescent="0.25">
      <c r="A227" s="1">
        <v>43895.708333333336</v>
      </c>
      <c r="B227" s="2" t="s">
        <v>12</v>
      </c>
      <c r="C227">
        <v>19</v>
      </c>
      <c r="D227" s="2" t="s">
        <v>48</v>
      </c>
      <c r="E227">
        <v>3811569725</v>
      </c>
      <c r="F227">
        <v>133623567</v>
      </c>
      <c r="G227">
        <v>5</v>
      </c>
      <c r="H227">
        <v>0</v>
      </c>
      <c r="I227">
        <v>5</v>
      </c>
      <c r="J227">
        <v>11</v>
      </c>
      <c r="K227">
        <v>16</v>
      </c>
      <c r="L227">
        <v>0</v>
      </c>
      <c r="M227">
        <v>2</v>
      </c>
      <c r="N227">
        <v>0</v>
      </c>
      <c r="O227">
        <v>18</v>
      </c>
      <c r="P227">
        <v>367</v>
      </c>
    </row>
    <row r="228" spans="1:16" x14ac:dyDescent="0.25">
      <c r="A228" s="1">
        <v>43895.708333333336</v>
      </c>
      <c r="B228" s="2" t="s">
        <v>12</v>
      </c>
      <c r="C228">
        <v>9</v>
      </c>
      <c r="D228" s="2" t="s">
        <v>49</v>
      </c>
      <c r="E228">
        <v>4376923077</v>
      </c>
      <c r="F228">
        <v>1125588885</v>
      </c>
      <c r="G228">
        <v>26</v>
      </c>
      <c r="H228">
        <v>3</v>
      </c>
      <c r="I228">
        <v>29</v>
      </c>
      <c r="J228">
        <v>31</v>
      </c>
      <c r="K228">
        <v>60</v>
      </c>
      <c r="L228">
        <v>23</v>
      </c>
      <c r="M228">
        <v>1</v>
      </c>
      <c r="N228">
        <v>0</v>
      </c>
      <c r="O228">
        <v>61</v>
      </c>
      <c r="P228">
        <v>776</v>
      </c>
    </row>
    <row r="229" spans="1:16" x14ac:dyDescent="0.25">
      <c r="A229" s="1">
        <v>43895.708333333336</v>
      </c>
      <c r="B229" s="2" t="s">
        <v>12</v>
      </c>
      <c r="C229">
        <v>4</v>
      </c>
      <c r="D229" s="2" t="s">
        <v>50</v>
      </c>
      <c r="E229">
        <v>4606893511</v>
      </c>
      <c r="F229">
        <v>1112123097</v>
      </c>
      <c r="G229">
        <v>2</v>
      </c>
      <c r="H229">
        <v>0</v>
      </c>
      <c r="I229">
        <v>2</v>
      </c>
      <c r="J229">
        <v>5</v>
      </c>
      <c r="K229">
        <v>7</v>
      </c>
      <c r="L229">
        <v>2</v>
      </c>
      <c r="M229">
        <v>0</v>
      </c>
      <c r="N229">
        <v>0</v>
      </c>
      <c r="O229">
        <v>7</v>
      </c>
      <c r="P229">
        <v>122</v>
      </c>
    </row>
    <row r="230" spans="1:16" x14ac:dyDescent="0.25">
      <c r="A230" s="1">
        <v>43895.708333333336</v>
      </c>
      <c r="B230" s="2" t="s">
        <v>12</v>
      </c>
      <c r="C230">
        <v>10</v>
      </c>
      <c r="D230" s="2" t="s">
        <v>51</v>
      </c>
      <c r="E230">
        <v>4310675841</v>
      </c>
      <c r="F230">
        <v>1238824698</v>
      </c>
      <c r="G230">
        <v>1</v>
      </c>
      <c r="H230">
        <v>1</v>
      </c>
      <c r="I230">
        <v>2</v>
      </c>
      <c r="J230">
        <v>7</v>
      </c>
      <c r="K230">
        <v>9</v>
      </c>
      <c r="L230">
        <v>0</v>
      </c>
      <c r="M230">
        <v>0</v>
      </c>
      <c r="N230">
        <v>0</v>
      </c>
      <c r="O230">
        <v>9</v>
      </c>
      <c r="P230">
        <v>88</v>
      </c>
    </row>
    <row r="231" spans="1:16" x14ac:dyDescent="0.25">
      <c r="A231" s="1">
        <v>43895.708333333336</v>
      </c>
      <c r="B231" s="2" t="s">
        <v>12</v>
      </c>
      <c r="C231">
        <v>2</v>
      </c>
      <c r="D231" s="2" t="s">
        <v>52</v>
      </c>
      <c r="E231">
        <v>4573750286</v>
      </c>
      <c r="F231">
        <v>7320149366</v>
      </c>
      <c r="G231">
        <v>0</v>
      </c>
      <c r="H231">
        <v>0</v>
      </c>
      <c r="I231">
        <v>0</v>
      </c>
      <c r="J231">
        <v>2</v>
      </c>
      <c r="K231">
        <v>2</v>
      </c>
      <c r="L231">
        <v>2</v>
      </c>
      <c r="M231">
        <v>0</v>
      </c>
      <c r="N231">
        <v>0</v>
      </c>
      <c r="O231">
        <v>2</v>
      </c>
      <c r="P231">
        <v>21</v>
      </c>
    </row>
    <row r="232" spans="1:16" x14ac:dyDescent="0.25">
      <c r="A232" s="1">
        <v>43895.708333333336</v>
      </c>
      <c r="B232" s="2" t="s">
        <v>12</v>
      </c>
      <c r="C232">
        <v>5</v>
      </c>
      <c r="D232" s="2" t="s">
        <v>53</v>
      </c>
      <c r="E232">
        <v>4543490485</v>
      </c>
      <c r="F232">
        <v>1233845213</v>
      </c>
      <c r="G232">
        <v>92</v>
      </c>
      <c r="H232">
        <v>24</v>
      </c>
      <c r="I232">
        <v>116</v>
      </c>
      <c r="J232">
        <v>264</v>
      </c>
      <c r="K232">
        <v>380</v>
      </c>
      <c r="L232">
        <v>35</v>
      </c>
      <c r="M232">
        <v>17</v>
      </c>
      <c r="N232">
        <v>10</v>
      </c>
      <c r="O232">
        <v>407</v>
      </c>
      <c r="P232">
        <v>11949</v>
      </c>
    </row>
    <row r="233" spans="1:16" x14ac:dyDescent="0.25">
      <c r="A233" s="1">
        <v>43896.708333333336</v>
      </c>
      <c r="B233" s="2" t="s">
        <v>12</v>
      </c>
      <c r="C233">
        <v>13</v>
      </c>
      <c r="D233" s="2" t="s">
        <v>33</v>
      </c>
      <c r="E233">
        <v>4235122196</v>
      </c>
      <c r="F233">
        <v>1339843823</v>
      </c>
      <c r="G233">
        <v>9</v>
      </c>
      <c r="H233">
        <v>0</v>
      </c>
      <c r="I233">
        <v>9</v>
      </c>
      <c r="J233">
        <v>0</v>
      </c>
      <c r="K233">
        <v>9</v>
      </c>
      <c r="L233">
        <v>1</v>
      </c>
      <c r="M233">
        <v>0</v>
      </c>
      <c r="N233">
        <v>0</v>
      </c>
      <c r="O233">
        <v>9</v>
      </c>
      <c r="P233">
        <v>96</v>
      </c>
    </row>
    <row r="234" spans="1:16" x14ac:dyDescent="0.25">
      <c r="A234" s="1">
        <v>43896.708333333336</v>
      </c>
      <c r="B234" s="2" t="s">
        <v>12</v>
      </c>
      <c r="C234">
        <v>17</v>
      </c>
      <c r="D234" s="2" t="s">
        <v>34</v>
      </c>
      <c r="E234">
        <v>4063947052</v>
      </c>
      <c r="F234">
        <v>1580514834</v>
      </c>
      <c r="G234">
        <v>1</v>
      </c>
      <c r="H234">
        <v>0</v>
      </c>
      <c r="I234">
        <v>1</v>
      </c>
      <c r="J234">
        <v>2</v>
      </c>
      <c r="K234">
        <v>3</v>
      </c>
      <c r="L234">
        <v>2</v>
      </c>
      <c r="M234">
        <v>0</v>
      </c>
      <c r="N234">
        <v>0</v>
      </c>
      <c r="O234">
        <v>3</v>
      </c>
      <c r="P234">
        <v>63</v>
      </c>
    </row>
    <row r="235" spans="1:16" x14ac:dyDescent="0.25">
      <c r="A235" s="1">
        <v>43896.708333333336</v>
      </c>
      <c r="B235" s="2" t="s">
        <v>12</v>
      </c>
      <c r="C235">
        <v>4</v>
      </c>
      <c r="D235" s="2" t="s">
        <v>35</v>
      </c>
      <c r="E235">
        <v>4649933453</v>
      </c>
      <c r="F235">
        <v>1135662422</v>
      </c>
      <c r="G235">
        <v>4</v>
      </c>
      <c r="H235">
        <v>0</v>
      </c>
      <c r="I235">
        <v>4</v>
      </c>
      <c r="J235">
        <v>0</v>
      </c>
      <c r="K235">
        <v>4</v>
      </c>
      <c r="L235">
        <v>3</v>
      </c>
      <c r="M235">
        <v>0</v>
      </c>
      <c r="N235">
        <v>0</v>
      </c>
      <c r="O235">
        <v>4</v>
      </c>
      <c r="P235">
        <v>36</v>
      </c>
    </row>
    <row r="236" spans="1:16" x14ac:dyDescent="0.25">
      <c r="A236" s="1">
        <v>43896.708333333336</v>
      </c>
      <c r="B236" s="2" t="s">
        <v>12</v>
      </c>
      <c r="C236">
        <v>18</v>
      </c>
      <c r="D236" s="2" t="s">
        <v>36</v>
      </c>
      <c r="E236">
        <v>3890597598</v>
      </c>
      <c r="F236">
        <v>1659440194</v>
      </c>
      <c r="G236">
        <v>2</v>
      </c>
      <c r="H236">
        <v>0</v>
      </c>
      <c r="I236">
        <v>2</v>
      </c>
      <c r="J236">
        <v>2</v>
      </c>
      <c r="K236">
        <v>4</v>
      </c>
      <c r="L236">
        <v>2</v>
      </c>
      <c r="M236">
        <v>0</v>
      </c>
      <c r="N236">
        <v>0</v>
      </c>
      <c r="O236">
        <v>4</v>
      </c>
      <c r="P236">
        <v>99</v>
      </c>
    </row>
    <row r="237" spans="1:16" x14ac:dyDescent="0.25">
      <c r="A237" s="1">
        <v>43896.708333333336</v>
      </c>
      <c r="B237" s="2" t="s">
        <v>12</v>
      </c>
      <c r="C237">
        <v>15</v>
      </c>
      <c r="D237" s="2" t="s">
        <v>37</v>
      </c>
      <c r="E237">
        <v>4083956555</v>
      </c>
      <c r="F237">
        <v>1425084984</v>
      </c>
      <c r="G237">
        <v>12</v>
      </c>
      <c r="H237">
        <v>0</v>
      </c>
      <c r="I237">
        <v>12</v>
      </c>
      <c r="J237">
        <v>45</v>
      </c>
      <c r="K237">
        <v>57</v>
      </c>
      <c r="L237">
        <v>12</v>
      </c>
      <c r="M237">
        <v>0</v>
      </c>
      <c r="N237">
        <v>0</v>
      </c>
      <c r="O237">
        <v>57</v>
      </c>
      <c r="P237">
        <v>471</v>
      </c>
    </row>
    <row r="238" spans="1:16" x14ac:dyDescent="0.25">
      <c r="A238" s="1">
        <v>43896.708333333336</v>
      </c>
      <c r="B238" s="2" t="s">
        <v>12</v>
      </c>
      <c r="C238">
        <v>8</v>
      </c>
      <c r="D238" s="2" t="s">
        <v>38</v>
      </c>
      <c r="E238">
        <v>4449436681</v>
      </c>
      <c r="F238">
        <v>113417208</v>
      </c>
      <c r="G238">
        <v>397</v>
      </c>
      <c r="H238">
        <v>53</v>
      </c>
      <c r="I238">
        <v>450</v>
      </c>
      <c r="J238">
        <v>366</v>
      </c>
      <c r="K238">
        <v>816</v>
      </c>
      <c r="L238">
        <v>158</v>
      </c>
      <c r="M238">
        <v>17</v>
      </c>
      <c r="N238">
        <v>37</v>
      </c>
      <c r="O238">
        <v>870</v>
      </c>
      <c r="P238">
        <v>3136</v>
      </c>
    </row>
    <row r="239" spans="1:16" x14ac:dyDescent="0.25">
      <c r="A239" s="1">
        <v>43896.708333333336</v>
      </c>
      <c r="B239" s="2" t="s">
        <v>12</v>
      </c>
      <c r="C239">
        <v>6</v>
      </c>
      <c r="D239" s="2" t="s">
        <v>39</v>
      </c>
      <c r="E239">
        <v>456494354</v>
      </c>
      <c r="F239">
        <v>1376813649</v>
      </c>
      <c r="G239">
        <v>4</v>
      </c>
      <c r="H239">
        <v>0</v>
      </c>
      <c r="I239">
        <v>4</v>
      </c>
      <c r="J239">
        <v>24</v>
      </c>
      <c r="K239">
        <v>28</v>
      </c>
      <c r="L239">
        <v>7</v>
      </c>
      <c r="M239">
        <v>3</v>
      </c>
      <c r="N239">
        <v>0</v>
      </c>
      <c r="O239">
        <v>31</v>
      </c>
      <c r="P239">
        <v>577</v>
      </c>
    </row>
    <row r="240" spans="1:16" x14ac:dyDescent="0.25">
      <c r="A240" s="1">
        <v>43896.708333333336</v>
      </c>
      <c r="B240" s="2" t="s">
        <v>12</v>
      </c>
      <c r="C240">
        <v>12</v>
      </c>
      <c r="D240" s="2" t="s">
        <v>40</v>
      </c>
      <c r="E240">
        <v>4189277044</v>
      </c>
      <c r="F240">
        <v>1248366722</v>
      </c>
      <c r="G240">
        <v>26</v>
      </c>
      <c r="H240">
        <v>8</v>
      </c>
      <c r="I240">
        <v>34</v>
      </c>
      <c r="J240">
        <v>16</v>
      </c>
      <c r="K240">
        <v>50</v>
      </c>
      <c r="L240">
        <v>9</v>
      </c>
      <c r="M240">
        <v>3</v>
      </c>
      <c r="N240">
        <v>1</v>
      </c>
      <c r="O240">
        <v>54</v>
      </c>
      <c r="P240">
        <v>1373</v>
      </c>
    </row>
    <row r="241" spans="1:16" x14ac:dyDescent="0.25">
      <c r="A241" s="1">
        <v>43896.708333333336</v>
      </c>
      <c r="B241" s="2" t="s">
        <v>12</v>
      </c>
      <c r="C241">
        <v>7</v>
      </c>
      <c r="D241" s="2" t="s">
        <v>41</v>
      </c>
      <c r="E241">
        <v>4441149315</v>
      </c>
      <c r="F241">
        <v>89326992</v>
      </c>
      <c r="G241">
        <v>12</v>
      </c>
      <c r="H241">
        <v>5</v>
      </c>
      <c r="I241">
        <v>17</v>
      </c>
      <c r="J241">
        <v>7</v>
      </c>
      <c r="K241">
        <v>24</v>
      </c>
      <c r="L241">
        <v>3</v>
      </c>
      <c r="M241">
        <v>5</v>
      </c>
      <c r="N241">
        <v>3</v>
      </c>
      <c r="O241">
        <v>32</v>
      </c>
      <c r="P241">
        <v>229</v>
      </c>
    </row>
    <row r="242" spans="1:16" x14ac:dyDescent="0.25">
      <c r="A242" s="1">
        <v>43896.708333333336</v>
      </c>
      <c r="B242" s="2" t="s">
        <v>12</v>
      </c>
      <c r="C242">
        <v>3</v>
      </c>
      <c r="D242" s="2" t="s">
        <v>42</v>
      </c>
      <c r="E242">
        <v>4546679409</v>
      </c>
      <c r="F242">
        <v>9190347404</v>
      </c>
      <c r="G242">
        <v>1622</v>
      </c>
      <c r="H242">
        <v>309</v>
      </c>
      <c r="I242">
        <v>1931</v>
      </c>
      <c r="J242">
        <v>77</v>
      </c>
      <c r="K242">
        <v>2008</v>
      </c>
      <c r="L242">
        <v>231</v>
      </c>
      <c r="M242">
        <v>469</v>
      </c>
      <c r="N242">
        <v>135</v>
      </c>
      <c r="O242">
        <v>2612</v>
      </c>
      <c r="P242">
        <v>13556</v>
      </c>
    </row>
    <row r="243" spans="1:16" x14ac:dyDescent="0.25">
      <c r="A243" s="1">
        <v>43896.708333333336</v>
      </c>
      <c r="B243" s="2" t="s">
        <v>12</v>
      </c>
      <c r="C243">
        <v>11</v>
      </c>
      <c r="D243" s="2" t="s">
        <v>43</v>
      </c>
      <c r="E243">
        <v>4361675973</v>
      </c>
      <c r="F243">
        <v>135188753</v>
      </c>
      <c r="G243">
        <v>73</v>
      </c>
      <c r="H243">
        <v>20</v>
      </c>
      <c r="I243">
        <v>93</v>
      </c>
      <c r="J243">
        <v>62</v>
      </c>
      <c r="K243">
        <v>155</v>
      </c>
      <c r="L243">
        <v>35</v>
      </c>
      <c r="M243">
        <v>0</v>
      </c>
      <c r="N243">
        <v>4</v>
      </c>
      <c r="O243">
        <v>159</v>
      </c>
      <c r="P243">
        <v>585</v>
      </c>
    </row>
    <row r="244" spans="1:16" x14ac:dyDescent="0.25">
      <c r="A244" s="1">
        <v>43896.708333333336</v>
      </c>
      <c r="B244" s="2" t="s">
        <v>12</v>
      </c>
      <c r="C244">
        <v>14</v>
      </c>
      <c r="D244" s="2" t="s">
        <v>44</v>
      </c>
      <c r="E244">
        <v>4155774754</v>
      </c>
      <c r="F244">
        <v>1465916051</v>
      </c>
      <c r="G244">
        <v>3</v>
      </c>
      <c r="H244">
        <v>2</v>
      </c>
      <c r="I244">
        <v>5</v>
      </c>
      <c r="J244">
        <v>7</v>
      </c>
      <c r="K244">
        <v>12</v>
      </c>
      <c r="L244">
        <v>5</v>
      </c>
      <c r="M244">
        <v>0</v>
      </c>
      <c r="N244">
        <v>0</v>
      </c>
      <c r="O244">
        <v>12</v>
      </c>
      <c r="P244">
        <v>104</v>
      </c>
    </row>
    <row r="245" spans="1:16" x14ac:dyDescent="0.25">
      <c r="A245" s="1">
        <v>43896.708333333336</v>
      </c>
      <c r="B245" s="2" t="s">
        <v>12</v>
      </c>
      <c r="C245">
        <v>1</v>
      </c>
      <c r="D245" s="2" t="s">
        <v>45</v>
      </c>
      <c r="E245">
        <v>450732745</v>
      </c>
      <c r="F245">
        <v>7680687483</v>
      </c>
      <c r="G245">
        <v>57</v>
      </c>
      <c r="H245">
        <v>30</v>
      </c>
      <c r="I245">
        <v>87</v>
      </c>
      <c r="J245">
        <v>52</v>
      </c>
      <c r="K245">
        <v>139</v>
      </c>
      <c r="L245">
        <v>33</v>
      </c>
      <c r="M245">
        <v>0</v>
      </c>
      <c r="N245">
        <v>4</v>
      </c>
      <c r="O245">
        <v>143</v>
      </c>
      <c r="P245">
        <v>793</v>
      </c>
    </row>
    <row r="246" spans="1:16" x14ac:dyDescent="0.25">
      <c r="A246" s="1">
        <v>43896.708333333336</v>
      </c>
      <c r="B246" s="2" t="s">
        <v>12</v>
      </c>
      <c r="C246">
        <v>16</v>
      </c>
      <c r="D246" s="2" t="s">
        <v>46</v>
      </c>
      <c r="E246">
        <v>4112559576</v>
      </c>
      <c r="F246">
        <v>1686736689</v>
      </c>
      <c r="G246">
        <v>5</v>
      </c>
      <c r="H246">
        <v>1</v>
      </c>
      <c r="I246">
        <v>6</v>
      </c>
      <c r="J246">
        <v>9</v>
      </c>
      <c r="K246">
        <v>15</v>
      </c>
      <c r="L246">
        <v>3</v>
      </c>
      <c r="M246">
        <v>1</v>
      </c>
      <c r="N246">
        <v>1</v>
      </c>
      <c r="O246">
        <v>17</v>
      </c>
      <c r="P246">
        <v>395</v>
      </c>
    </row>
    <row r="247" spans="1:16" x14ac:dyDescent="0.25">
      <c r="A247" s="1">
        <v>43896.708333333336</v>
      </c>
      <c r="B247" s="2" t="s">
        <v>12</v>
      </c>
      <c r="C247">
        <v>20</v>
      </c>
      <c r="D247" s="2" t="s">
        <v>47</v>
      </c>
      <c r="E247">
        <v>3921531192</v>
      </c>
      <c r="F247">
        <v>9110616306</v>
      </c>
      <c r="G247">
        <v>2</v>
      </c>
      <c r="H247">
        <v>0</v>
      </c>
      <c r="I247">
        <v>2</v>
      </c>
      <c r="J247">
        <v>3</v>
      </c>
      <c r="K247">
        <v>5</v>
      </c>
      <c r="L247">
        <v>3</v>
      </c>
      <c r="M247">
        <v>0</v>
      </c>
      <c r="N247">
        <v>0</v>
      </c>
      <c r="O247">
        <v>5</v>
      </c>
      <c r="P247">
        <v>99</v>
      </c>
    </row>
    <row r="248" spans="1:16" x14ac:dyDescent="0.25">
      <c r="A248" s="1">
        <v>43896.708333333336</v>
      </c>
      <c r="B248" s="2" t="s">
        <v>12</v>
      </c>
      <c r="C248">
        <v>19</v>
      </c>
      <c r="D248" s="2" t="s">
        <v>48</v>
      </c>
      <c r="E248">
        <v>3811569725</v>
      </c>
      <c r="F248">
        <v>133623567</v>
      </c>
      <c r="G248">
        <v>7</v>
      </c>
      <c r="H248">
        <v>0</v>
      </c>
      <c r="I248">
        <v>7</v>
      </c>
      <c r="J248">
        <v>15</v>
      </c>
      <c r="K248">
        <v>22</v>
      </c>
      <c r="L248">
        <v>6</v>
      </c>
      <c r="M248">
        <v>2</v>
      </c>
      <c r="N248">
        <v>0</v>
      </c>
      <c r="O248">
        <v>24</v>
      </c>
      <c r="P248">
        <v>367</v>
      </c>
    </row>
    <row r="249" spans="1:16" x14ac:dyDescent="0.25">
      <c r="A249" s="1">
        <v>43896.708333333336</v>
      </c>
      <c r="B249" s="2" t="s">
        <v>12</v>
      </c>
      <c r="C249">
        <v>9</v>
      </c>
      <c r="D249" s="2" t="s">
        <v>49</v>
      </c>
      <c r="E249">
        <v>4376923077</v>
      </c>
      <c r="F249">
        <v>1125588885</v>
      </c>
      <c r="G249">
        <v>35</v>
      </c>
      <c r="H249">
        <v>5</v>
      </c>
      <c r="I249">
        <v>40</v>
      </c>
      <c r="J249">
        <v>38</v>
      </c>
      <c r="K249">
        <v>78</v>
      </c>
      <c r="L249">
        <v>18</v>
      </c>
      <c r="M249">
        <v>1</v>
      </c>
      <c r="N249">
        <v>0</v>
      </c>
      <c r="O249">
        <v>79</v>
      </c>
      <c r="P249">
        <v>1097</v>
      </c>
    </row>
    <row r="250" spans="1:16" x14ac:dyDescent="0.25">
      <c r="A250" s="1">
        <v>43896.708333333336</v>
      </c>
      <c r="B250" s="2" t="s">
        <v>12</v>
      </c>
      <c r="C250">
        <v>4</v>
      </c>
      <c r="D250" s="2" t="s">
        <v>50</v>
      </c>
      <c r="E250">
        <v>4606893511</v>
      </c>
      <c r="F250">
        <v>1112123097</v>
      </c>
      <c r="G250">
        <v>4</v>
      </c>
      <c r="H250">
        <v>0</v>
      </c>
      <c r="I250">
        <v>4</v>
      </c>
      <c r="J250">
        <v>6</v>
      </c>
      <c r="K250">
        <v>10</v>
      </c>
      <c r="L250">
        <v>3</v>
      </c>
      <c r="M250">
        <v>0</v>
      </c>
      <c r="N250">
        <v>0</v>
      </c>
      <c r="O250">
        <v>10</v>
      </c>
      <c r="P250">
        <v>122</v>
      </c>
    </row>
    <row r="251" spans="1:16" x14ac:dyDescent="0.25">
      <c r="A251" s="1">
        <v>43896.708333333336</v>
      </c>
      <c r="B251" s="2" t="s">
        <v>12</v>
      </c>
      <c r="C251">
        <v>10</v>
      </c>
      <c r="D251" s="2" t="s">
        <v>51</v>
      </c>
      <c r="E251">
        <v>4310675841</v>
      </c>
      <c r="F251">
        <v>1238824698</v>
      </c>
      <c r="G251">
        <v>2</v>
      </c>
      <c r="H251">
        <v>2</v>
      </c>
      <c r="I251">
        <v>4</v>
      </c>
      <c r="J251">
        <v>12</v>
      </c>
      <c r="K251">
        <v>16</v>
      </c>
      <c r="L251">
        <v>7</v>
      </c>
      <c r="M251">
        <v>0</v>
      </c>
      <c r="N251">
        <v>0</v>
      </c>
      <c r="O251">
        <v>16</v>
      </c>
      <c r="P251">
        <v>110</v>
      </c>
    </row>
    <row r="252" spans="1:16" x14ac:dyDescent="0.25">
      <c r="A252" s="1">
        <v>43896.708333333336</v>
      </c>
      <c r="B252" s="2" t="s">
        <v>12</v>
      </c>
      <c r="C252">
        <v>2</v>
      </c>
      <c r="D252" s="2" t="s">
        <v>52</v>
      </c>
      <c r="E252">
        <v>4573750286</v>
      </c>
      <c r="F252">
        <v>7320149366</v>
      </c>
      <c r="G252">
        <v>0</v>
      </c>
      <c r="H252">
        <v>0</v>
      </c>
      <c r="I252">
        <v>0</v>
      </c>
      <c r="J252">
        <v>7</v>
      </c>
      <c r="K252">
        <v>7</v>
      </c>
      <c r="L252">
        <v>5</v>
      </c>
      <c r="M252">
        <v>0</v>
      </c>
      <c r="N252">
        <v>0</v>
      </c>
      <c r="O252">
        <v>7</v>
      </c>
      <c r="P252">
        <v>28</v>
      </c>
    </row>
    <row r="253" spans="1:16" x14ac:dyDescent="0.25">
      <c r="A253" s="1">
        <v>43896.708333333336</v>
      </c>
      <c r="B253" s="2" t="s">
        <v>12</v>
      </c>
      <c r="C253">
        <v>5</v>
      </c>
      <c r="D253" s="2" t="s">
        <v>53</v>
      </c>
      <c r="E253">
        <v>4543490485</v>
      </c>
      <c r="F253">
        <v>1233845213</v>
      </c>
      <c r="G253">
        <v>117</v>
      </c>
      <c r="H253">
        <v>27</v>
      </c>
      <c r="I253">
        <v>144</v>
      </c>
      <c r="J253">
        <v>310</v>
      </c>
      <c r="K253">
        <v>454</v>
      </c>
      <c r="L253">
        <v>74</v>
      </c>
      <c r="M253">
        <v>22</v>
      </c>
      <c r="N253">
        <v>12</v>
      </c>
      <c r="O253">
        <v>488</v>
      </c>
      <c r="P253">
        <v>13023</v>
      </c>
    </row>
    <row r="254" spans="1:16" x14ac:dyDescent="0.25">
      <c r="A254" s="1">
        <v>43897.75</v>
      </c>
      <c r="B254" s="2" t="s">
        <v>12</v>
      </c>
      <c r="C254">
        <v>13</v>
      </c>
      <c r="D254" s="2" t="s">
        <v>33</v>
      </c>
      <c r="E254">
        <v>4235122196</v>
      </c>
      <c r="F254">
        <v>1339843823</v>
      </c>
      <c r="G254">
        <v>11</v>
      </c>
      <c r="H254">
        <v>0</v>
      </c>
      <c r="I254">
        <v>11</v>
      </c>
      <c r="J254">
        <v>0</v>
      </c>
      <c r="K254">
        <v>11</v>
      </c>
      <c r="L254">
        <v>2</v>
      </c>
      <c r="M254">
        <v>0</v>
      </c>
      <c r="N254">
        <v>0</v>
      </c>
      <c r="O254">
        <v>11</v>
      </c>
      <c r="P254">
        <v>123</v>
      </c>
    </row>
    <row r="255" spans="1:16" x14ac:dyDescent="0.25">
      <c r="A255" s="1">
        <v>43897.75</v>
      </c>
      <c r="B255" s="2" t="s">
        <v>12</v>
      </c>
      <c r="C255">
        <v>17</v>
      </c>
      <c r="D255" s="2" t="s">
        <v>34</v>
      </c>
      <c r="E255">
        <v>4063947052</v>
      </c>
      <c r="F255">
        <v>1580514834</v>
      </c>
      <c r="G255">
        <v>1</v>
      </c>
      <c r="H255">
        <v>0</v>
      </c>
      <c r="I255">
        <v>1</v>
      </c>
      <c r="J255">
        <v>2</v>
      </c>
      <c r="K255">
        <v>3</v>
      </c>
      <c r="L255">
        <v>0</v>
      </c>
      <c r="M255">
        <v>0</v>
      </c>
      <c r="N255">
        <v>0</v>
      </c>
      <c r="O255">
        <v>3</v>
      </c>
      <c r="P255">
        <v>75</v>
      </c>
    </row>
    <row r="256" spans="1:16" x14ac:dyDescent="0.25">
      <c r="A256" s="1">
        <v>43897.75</v>
      </c>
      <c r="B256" s="2" t="s">
        <v>12</v>
      </c>
      <c r="C256">
        <v>4</v>
      </c>
      <c r="D256" s="2" t="s">
        <v>35</v>
      </c>
      <c r="E256">
        <v>4649933453</v>
      </c>
      <c r="F256">
        <v>1135662422</v>
      </c>
      <c r="G256">
        <v>8</v>
      </c>
      <c r="H256">
        <v>0</v>
      </c>
      <c r="I256">
        <v>8</v>
      </c>
      <c r="J256">
        <v>1</v>
      </c>
      <c r="K256">
        <v>9</v>
      </c>
      <c r="L256">
        <v>5</v>
      </c>
      <c r="M256">
        <v>0</v>
      </c>
      <c r="N256">
        <v>0</v>
      </c>
      <c r="O256">
        <v>9</v>
      </c>
      <c r="P256">
        <v>36</v>
      </c>
    </row>
    <row r="257" spans="1:16" x14ac:dyDescent="0.25">
      <c r="A257" s="1">
        <v>43897.75</v>
      </c>
      <c r="B257" s="2" t="s">
        <v>12</v>
      </c>
      <c r="C257">
        <v>18</v>
      </c>
      <c r="D257" s="2" t="s">
        <v>36</v>
      </c>
      <c r="E257">
        <v>3810922769</v>
      </c>
      <c r="F257">
        <v>156434527</v>
      </c>
      <c r="G257">
        <v>2</v>
      </c>
      <c r="H257">
        <v>0</v>
      </c>
      <c r="I257">
        <v>2</v>
      </c>
      <c r="J257">
        <v>2</v>
      </c>
      <c r="K257">
        <v>4</v>
      </c>
      <c r="L257">
        <v>0</v>
      </c>
      <c r="M257">
        <v>0</v>
      </c>
      <c r="N257">
        <v>0</v>
      </c>
      <c r="O257">
        <v>4</v>
      </c>
      <c r="P257">
        <v>113</v>
      </c>
    </row>
    <row r="258" spans="1:16" x14ac:dyDescent="0.25">
      <c r="A258" s="1">
        <v>43897.75</v>
      </c>
      <c r="B258" s="2" t="s">
        <v>12</v>
      </c>
      <c r="C258">
        <v>15</v>
      </c>
      <c r="D258" s="2" t="s">
        <v>37</v>
      </c>
      <c r="E258">
        <v>4083956555</v>
      </c>
      <c r="F258">
        <v>1425084984</v>
      </c>
      <c r="G258">
        <v>16</v>
      </c>
      <c r="H258">
        <v>0</v>
      </c>
      <c r="I258">
        <v>16</v>
      </c>
      <c r="J258">
        <v>45</v>
      </c>
      <c r="K258">
        <v>61</v>
      </c>
      <c r="L258">
        <v>4</v>
      </c>
      <c r="M258">
        <v>0</v>
      </c>
      <c r="N258">
        <v>0</v>
      </c>
      <c r="O258">
        <v>61</v>
      </c>
      <c r="P258">
        <v>612</v>
      </c>
    </row>
    <row r="259" spans="1:16" x14ac:dyDescent="0.25">
      <c r="A259" s="1">
        <v>43897.75</v>
      </c>
      <c r="B259" s="2" t="s">
        <v>12</v>
      </c>
      <c r="C259">
        <v>8</v>
      </c>
      <c r="D259" s="2" t="s">
        <v>38</v>
      </c>
      <c r="E259">
        <v>4449436681</v>
      </c>
      <c r="F259">
        <v>113417208</v>
      </c>
      <c r="G259">
        <v>464</v>
      </c>
      <c r="H259">
        <v>64</v>
      </c>
      <c r="I259">
        <v>528</v>
      </c>
      <c r="J259">
        <v>409</v>
      </c>
      <c r="K259">
        <v>937</v>
      </c>
      <c r="L259">
        <v>121</v>
      </c>
      <c r="M259">
        <v>25</v>
      </c>
      <c r="N259">
        <v>48</v>
      </c>
      <c r="O259">
        <v>1010</v>
      </c>
      <c r="P259">
        <v>3604</v>
      </c>
    </row>
    <row r="260" spans="1:16" x14ac:dyDescent="0.25">
      <c r="A260" s="1">
        <v>43897.75</v>
      </c>
      <c r="B260" s="2" t="s">
        <v>12</v>
      </c>
      <c r="C260">
        <v>6</v>
      </c>
      <c r="D260" s="2" t="s">
        <v>39</v>
      </c>
      <c r="E260">
        <v>456494354</v>
      </c>
      <c r="F260">
        <v>1376813649</v>
      </c>
      <c r="G260">
        <v>7</v>
      </c>
      <c r="H260">
        <v>1</v>
      </c>
      <c r="I260">
        <v>8</v>
      </c>
      <c r="J260">
        <v>31</v>
      </c>
      <c r="K260">
        <v>39</v>
      </c>
      <c r="L260">
        <v>11</v>
      </c>
      <c r="M260">
        <v>3</v>
      </c>
      <c r="N260">
        <v>0</v>
      </c>
      <c r="O260">
        <v>42</v>
      </c>
      <c r="P260">
        <v>577</v>
      </c>
    </row>
    <row r="261" spans="1:16" x14ac:dyDescent="0.25">
      <c r="A261" s="1">
        <v>43897.75</v>
      </c>
      <c r="B261" s="2" t="s">
        <v>12</v>
      </c>
      <c r="C261">
        <v>12</v>
      </c>
      <c r="D261" s="2" t="s">
        <v>40</v>
      </c>
      <c r="E261">
        <v>4189277044</v>
      </c>
      <c r="F261">
        <v>1248366722</v>
      </c>
      <c r="G261">
        <v>43</v>
      </c>
      <c r="H261">
        <v>8</v>
      </c>
      <c r="I261">
        <v>51</v>
      </c>
      <c r="J261">
        <v>21</v>
      </c>
      <c r="K261">
        <v>72</v>
      </c>
      <c r="L261">
        <v>22</v>
      </c>
      <c r="M261">
        <v>3</v>
      </c>
      <c r="N261">
        <v>1</v>
      </c>
      <c r="O261">
        <v>76</v>
      </c>
      <c r="P261">
        <v>1582</v>
      </c>
    </row>
    <row r="262" spans="1:16" x14ac:dyDescent="0.25">
      <c r="A262" s="1">
        <v>43897.75</v>
      </c>
      <c r="B262" s="2" t="s">
        <v>12</v>
      </c>
      <c r="C262">
        <v>7</v>
      </c>
      <c r="D262" s="2" t="s">
        <v>41</v>
      </c>
      <c r="E262">
        <v>4441149315</v>
      </c>
      <c r="F262">
        <v>89326992</v>
      </c>
      <c r="G262">
        <v>26</v>
      </c>
      <c r="H262">
        <v>6</v>
      </c>
      <c r="I262">
        <v>32</v>
      </c>
      <c r="J262">
        <v>10</v>
      </c>
      <c r="K262">
        <v>42</v>
      </c>
      <c r="L262">
        <v>18</v>
      </c>
      <c r="M262">
        <v>5</v>
      </c>
      <c r="N262">
        <v>4</v>
      </c>
      <c r="O262">
        <v>51</v>
      </c>
      <c r="P262">
        <v>331</v>
      </c>
    </row>
    <row r="263" spans="1:16" x14ac:dyDescent="0.25">
      <c r="A263" s="1">
        <v>43897.75</v>
      </c>
      <c r="B263" s="2" t="s">
        <v>12</v>
      </c>
      <c r="C263">
        <v>3</v>
      </c>
      <c r="D263" s="2" t="s">
        <v>42</v>
      </c>
      <c r="E263">
        <v>4546679409</v>
      </c>
      <c r="F263">
        <v>9190347404</v>
      </c>
      <c r="G263">
        <v>1661</v>
      </c>
      <c r="H263">
        <v>359</v>
      </c>
      <c r="I263">
        <v>2020</v>
      </c>
      <c r="J263">
        <v>722</v>
      </c>
      <c r="K263">
        <v>2742</v>
      </c>
      <c r="L263">
        <v>734</v>
      </c>
      <c r="M263">
        <v>524</v>
      </c>
      <c r="N263">
        <v>154</v>
      </c>
      <c r="O263">
        <v>3420</v>
      </c>
      <c r="P263">
        <v>15778</v>
      </c>
    </row>
    <row r="264" spans="1:16" x14ac:dyDescent="0.25">
      <c r="A264" s="1">
        <v>43897.75</v>
      </c>
      <c r="B264" s="2" t="s">
        <v>12</v>
      </c>
      <c r="C264">
        <v>11</v>
      </c>
      <c r="D264" s="2" t="s">
        <v>43</v>
      </c>
      <c r="E264">
        <v>4361675973</v>
      </c>
      <c r="F264">
        <v>135188753</v>
      </c>
      <c r="G264">
        <v>94</v>
      </c>
      <c r="H264">
        <v>36</v>
      </c>
      <c r="I264">
        <v>130</v>
      </c>
      <c r="J264">
        <v>71</v>
      </c>
      <c r="K264">
        <v>201</v>
      </c>
      <c r="L264">
        <v>46</v>
      </c>
      <c r="M264">
        <v>0</v>
      </c>
      <c r="N264">
        <v>6</v>
      </c>
      <c r="O264">
        <v>207</v>
      </c>
      <c r="P264">
        <v>816</v>
      </c>
    </row>
    <row r="265" spans="1:16" x14ac:dyDescent="0.25">
      <c r="A265" s="1">
        <v>43897.75</v>
      </c>
      <c r="B265" s="2" t="s">
        <v>12</v>
      </c>
      <c r="C265">
        <v>14</v>
      </c>
      <c r="D265" s="2" t="s">
        <v>44</v>
      </c>
      <c r="E265">
        <v>4155774754</v>
      </c>
      <c r="F265">
        <v>1465916051</v>
      </c>
      <c r="G265">
        <v>3</v>
      </c>
      <c r="H265">
        <v>2</v>
      </c>
      <c r="I265">
        <v>5</v>
      </c>
      <c r="J265">
        <v>9</v>
      </c>
      <c r="K265">
        <v>14</v>
      </c>
      <c r="L265">
        <v>2</v>
      </c>
      <c r="M265">
        <v>0</v>
      </c>
      <c r="N265">
        <v>0</v>
      </c>
      <c r="O265">
        <v>14</v>
      </c>
      <c r="P265">
        <v>112</v>
      </c>
    </row>
    <row r="266" spans="1:16" x14ac:dyDescent="0.25">
      <c r="A266" s="1">
        <v>43897.75</v>
      </c>
      <c r="B266" s="2" t="s">
        <v>12</v>
      </c>
      <c r="C266">
        <v>1</v>
      </c>
      <c r="D266" s="2" t="s">
        <v>45</v>
      </c>
      <c r="E266">
        <v>450732745</v>
      </c>
      <c r="F266">
        <v>7680687483</v>
      </c>
      <c r="G266">
        <v>110</v>
      </c>
      <c r="H266">
        <v>38</v>
      </c>
      <c r="I266">
        <v>148</v>
      </c>
      <c r="J266">
        <v>54</v>
      </c>
      <c r="K266">
        <v>202</v>
      </c>
      <c r="L266">
        <v>63</v>
      </c>
      <c r="M266">
        <v>0</v>
      </c>
      <c r="N266">
        <v>5</v>
      </c>
      <c r="O266">
        <v>207</v>
      </c>
      <c r="P266">
        <v>1046</v>
      </c>
    </row>
    <row r="267" spans="1:16" x14ac:dyDescent="0.25">
      <c r="A267" s="1">
        <v>43897.75</v>
      </c>
      <c r="B267" s="2" t="s">
        <v>12</v>
      </c>
      <c r="C267">
        <v>16</v>
      </c>
      <c r="D267" s="2" t="s">
        <v>46</v>
      </c>
      <c r="E267">
        <v>4112559576</v>
      </c>
      <c r="F267">
        <v>1686736689</v>
      </c>
      <c r="G267">
        <v>9</v>
      </c>
      <c r="H267">
        <v>2</v>
      </c>
      <c r="I267">
        <v>11</v>
      </c>
      <c r="J267">
        <v>12</v>
      </c>
      <c r="K267">
        <v>23</v>
      </c>
      <c r="L267">
        <v>8</v>
      </c>
      <c r="M267">
        <v>1</v>
      </c>
      <c r="N267">
        <v>2</v>
      </c>
      <c r="O267">
        <v>26</v>
      </c>
      <c r="P267">
        <v>395</v>
      </c>
    </row>
    <row r="268" spans="1:16" x14ac:dyDescent="0.25">
      <c r="A268" s="1">
        <v>43897.75</v>
      </c>
      <c r="B268" s="2" t="s">
        <v>12</v>
      </c>
      <c r="C268">
        <v>20</v>
      </c>
      <c r="D268" s="2" t="s">
        <v>47</v>
      </c>
      <c r="E268">
        <v>3921531192</v>
      </c>
      <c r="F268">
        <v>9110616306</v>
      </c>
      <c r="G268">
        <v>2</v>
      </c>
      <c r="H268">
        <v>0</v>
      </c>
      <c r="I268">
        <v>2</v>
      </c>
      <c r="J268">
        <v>3</v>
      </c>
      <c r="K268">
        <v>5</v>
      </c>
      <c r="L268">
        <v>0</v>
      </c>
      <c r="M268">
        <v>0</v>
      </c>
      <c r="N268">
        <v>0</v>
      </c>
      <c r="O268">
        <v>5</v>
      </c>
      <c r="P268">
        <v>99</v>
      </c>
    </row>
    <row r="269" spans="1:16" x14ac:dyDescent="0.25">
      <c r="A269" s="1">
        <v>43897.75</v>
      </c>
      <c r="B269" s="2" t="s">
        <v>12</v>
      </c>
      <c r="C269">
        <v>19</v>
      </c>
      <c r="D269" s="2" t="s">
        <v>48</v>
      </c>
      <c r="E269">
        <v>3811569725</v>
      </c>
      <c r="F269">
        <v>133623567</v>
      </c>
      <c r="G269">
        <v>8</v>
      </c>
      <c r="H269">
        <v>0</v>
      </c>
      <c r="I269">
        <v>8</v>
      </c>
      <c r="J269">
        <v>25</v>
      </c>
      <c r="K269">
        <v>33</v>
      </c>
      <c r="L269">
        <v>11</v>
      </c>
      <c r="M269">
        <v>2</v>
      </c>
      <c r="N269">
        <v>0</v>
      </c>
      <c r="O269">
        <v>35</v>
      </c>
      <c r="P269">
        <v>643</v>
      </c>
    </row>
    <row r="270" spans="1:16" x14ac:dyDescent="0.25">
      <c r="A270" s="1">
        <v>43897.75</v>
      </c>
      <c r="B270" s="2" t="s">
        <v>12</v>
      </c>
      <c r="C270">
        <v>9</v>
      </c>
      <c r="D270" s="2" t="s">
        <v>49</v>
      </c>
      <c r="E270">
        <v>4376923077</v>
      </c>
      <c r="F270">
        <v>1125588885</v>
      </c>
      <c r="G270">
        <v>54</v>
      </c>
      <c r="H270">
        <v>7</v>
      </c>
      <c r="I270">
        <v>61</v>
      </c>
      <c r="J270">
        <v>51</v>
      </c>
      <c r="K270">
        <v>112</v>
      </c>
      <c r="L270">
        <v>34</v>
      </c>
      <c r="M270">
        <v>1</v>
      </c>
      <c r="N270">
        <v>0</v>
      </c>
      <c r="O270">
        <v>113</v>
      </c>
      <c r="P270">
        <v>1331</v>
      </c>
    </row>
    <row r="271" spans="1:16" x14ac:dyDescent="0.25">
      <c r="A271" s="1">
        <v>43897.75</v>
      </c>
      <c r="B271" s="2" t="s">
        <v>12</v>
      </c>
      <c r="C271">
        <v>4</v>
      </c>
      <c r="D271" s="2" t="s">
        <v>50</v>
      </c>
      <c r="E271">
        <v>4606893511</v>
      </c>
      <c r="F271">
        <v>1112123097</v>
      </c>
      <c r="G271">
        <v>6</v>
      </c>
      <c r="H271">
        <v>1</v>
      </c>
      <c r="I271">
        <v>7</v>
      </c>
      <c r="J271">
        <v>7</v>
      </c>
      <c r="K271">
        <v>14</v>
      </c>
      <c r="L271">
        <v>4</v>
      </c>
      <c r="M271">
        <v>0</v>
      </c>
      <c r="N271">
        <v>0</v>
      </c>
      <c r="O271">
        <v>14</v>
      </c>
      <c r="P271">
        <v>194</v>
      </c>
    </row>
    <row r="272" spans="1:16" x14ac:dyDescent="0.25">
      <c r="A272" s="1">
        <v>43897.75</v>
      </c>
      <c r="B272" s="2" t="s">
        <v>12</v>
      </c>
      <c r="C272">
        <v>10</v>
      </c>
      <c r="D272" s="2" t="s">
        <v>51</v>
      </c>
      <c r="E272">
        <v>4310675841</v>
      </c>
      <c r="F272">
        <v>1238824698</v>
      </c>
      <c r="G272">
        <v>2</v>
      </c>
      <c r="H272">
        <v>2</v>
      </c>
      <c r="I272">
        <v>4</v>
      </c>
      <c r="J272">
        <v>20</v>
      </c>
      <c r="K272">
        <v>24</v>
      </c>
      <c r="L272">
        <v>8</v>
      </c>
      <c r="M272">
        <v>0</v>
      </c>
      <c r="N272">
        <v>0</v>
      </c>
      <c r="O272">
        <v>24</v>
      </c>
      <c r="P272">
        <v>134</v>
      </c>
    </row>
    <row r="273" spans="1:16" x14ac:dyDescent="0.25">
      <c r="A273" s="1">
        <v>43897.75</v>
      </c>
      <c r="B273" s="2" t="s">
        <v>12</v>
      </c>
      <c r="C273">
        <v>2</v>
      </c>
      <c r="D273" s="2" t="s">
        <v>52</v>
      </c>
      <c r="E273">
        <v>4573750286</v>
      </c>
      <c r="F273">
        <v>7320149366</v>
      </c>
      <c r="G273">
        <v>1</v>
      </c>
      <c r="H273">
        <v>0</v>
      </c>
      <c r="I273">
        <v>1</v>
      </c>
      <c r="J273">
        <v>7</v>
      </c>
      <c r="K273">
        <v>8</v>
      </c>
      <c r="L273">
        <v>1</v>
      </c>
      <c r="M273">
        <v>0</v>
      </c>
      <c r="N273">
        <v>0</v>
      </c>
      <c r="O273">
        <v>8</v>
      </c>
      <c r="P273">
        <v>32</v>
      </c>
    </row>
    <row r="274" spans="1:16" x14ac:dyDescent="0.25">
      <c r="A274" s="1">
        <v>43897.75</v>
      </c>
      <c r="B274" s="2" t="s">
        <v>12</v>
      </c>
      <c r="C274">
        <v>5</v>
      </c>
      <c r="D274" s="2" t="s">
        <v>53</v>
      </c>
      <c r="E274">
        <v>4543490485</v>
      </c>
      <c r="F274">
        <v>1233845213</v>
      </c>
      <c r="G274">
        <v>123</v>
      </c>
      <c r="H274">
        <v>41</v>
      </c>
      <c r="I274">
        <v>164</v>
      </c>
      <c r="J274">
        <v>341</v>
      </c>
      <c r="K274">
        <v>505</v>
      </c>
      <c r="L274">
        <v>51</v>
      </c>
      <c r="M274">
        <v>25</v>
      </c>
      <c r="N274">
        <v>13</v>
      </c>
      <c r="O274">
        <v>543</v>
      </c>
      <c r="P274">
        <v>14429</v>
      </c>
    </row>
    <row r="275" spans="1:16" x14ac:dyDescent="0.25">
      <c r="A275" s="1">
        <v>43898.75</v>
      </c>
      <c r="B275" s="2" t="s">
        <v>12</v>
      </c>
      <c r="C275">
        <v>13</v>
      </c>
      <c r="D275" s="2" t="s">
        <v>33</v>
      </c>
      <c r="E275">
        <v>4235122196</v>
      </c>
      <c r="F275">
        <v>1339843823</v>
      </c>
      <c r="G275">
        <v>14</v>
      </c>
      <c r="H275">
        <v>0</v>
      </c>
      <c r="I275">
        <v>14</v>
      </c>
      <c r="J275">
        <v>3</v>
      </c>
      <c r="K275">
        <v>17</v>
      </c>
      <c r="L275">
        <v>6</v>
      </c>
      <c r="M275">
        <v>0</v>
      </c>
      <c r="N275">
        <v>0</v>
      </c>
      <c r="O275">
        <v>17</v>
      </c>
      <c r="P275">
        <v>163</v>
      </c>
    </row>
    <row r="276" spans="1:16" x14ac:dyDescent="0.25">
      <c r="A276" s="1">
        <v>43898.75</v>
      </c>
      <c r="B276" s="2" t="s">
        <v>12</v>
      </c>
      <c r="C276">
        <v>17</v>
      </c>
      <c r="D276" s="2" t="s">
        <v>34</v>
      </c>
      <c r="E276">
        <v>4063947052</v>
      </c>
      <c r="F276">
        <v>1580514834</v>
      </c>
      <c r="G276">
        <v>2</v>
      </c>
      <c r="H276">
        <v>0</v>
      </c>
      <c r="I276">
        <v>2</v>
      </c>
      <c r="J276">
        <v>2</v>
      </c>
      <c r="K276">
        <v>4</v>
      </c>
      <c r="L276">
        <v>1</v>
      </c>
      <c r="M276">
        <v>0</v>
      </c>
      <c r="N276">
        <v>0</v>
      </c>
      <c r="O276">
        <v>4</v>
      </c>
      <c r="P276">
        <v>123</v>
      </c>
    </row>
    <row r="277" spans="1:16" x14ac:dyDescent="0.25">
      <c r="A277" s="1">
        <v>43898.75</v>
      </c>
      <c r="B277" s="2" t="s">
        <v>12</v>
      </c>
      <c r="C277">
        <v>4</v>
      </c>
      <c r="D277" s="2" t="s">
        <v>35</v>
      </c>
      <c r="E277">
        <v>4649933453</v>
      </c>
      <c r="F277">
        <v>1135662422</v>
      </c>
      <c r="G277">
        <v>8</v>
      </c>
      <c r="H277">
        <v>0</v>
      </c>
      <c r="I277">
        <v>8</v>
      </c>
      <c r="J277">
        <v>1</v>
      </c>
      <c r="K277">
        <v>9</v>
      </c>
      <c r="L277">
        <v>0</v>
      </c>
      <c r="M277">
        <v>0</v>
      </c>
      <c r="N277">
        <v>0</v>
      </c>
      <c r="O277">
        <v>9</v>
      </c>
      <c r="P277">
        <v>36</v>
      </c>
    </row>
    <row r="278" spans="1:16" x14ac:dyDescent="0.25">
      <c r="A278" s="1">
        <v>43898.75</v>
      </c>
      <c r="B278" s="2" t="s">
        <v>12</v>
      </c>
      <c r="C278">
        <v>18</v>
      </c>
      <c r="D278" s="2" t="s">
        <v>36</v>
      </c>
      <c r="E278">
        <v>3810922769</v>
      </c>
      <c r="F278">
        <v>156434527</v>
      </c>
      <c r="G278">
        <v>5</v>
      </c>
      <c r="H278">
        <v>0</v>
      </c>
      <c r="I278">
        <v>5</v>
      </c>
      <c r="J278">
        <v>4</v>
      </c>
      <c r="K278">
        <v>9</v>
      </c>
      <c r="L278">
        <v>5</v>
      </c>
      <c r="M278">
        <v>0</v>
      </c>
      <c r="N278">
        <v>0</v>
      </c>
      <c r="O278">
        <v>9</v>
      </c>
      <c r="P278">
        <v>113</v>
      </c>
    </row>
    <row r="279" spans="1:16" x14ac:dyDescent="0.25">
      <c r="A279" s="1">
        <v>43898.75</v>
      </c>
      <c r="B279" s="2" t="s">
        <v>12</v>
      </c>
      <c r="C279">
        <v>15</v>
      </c>
      <c r="D279" s="2" t="s">
        <v>37</v>
      </c>
      <c r="E279">
        <v>4083956555</v>
      </c>
      <c r="F279">
        <v>1425084984</v>
      </c>
      <c r="G279">
        <v>30</v>
      </c>
      <c r="H279">
        <v>7</v>
      </c>
      <c r="I279">
        <v>37</v>
      </c>
      <c r="J279">
        <v>63</v>
      </c>
      <c r="K279">
        <v>100</v>
      </c>
      <c r="L279">
        <v>39</v>
      </c>
      <c r="M279">
        <v>1</v>
      </c>
      <c r="N279">
        <v>0</v>
      </c>
      <c r="O279">
        <v>101</v>
      </c>
      <c r="P279">
        <v>980</v>
      </c>
    </row>
    <row r="280" spans="1:16" x14ac:dyDescent="0.25">
      <c r="A280" s="1">
        <v>43898.75</v>
      </c>
      <c r="B280" s="2" t="s">
        <v>12</v>
      </c>
      <c r="C280">
        <v>8</v>
      </c>
      <c r="D280" s="2" t="s">
        <v>38</v>
      </c>
      <c r="E280">
        <v>4449436681</v>
      </c>
      <c r="F280">
        <v>113417208</v>
      </c>
      <c r="G280">
        <v>542</v>
      </c>
      <c r="H280">
        <v>75</v>
      </c>
      <c r="I280">
        <v>617</v>
      </c>
      <c r="J280">
        <v>480</v>
      </c>
      <c r="K280">
        <v>1097</v>
      </c>
      <c r="L280">
        <v>160</v>
      </c>
      <c r="M280">
        <v>27</v>
      </c>
      <c r="N280">
        <v>56</v>
      </c>
      <c r="O280">
        <v>1180</v>
      </c>
      <c r="P280">
        <v>4344</v>
      </c>
    </row>
    <row r="281" spans="1:16" x14ac:dyDescent="0.25">
      <c r="A281" s="1">
        <v>43898.75</v>
      </c>
      <c r="B281" s="2" t="s">
        <v>12</v>
      </c>
      <c r="C281">
        <v>6</v>
      </c>
      <c r="D281" s="2" t="s">
        <v>39</v>
      </c>
      <c r="E281">
        <v>456494354</v>
      </c>
      <c r="F281">
        <v>1376813649</v>
      </c>
      <c r="G281">
        <v>7</v>
      </c>
      <c r="H281">
        <v>1</v>
      </c>
      <c r="I281">
        <v>8</v>
      </c>
      <c r="J281">
        <v>45</v>
      </c>
      <c r="K281">
        <v>53</v>
      </c>
      <c r="L281">
        <v>14</v>
      </c>
      <c r="M281">
        <v>3</v>
      </c>
      <c r="N281">
        <v>1</v>
      </c>
      <c r="O281">
        <v>57</v>
      </c>
      <c r="P281">
        <v>997</v>
      </c>
    </row>
    <row r="282" spans="1:16" x14ac:dyDescent="0.25">
      <c r="A282" s="1">
        <v>43898.75</v>
      </c>
      <c r="B282" s="2" t="s">
        <v>12</v>
      </c>
      <c r="C282">
        <v>12</v>
      </c>
      <c r="D282" s="2" t="s">
        <v>40</v>
      </c>
      <c r="E282">
        <v>4189277044</v>
      </c>
      <c r="F282">
        <v>1248366722</v>
      </c>
      <c r="G282">
        <v>47</v>
      </c>
      <c r="H282">
        <v>8</v>
      </c>
      <c r="I282">
        <v>55</v>
      </c>
      <c r="J282">
        <v>26</v>
      </c>
      <c r="K282">
        <v>81</v>
      </c>
      <c r="L282">
        <v>9</v>
      </c>
      <c r="M282">
        <v>3</v>
      </c>
      <c r="N282">
        <v>3</v>
      </c>
      <c r="O282">
        <v>87</v>
      </c>
      <c r="P282">
        <v>1929</v>
      </c>
    </row>
    <row r="283" spans="1:16" x14ac:dyDescent="0.25">
      <c r="A283" s="1">
        <v>43898.75</v>
      </c>
      <c r="B283" s="2" t="s">
        <v>12</v>
      </c>
      <c r="C283">
        <v>7</v>
      </c>
      <c r="D283" s="2" t="s">
        <v>41</v>
      </c>
      <c r="E283">
        <v>4441149315</v>
      </c>
      <c r="F283">
        <v>89326992</v>
      </c>
      <c r="G283">
        <v>39</v>
      </c>
      <c r="H283">
        <v>11</v>
      </c>
      <c r="I283">
        <v>50</v>
      </c>
      <c r="J283">
        <v>17</v>
      </c>
      <c r="K283">
        <v>67</v>
      </c>
      <c r="L283">
        <v>25</v>
      </c>
      <c r="M283">
        <v>5</v>
      </c>
      <c r="N283">
        <v>6</v>
      </c>
      <c r="O283">
        <v>78</v>
      </c>
      <c r="P283">
        <v>401</v>
      </c>
    </row>
    <row r="284" spans="1:16" x14ac:dyDescent="0.25">
      <c r="A284" s="1">
        <v>43898.75</v>
      </c>
      <c r="B284" s="2" t="s">
        <v>12</v>
      </c>
      <c r="C284">
        <v>3</v>
      </c>
      <c r="D284" s="2" t="s">
        <v>42</v>
      </c>
      <c r="E284">
        <v>4546679409</v>
      </c>
      <c r="F284">
        <v>9190347404</v>
      </c>
      <c r="G284">
        <v>2217</v>
      </c>
      <c r="H284">
        <v>399</v>
      </c>
      <c r="I284">
        <v>2616</v>
      </c>
      <c r="J284">
        <v>756</v>
      </c>
      <c r="K284">
        <v>3372</v>
      </c>
      <c r="L284">
        <v>630</v>
      </c>
      <c r="M284">
        <v>550</v>
      </c>
      <c r="N284">
        <v>267</v>
      </c>
      <c r="O284">
        <v>4189</v>
      </c>
      <c r="P284">
        <v>18534</v>
      </c>
    </row>
    <row r="285" spans="1:16" x14ac:dyDescent="0.25">
      <c r="A285" s="1">
        <v>43898.75</v>
      </c>
      <c r="B285" s="2" t="s">
        <v>12</v>
      </c>
      <c r="C285">
        <v>11</v>
      </c>
      <c r="D285" s="2" t="s">
        <v>43</v>
      </c>
      <c r="E285">
        <v>4361675973</v>
      </c>
      <c r="F285">
        <v>135188753</v>
      </c>
      <c r="G285">
        <v>110</v>
      </c>
      <c r="H285">
        <v>41</v>
      </c>
      <c r="I285">
        <v>151</v>
      </c>
      <c r="J285">
        <v>114</v>
      </c>
      <c r="K285">
        <v>265</v>
      </c>
      <c r="L285">
        <v>64</v>
      </c>
      <c r="M285">
        <v>0</v>
      </c>
      <c r="N285">
        <v>7</v>
      </c>
      <c r="O285">
        <v>272</v>
      </c>
      <c r="P285">
        <v>1025</v>
      </c>
    </row>
    <row r="286" spans="1:16" x14ac:dyDescent="0.25">
      <c r="A286" s="1">
        <v>43898.75</v>
      </c>
      <c r="B286" s="2" t="s">
        <v>12</v>
      </c>
      <c r="C286">
        <v>14</v>
      </c>
      <c r="D286" s="2" t="s">
        <v>44</v>
      </c>
      <c r="E286">
        <v>4155774754</v>
      </c>
      <c r="F286">
        <v>1465916051</v>
      </c>
      <c r="G286">
        <v>4</v>
      </c>
      <c r="H286">
        <v>2</v>
      </c>
      <c r="I286">
        <v>6</v>
      </c>
      <c r="J286">
        <v>8</v>
      </c>
      <c r="K286">
        <v>14</v>
      </c>
      <c r="L286">
        <v>0</v>
      </c>
      <c r="M286">
        <v>0</v>
      </c>
      <c r="N286">
        <v>0</v>
      </c>
      <c r="O286">
        <v>14</v>
      </c>
      <c r="P286">
        <v>116</v>
      </c>
    </row>
    <row r="287" spans="1:16" x14ac:dyDescent="0.25">
      <c r="A287" s="1">
        <v>43898.75</v>
      </c>
      <c r="B287" s="2" t="s">
        <v>12</v>
      </c>
      <c r="C287">
        <v>1</v>
      </c>
      <c r="D287" s="2" t="s">
        <v>45</v>
      </c>
      <c r="E287">
        <v>450732745</v>
      </c>
      <c r="F287">
        <v>7680687483</v>
      </c>
      <c r="G287">
        <v>245</v>
      </c>
      <c r="H287">
        <v>45</v>
      </c>
      <c r="I287">
        <v>290</v>
      </c>
      <c r="J287">
        <v>65</v>
      </c>
      <c r="K287">
        <v>355</v>
      </c>
      <c r="L287">
        <v>153</v>
      </c>
      <c r="M287">
        <v>0</v>
      </c>
      <c r="N287">
        <v>5</v>
      </c>
      <c r="O287">
        <v>360</v>
      </c>
      <c r="P287">
        <v>1636</v>
      </c>
    </row>
    <row r="288" spans="1:16" x14ac:dyDescent="0.25">
      <c r="A288" s="1">
        <v>43898.75</v>
      </c>
      <c r="B288" s="2" t="s">
        <v>12</v>
      </c>
      <c r="C288">
        <v>16</v>
      </c>
      <c r="D288" s="2" t="s">
        <v>46</v>
      </c>
      <c r="E288">
        <v>4112559576</v>
      </c>
      <c r="F288">
        <v>1686736689</v>
      </c>
      <c r="G288">
        <v>17</v>
      </c>
      <c r="H288">
        <v>3</v>
      </c>
      <c r="I288">
        <v>20</v>
      </c>
      <c r="J288">
        <v>16</v>
      </c>
      <c r="K288">
        <v>36</v>
      </c>
      <c r="L288">
        <v>13</v>
      </c>
      <c r="M288">
        <v>1</v>
      </c>
      <c r="N288">
        <v>3</v>
      </c>
      <c r="O288">
        <v>40</v>
      </c>
      <c r="P288">
        <v>627</v>
      </c>
    </row>
    <row r="289" spans="1:16" x14ac:dyDescent="0.25">
      <c r="A289" s="1">
        <v>43898.75</v>
      </c>
      <c r="B289" s="2" t="s">
        <v>12</v>
      </c>
      <c r="C289">
        <v>20</v>
      </c>
      <c r="D289" s="2" t="s">
        <v>47</v>
      </c>
      <c r="E289">
        <v>3921531192</v>
      </c>
      <c r="F289">
        <v>9110616306</v>
      </c>
      <c r="G289">
        <v>5</v>
      </c>
      <c r="H289">
        <v>0</v>
      </c>
      <c r="I289">
        <v>5</v>
      </c>
      <c r="J289">
        <v>6</v>
      </c>
      <c r="K289">
        <v>11</v>
      </c>
      <c r="L289">
        <v>6</v>
      </c>
      <c r="M289">
        <v>0</v>
      </c>
      <c r="N289">
        <v>0</v>
      </c>
      <c r="O289">
        <v>11</v>
      </c>
      <c r="P289">
        <v>149</v>
      </c>
    </row>
    <row r="290" spans="1:16" x14ac:dyDescent="0.25">
      <c r="A290" s="1">
        <v>43898.75</v>
      </c>
      <c r="B290" s="2" t="s">
        <v>12</v>
      </c>
      <c r="C290">
        <v>19</v>
      </c>
      <c r="D290" s="2" t="s">
        <v>48</v>
      </c>
      <c r="E290">
        <v>3811569725</v>
      </c>
      <c r="F290">
        <v>133623567</v>
      </c>
      <c r="G290">
        <v>18</v>
      </c>
      <c r="H290">
        <v>0</v>
      </c>
      <c r="I290">
        <v>18</v>
      </c>
      <c r="J290">
        <v>33</v>
      </c>
      <c r="K290">
        <v>51</v>
      </c>
      <c r="L290">
        <v>18</v>
      </c>
      <c r="M290">
        <v>2</v>
      </c>
      <c r="N290">
        <v>0</v>
      </c>
      <c r="O290">
        <v>53</v>
      </c>
      <c r="P290">
        <v>791</v>
      </c>
    </row>
    <row r="291" spans="1:16" x14ac:dyDescent="0.25">
      <c r="A291" s="1">
        <v>43898.75</v>
      </c>
      <c r="B291" s="2" t="s">
        <v>12</v>
      </c>
      <c r="C291">
        <v>9</v>
      </c>
      <c r="D291" s="2" t="s">
        <v>49</v>
      </c>
      <c r="E291">
        <v>4376923077</v>
      </c>
      <c r="F291">
        <v>1125588885</v>
      </c>
      <c r="G291">
        <v>91</v>
      </c>
      <c r="H291">
        <v>7</v>
      </c>
      <c r="I291">
        <v>98</v>
      </c>
      <c r="J291">
        <v>67</v>
      </c>
      <c r="K291">
        <v>165</v>
      </c>
      <c r="L291">
        <v>53</v>
      </c>
      <c r="M291">
        <v>1</v>
      </c>
      <c r="N291">
        <v>0</v>
      </c>
      <c r="O291">
        <v>166</v>
      </c>
      <c r="P291">
        <v>1618</v>
      </c>
    </row>
    <row r="292" spans="1:16" x14ac:dyDescent="0.25">
      <c r="A292" s="1">
        <v>43898.75</v>
      </c>
      <c r="B292" s="2" t="s">
        <v>12</v>
      </c>
      <c r="C292">
        <v>4</v>
      </c>
      <c r="D292" s="2" t="s">
        <v>50</v>
      </c>
      <c r="E292">
        <v>4606893511</v>
      </c>
      <c r="F292">
        <v>1112123097</v>
      </c>
      <c r="G292">
        <v>7</v>
      </c>
      <c r="H292">
        <v>2</v>
      </c>
      <c r="I292">
        <v>9</v>
      </c>
      <c r="J292">
        <v>14</v>
      </c>
      <c r="K292">
        <v>23</v>
      </c>
      <c r="L292">
        <v>9</v>
      </c>
      <c r="M292">
        <v>0</v>
      </c>
      <c r="N292">
        <v>0</v>
      </c>
      <c r="O292">
        <v>23</v>
      </c>
      <c r="P292">
        <v>228</v>
      </c>
    </row>
    <row r="293" spans="1:16" x14ac:dyDescent="0.25">
      <c r="A293" s="1">
        <v>43898.75</v>
      </c>
      <c r="B293" s="2" t="s">
        <v>12</v>
      </c>
      <c r="C293">
        <v>10</v>
      </c>
      <c r="D293" s="2" t="s">
        <v>51</v>
      </c>
      <c r="E293">
        <v>4310675841</v>
      </c>
      <c r="F293">
        <v>1238824698</v>
      </c>
      <c r="G293">
        <v>2</v>
      </c>
      <c r="H293">
        <v>2</v>
      </c>
      <c r="I293">
        <v>4</v>
      </c>
      <c r="J293">
        <v>22</v>
      </c>
      <c r="K293">
        <v>26</v>
      </c>
      <c r="L293">
        <v>2</v>
      </c>
      <c r="M293">
        <v>0</v>
      </c>
      <c r="N293">
        <v>0</v>
      </c>
      <c r="O293">
        <v>26</v>
      </c>
      <c r="P293">
        <v>168</v>
      </c>
    </row>
    <row r="294" spans="1:16" x14ac:dyDescent="0.25">
      <c r="A294" s="1">
        <v>43898.75</v>
      </c>
      <c r="B294" s="2" t="s">
        <v>12</v>
      </c>
      <c r="C294">
        <v>2</v>
      </c>
      <c r="D294" s="2" t="s">
        <v>52</v>
      </c>
      <c r="E294">
        <v>4573750286</v>
      </c>
      <c r="F294">
        <v>7320149366</v>
      </c>
      <c r="G294">
        <v>1</v>
      </c>
      <c r="H294">
        <v>0</v>
      </c>
      <c r="I294">
        <v>1</v>
      </c>
      <c r="J294">
        <v>8</v>
      </c>
      <c r="K294">
        <v>9</v>
      </c>
      <c r="L294">
        <v>1</v>
      </c>
      <c r="M294">
        <v>0</v>
      </c>
      <c r="N294">
        <v>0</v>
      </c>
      <c r="O294">
        <v>9</v>
      </c>
      <c r="P294">
        <v>41</v>
      </c>
    </row>
    <row r="295" spans="1:16" x14ac:dyDescent="0.25">
      <c r="A295" s="1">
        <v>43898.75</v>
      </c>
      <c r="B295" s="2" t="s">
        <v>12</v>
      </c>
      <c r="C295">
        <v>5</v>
      </c>
      <c r="D295" s="2" t="s">
        <v>53</v>
      </c>
      <c r="E295">
        <v>4543490485</v>
      </c>
      <c r="F295">
        <v>1233845213</v>
      </c>
      <c r="G295">
        <v>146</v>
      </c>
      <c r="H295">
        <v>47</v>
      </c>
      <c r="I295">
        <v>193</v>
      </c>
      <c r="J295">
        <v>430</v>
      </c>
      <c r="K295">
        <v>623</v>
      </c>
      <c r="L295">
        <v>118</v>
      </c>
      <c r="M295">
        <v>29</v>
      </c>
      <c r="N295">
        <v>18</v>
      </c>
      <c r="O295">
        <v>670</v>
      </c>
      <c r="P295">
        <v>15918</v>
      </c>
    </row>
    <row r="296" spans="1:16" x14ac:dyDescent="0.25">
      <c r="A296" s="1">
        <v>43899.75</v>
      </c>
      <c r="B296" s="2" t="s">
        <v>12</v>
      </c>
      <c r="C296">
        <v>13</v>
      </c>
      <c r="D296" s="2" t="s">
        <v>33</v>
      </c>
      <c r="E296">
        <v>4235122196</v>
      </c>
      <c r="F296">
        <v>1339843823</v>
      </c>
      <c r="G296">
        <v>25</v>
      </c>
      <c r="H296">
        <v>0</v>
      </c>
      <c r="I296">
        <v>25</v>
      </c>
      <c r="J296">
        <v>5</v>
      </c>
      <c r="K296">
        <v>30</v>
      </c>
      <c r="L296">
        <v>13</v>
      </c>
      <c r="M296">
        <v>0</v>
      </c>
      <c r="N296">
        <v>0</v>
      </c>
      <c r="O296">
        <v>30</v>
      </c>
      <c r="P296">
        <v>237</v>
      </c>
    </row>
    <row r="297" spans="1:16" x14ac:dyDescent="0.25">
      <c r="A297" s="1">
        <v>43899.75</v>
      </c>
      <c r="B297" s="2" t="s">
        <v>12</v>
      </c>
      <c r="C297">
        <v>17</v>
      </c>
      <c r="D297" s="2" t="s">
        <v>34</v>
      </c>
      <c r="E297">
        <v>4063947052</v>
      </c>
      <c r="F297">
        <v>1580514834</v>
      </c>
      <c r="G297">
        <v>2</v>
      </c>
      <c r="H297">
        <v>0</v>
      </c>
      <c r="I297">
        <v>2</v>
      </c>
      <c r="J297">
        <v>3</v>
      </c>
      <c r="K297">
        <v>5</v>
      </c>
      <c r="L297">
        <v>1</v>
      </c>
      <c r="M297">
        <v>0</v>
      </c>
      <c r="N297">
        <v>0</v>
      </c>
      <c r="O297">
        <v>5</v>
      </c>
      <c r="P297">
        <v>135</v>
      </c>
    </row>
    <row r="298" spans="1:16" x14ac:dyDescent="0.25">
      <c r="A298" s="1">
        <v>43899.75</v>
      </c>
      <c r="B298" s="2" t="s">
        <v>12</v>
      </c>
      <c r="C298">
        <v>4</v>
      </c>
      <c r="D298" s="2" t="s">
        <v>35</v>
      </c>
      <c r="E298">
        <v>4649933453</v>
      </c>
      <c r="F298">
        <v>1135662422</v>
      </c>
      <c r="G298">
        <v>8</v>
      </c>
      <c r="H298">
        <v>0</v>
      </c>
      <c r="I298">
        <v>8</v>
      </c>
      <c r="J298">
        <v>1</v>
      </c>
      <c r="K298">
        <v>9</v>
      </c>
      <c r="L298">
        <v>0</v>
      </c>
      <c r="M298">
        <v>0</v>
      </c>
      <c r="N298">
        <v>0</v>
      </c>
      <c r="O298">
        <v>9</v>
      </c>
      <c r="P298">
        <v>36</v>
      </c>
    </row>
    <row r="299" spans="1:16" x14ac:dyDescent="0.25">
      <c r="A299" s="1">
        <v>43899.75</v>
      </c>
      <c r="B299" s="2" t="s">
        <v>12</v>
      </c>
      <c r="C299">
        <v>18</v>
      </c>
      <c r="D299" s="2" t="s">
        <v>36</v>
      </c>
      <c r="E299">
        <v>3810922769</v>
      </c>
      <c r="F299">
        <v>156434527</v>
      </c>
      <c r="G299">
        <v>8</v>
      </c>
      <c r="H299">
        <v>0</v>
      </c>
      <c r="I299">
        <v>8</v>
      </c>
      <c r="J299">
        <v>1</v>
      </c>
      <c r="K299">
        <v>9</v>
      </c>
      <c r="L299">
        <v>0</v>
      </c>
      <c r="M299">
        <v>2</v>
      </c>
      <c r="N299">
        <v>0</v>
      </c>
      <c r="O299">
        <v>11</v>
      </c>
      <c r="P299">
        <v>173</v>
      </c>
    </row>
    <row r="300" spans="1:16" x14ac:dyDescent="0.25">
      <c r="A300" s="1">
        <v>43899.75</v>
      </c>
      <c r="B300" s="2" t="s">
        <v>12</v>
      </c>
      <c r="C300">
        <v>15</v>
      </c>
      <c r="D300" s="2" t="s">
        <v>37</v>
      </c>
      <c r="E300">
        <v>4083956555</v>
      </c>
      <c r="F300">
        <v>1425084984</v>
      </c>
      <c r="G300">
        <v>42</v>
      </c>
      <c r="H300">
        <v>8</v>
      </c>
      <c r="I300">
        <v>50</v>
      </c>
      <c r="J300">
        <v>69</v>
      </c>
      <c r="K300">
        <v>119</v>
      </c>
      <c r="L300">
        <v>19</v>
      </c>
      <c r="M300">
        <v>1</v>
      </c>
      <c r="N300">
        <v>0</v>
      </c>
      <c r="O300">
        <v>120</v>
      </c>
      <c r="P300">
        <v>980</v>
      </c>
    </row>
    <row r="301" spans="1:16" x14ac:dyDescent="0.25">
      <c r="A301" s="1">
        <v>43899.75</v>
      </c>
      <c r="B301" s="2" t="s">
        <v>12</v>
      </c>
      <c r="C301">
        <v>8</v>
      </c>
      <c r="D301" s="2" t="s">
        <v>38</v>
      </c>
      <c r="E301">
        <v>4449436681</v>
      </c>
      <c r="F301">
        <v>113417208</v>
      </c>
      <c r="G301">
        <v>576</v>
      </c>
      <c r="H301">
        <v>90</v>
      </c>
      <c r="I301">
        <v>666</v>
      </c>
      <c r="J301">
        <v>620</v>
      </c>
      <c r="K301">
        <v>1286</v>
      </c>
      <c r="L301">
        <v>189</v>
      </c>
      <c r="M301">
        <v>30</v>
      </c>
      <c r="N301">
        <v>70</v>
      </c>
      <c r="O301">
        <v>1386</v>
      </c>
      <c r="P301">
        <v>4906</v>
      </c>
    </row>
    <row r="302" spans="1:16" x14ac:dyDescent="0.25">
      <c r="A302" s="1">
        <v>43899.75</v>
      </c>
      <c r="B302" s="2" t="s">
        <v>12</v>
      </c>
      <c r="C302">
        <v>6</v>
      </c>
      <c r="D302" s="2" t="s">
        <v>39</v>
      </c>
      <c r="E302">
        <v>456494354</v>
      </c>
      <c r="F302">
        <v>1376813649</v>
      </c>
      <c r="G302">
        <v>18</v>
      </c>
      <c r="H302">
        <v>1</v>
      </c>
      <c r="I302">
        <v>19</v>
      </c>
      <c r="J302">
        <v>70</v>
      </c>
      <c r="K302">
        <v>89</v>
      </c>
      <c r="L302">
        <v>36</v>
      </c>
      <c r="M302">
        <v>3</v>
      </c>
      <c r="N302">
        <v>1</v>
      </c>
      <c r="O302">
        <v>93</v>
      </c>
      <c r="P302">
        <v>1344</v>
      </c>
    </row>
    <row r="303" spans="1:16" x14ac:dyDescent="0.25">
      <c r="A303" s="1">
        <v>43899.75</v>
      </c>
      <c r="B303" s="2" t="s">
        <v>12</v>
      </c>
      <c r="C303">
        <v>12</v>
      </c>
      <c r="D303" s="2" t="s">
        <v>40</v>
      </c>
      <c r="E303">
        <v>4189277044</v>
      </c>
      <c r="F303">
        <v>1248366722</v>
      </c>
      <c r="G303">
        <v>55</v>
      </c>
      <c r="H303">
        <v>8</v>
      </c>
      <c r="I303">
        <v>63</v>
      </c>
      <c r="J303">
        <v>31</v>
      </c>
      <c r="K303">
        <v>94</v>
      </c>
      <c r="L303">
        <v>13</v>
      </c>
      <c r="M303">
        <v>3</v>
      </c>
      <c r="N303">
        <v>5</v>
      </c>
      <c r="O303">
        <v>102</v>
      </c>
      <c r="P303">
        <v>1929</v>
      </c>
    </row>
    <row r="304" spans="1:16" x14ac:dyDescent="0.25">
      <c r="A304" s="1">
        <v>43899.75</v>
      </c>
      <c r="B304" s="2" t="s">
        <v>12</v>
      </c>
      <c r="C304">
        <v>7</v>
      </c>
      <c r="D304" s="2" t="s">
        <v>41</v>
      </c>
      <c r="E304">
        <v>4441149315</v>
      </c>
      <c r="F304">
        <v>89326992</v>
      </c>
      <c r="G304">
        <v>60</v>
      </c>
      <c r="H304">
        <v>17</v>
      </c>
      <c r="I304">
        <v>77</v>
      </c>
      <c r="J304">
        <v>20</v>
      </c>
      <c r="K304">
        <v>97</v>
      </c>
      <c r="L304">
        <v>30</v>
      </c>
      <c r="M304">
        <v>5</v>
      </c>
      <c r="N304">
        <v>7</v>
      </c>
      <c r="O304">
        <v>109</v>
      </c>
      <c r="P304">
        <v>611</v>
      </c>
    </row>
    <row r="305" spans="1:16" x14ac:dyDescent="0.25">
      <c r="A305" s="1">
        <v>43899.75</v>
      </c>
      <c r="B305" s="2" t="s">
        <v>12</v>
      </c>
      <c r="C305">
        <v>3</v>
      </c>
      <c r="D305" s="2" t="s">
        <v>42</v>
      </c>
      <c r="E305">
        <v>4546679409</v>
      </c>
      <c r="F305">
        <v>9190347404</v>
      </c>
      <c r="G305">
        <v>2802</v>
      </c>
      <c r="H305">
        <v>440</v>
      </c>
      <c r="I305">
        <v>3242</v>
      </c>
      <c r="J305">
        <v>1248</v>
      </c>
      <c r="K305">
        <v>4490</v>
      </c>
      <c r="L305">
        <v>1118</v>
      </c>
      <c r="M305">
        <v>646</v>
      </c>
      <c r="N305">
        <v>333</v>
      </c>
      <c r="O305">
        <v>5469</v>
      </c>
      <c r="P305">
        <v>20135</v>
      </c>
    </row>
    <row r="306" spans="1:16" x14ac:dyDescent="0.25">
      <c r="A306" s="1">
        <v>43899.75</v>
      </c>
      <c r="B306" s="2" t="s">
        <v>12</v>
      </c>
      <c r="C306">
        <v>11</v>
      </c>
      <c r="D306" s="2" t="s">
        <v>43</v>
      </c>
      <c r="E306">
        <v>4361675973</v>
      </c>
      <c r="F306">
        <v>135188753</v>
      </c>
      <c r="G306">
        <v>136</v>
      </c>
      <c r="H306">
        <v>47</v>
      </c>
      <c r="I306">
        <v>183</v>
      </c>
      <c r="J306">
        <v>130</v>
      </c>
      <c r="K306">
        <v>313</v>
      </c>
      <c r="L306">
        <v>48</v>
      </c>
      <c r="M306">
        <v>0</v>
      </c>
      <c r="N306">
        <v>10</v>
      </c>
      <c r="O306">
        <v>323</v>
      </c>
      <c r="P306">
        <v>1250</v>
      </c>
    </row>
    <row r="307" spans="1:16" x14ac:dyDescent="0.25">
      <c r="A307" s="1">
        <v>43899.75</v>
      </c>
      <c r="B307" s="2" t="s">
        <v>12</v>
      </c>
      <c r="C307">
        <v>14</v>
      </c>
      <c r="D307" s="2" t="s">
        <v>44</v>
      </c>
      <c r="E307">
        <v>4155774754</v>
      </c>
      <c r="F307">
        <v>1465916051</v>
      </c>
      <c r="G307">
        <v>4</v>
      </c>
      <c r="H307">
        <v>2</v>
      </c>
      <c r="I307">
        <v>6</v>
      </c>
      <c r="J307">
        <v>8</v>
      </c>
      <c r="K307">
        <v>14</v>
      </c>
      <c r="L307">
        <v>0</v>
      </c>
      <c r="M307">
        <v>0</v>
      </c>
      <c r="N307">
        <v>0</v>
      </c>
      <c r="O307">
        <v>14</v>
      </c>
      <c r="P307">
        <v>212</v>
      </c>
    </row>
    <row r="308" spans="1:16" x14ac:dyDescent="0.25">
      <c r="A308" s="1">
        <v>43899.75</v>
      </c>
      <c r="B308" s="2" t="s">
        <v>12</v>
      </c>
      <c r="C308">
        <v>1</v>
      </c>
      <c r="D308" s="2" t="s">
        <v>45</v>
      </c>
      <c r="E308">
        <v>450732745</v>
      </c>
      <c r="F308">
        <v>7680687483</v>
      </c>
      <c r="G308">
        <v>222</v>
      </c>
      <c r="H308">
        <v>50</v>
      </c>
      <c r="I308">
        <v>272</v>
      </c>
      <c r="J308">
        <v>65</v>
      </c>
      <c r="K308">
        <v>337</v>
      </c>
      <c r="L308">
        <v>-18</v>
      </c>
      <c r="M308">
        <v>0</v>
      </c>
      <c r="N308">
        <v>13</v>
      </c>
      <c r="O308">
        <v>350</v>
      </c>
      <c r="P308">
        <v>1681</v>
      </c>
    </row>
    <row r="309" spans="1:16" x14ac:dyDescent="0.25">
      <c r="A309" s="1">
        <v>43899.75</v>
      </c>
      <c r="B309" s="2" t="s">
        <v>12</v>
      </c>
      <c r="C309">
        <v>16</v>
      </c>
      <c r="D309" s="2" t="s">
        <v>46</v>
      </c>
      <c r="E309">
        <v>4112559576</v>
      </c>
      <c r="F309">
        <v>1686736689</v>
      </c>
      <c r="G309">
        <v>20</v>
      </c>
      <c r="H309">
        <v>6</v>
      </c>
      <c r="I309">
        <v>26</v>
      </c>
      <c r="J309">
        <v>20</v>
      </c>
      <c r="K309">
        <v>46</v>
      </c>
      <c r="L309">
        <v>10</v>
      </c>
      <c r="M309">
        <v>1</v>
      </c>
      <c r="N309">
        <v>3</v>
      </c>
      <c r="O309">
        <v>50</v>
      </c>
      <c r="P309">
        <v>685</v>
      </c>
    </row>
    <row r="310" spans="1:16" x14ac:dyDescent="0.25">
      <c r="A310" s="1">
        <v>43899.75</v>
      </c>
      <c r="B310" s="2" t="s">
        <v>12</v>
      </c>
      <c r="C310">
        <v>20</v>
      </c>
      <c r="D310" s="2" t="s">
        <v>47</v>
      </c>
      <c r="E310">
        <v>3921531192</v>
      </c>
      <c r="F310">
        <v>9110616306</v>
      </c>
      <c r="G310">
        <v>8</v>
      </c>
      <c r="H310">
        <v>0</v>
      </c>
      <c r="I310">
        <v>8</v>
      </c>
      <c r="J310">
        <v>11</v>
      </c>
      <c r="K310">
        <v>19</v>
      </c>
      <c r="L310">
        <v>8</v>
      </c>
      <c r="M310">
        <v>0</v>
      </c>
      <c r="N310">
        <v>0</v>
      </c>
      <c r="O310">
        <v>19</v>
      </c>
      <c r="P310">
        <v>185</v>
      </c>
    </row>
    <row r="311" spans="1:16" x14ac:dyDescent="0.25">
      <c r="A311" s="1">
        <v>43899.75</v>
      </c>
      <c r="B311" s="2" t="s">
        <v>12</v>
      </c>
      <c r="C311">
        <v>19</v>
      </c>
      <c r="D311" s="2" t="s">
        <v>48</v>
      </c>
      <c r="E311">
        <v>3811569725</v>
      </c>
      <c r="F311">
        <v>133623567</v>
      </c>
      <c r="G311">
        <v>19</v>
      </c>
      <c r="H311">
        <v>0</v>
      </c>
      <c r="I311">
        <v>19</v>
      </c>
      <c r="J311">
        <v>33</v>
      </c>
      <c r="K311">
        <v>52</v>
      </c>
      <c r="L311">
        <v>1</v>
      </c>
      <c r="M311">
        <v>2</v>
      </c>
      <c r="N311">
        <v>0</v>
      </c>
      <c r="O311">
        <v>54</v>
      </c>
      <c r="P311">
        <v>836</v>
      </c>
    </row>
    <row r="312" spans="1:16" x14ac:dyDescent="0.25">
      <c r="A312" s="1">
        <v>43899.75</v>
      </c>
      <c r="B312" s="2" t="s">
        <v>12</v>
      </c>
      <c r="C312">
        <v>9</v>
      </c>
      <c r="D312" s="2" t="s">
        <v>49</v>
      </c>
      <c r="E312">
        <v>4376923077</v>
      </c>
      <c r="F312">
        <v>1125588885</v>
      </c>
      <c r="G312">
        <v>107</v>
      </c>
      <c r="H312">
        <v>9</v>
      </c>
      <c r="I312">
        <v>116</v>
      </c>
      <c r="J312">
        <v>90</v>
      </c>
      <c r="K312">
        <v>206</v>
      </c>
      <c r="L312">
        <v>41</v>
      </c>
      <c r="M312">
        <v>1</v>
      </c>
      <c r="N312">
        <v>1</v>
      </c>
      <c r="O312">
        <v>208</v>
      </c>
      <c r="P312">
        <v>2018</v>
      </c>
    </row>
    <row r="313" spans="1:16" x14ac:dyDescent="0.25">
      <c r="A313" s="1">
        <v>43899.75</v>
      </c>
      <c r="B313" s="2" t="s">
        <v>12</v>
      </c>
      <c r="C313">
        <v>4</v>
      </c>
      <c r="D313" s="2" t="s">
        <v>50</v>
      </c>
      <c r="E313">
        <v>4606893511</v>
      </c>
      <c r="F313">
        <v>1112123097</v>
      </c>
      <c r="G313">
        <v>10</v>
      </c>
      <c r="H313">
        <v>2</v>
      </c>
      <c r="I313">
        <v>12</v>
      </c>
      <c r="J313">
        <v>21</v>
      </c>
      <c r="K313">
        <v>33</v>
      </c>
      <c r="L313">
        <v>10</v>
      </c>
      <c r="M313">
        <v>0</v>
      </c>
      <c r="N313">
        <v>0</v>
      </c>
      <c r="O313">
        <v>33</v>
      </c>
      <c r="P313">
        <v>267</v>
      </c>
    </row>
    <row r="314" spans="1:16" x14ac:dyDescent="0.25">
      <c r="A314" s="1">
        <v>43899.75</v>
      </c>
      <c r="B314" s="2" t="s">
        <v>12</v>
      </c>
      <c r="C314">
        <v>10</v>
      </c>
      <c r="D314" s="2" t="s">
        <v>51</v>
      </c>
      <c r="E314">
        <v>4310675841</v>
      </c>
      <c r="F314">
        <v>1238824698</v>
      </c>
      <c r="G314">
        <v>4</v>
      </c>
      <c r="H314">
        <v>2</v>
      </c>
      <c r="I314">
        <v>6</v>
      </c>
      <c r="J314">
        <v>22</v>
      </c>
      <c r="K314">
        <v>28</v>
      </c>
      <c r="L314">
        <v>2</v>
      </c>
      <c r="M314">
        <v>0</v>
      </c>
      <c r="N314">
        <v>0</v>
      </c>
      <c r="O314">
        <v>28</v>
      </c>
      <c r="P314">
        <v>183</v>
      </c>
    </row>
    <row r="315" spans="1:16" x14ac:dyDescent="0.25">
      <c r="A315" s="1">
        <v>43899.75</v>
      </c>
      <c r="B315" s="2" t="s">
        <v>12</v>
      </c>
      <c r="C315">
        <v>2</v>
      </c>
      <c r="D315" s="2" t="s">
        <v>52</v>
      </c>
      <c r="E315">
        <v>4573750286</v>
      </c>
      <c r="F315">
        <v>7320149366</v>
      </c>
      <c r="G315">
        <v>4</v>
      </c>
      <c r="H315">
        <v>0</v>
      </c>
      <c r="I315">
        <v>4</v>
      </c>
      <c r="J315">
        <v>11</v>
      </c>
      <c r="K315">
        <v>15</v>
      </c>
      <c r="L315">
        <v>6</v>
      </c>
      <c r="M315">
        <v>0</v>
      </c>
      <c r="N315">
        <v>0</v>
      </c>
      <c r="O315">
        <v>15</v>
      </c>
      <c r="P315">
        <v>67</v>
      </c>
    </row>
    <row r="316" spans="1:16" x14ac:dyDescent="0.25">
      <c r="A316" s="1">
        <v>43899.75</v>
      </c>
      <c r="B316" s="2" t="s">
        <v>12</v>
      </c>
      <c r="C316">
        <v>5</v>
      </c>
      <c r="D316" s="2" t="s">
        <v>53</v>
      </c>
      <c r="E316">
        <v>4543490485</v>
      </c>
      <c r="F316">
        <v>1233845213</v>
      </c>
      <c r="G316">
        <v>186</v>
      </c>
      <c r="H316">
        <v>51</v>
      </c>
      <c r="I316">
        <v>237</v>
      </c>
      <c r="J316">
        <v>457</v>
      </c>
      <c r="K316">
        <v>694</v>
      </c>
      <c r="L316">
        <v>71</v>
      </c>
      <c r="M316">
        <v>30</v>
      </c>
      <c r="N316">
        <v>20</v>
      </c>
      <c r="O316">
        <v>744</v>
      </c>
      <c r="P316">
        <v>15956</v>
      </c>
    </row>
    <row r="317" spans="1:16" x14ac:dyDescent="0.25">
      <c r="A317" s="1">
        <v>43900.75</v>
      </c>
      <c r="B317" s="2" t="s">
        <v>12</v>
      </c>
      <c r="C317">
        <v>13</v>
      </c>
      <c r="D317" s="2" t="s">
        <v>33</v>
      </c>
      <c r="E317">
        <v>4235122196</v>
      </c>
      <c r="F317">
        <v>1339843823</v>
      </c>
      <c r="G317">
        <v>17</v>
      </c>
      <c r="H317">
        <v>9</v>
      </c>
      <c r="I317">
        <v>26</v>
      </c>
      <c r="J317">
        <v>11</v>
      </c>
      <c r="K317">
        <v>37</v>
      </c>
      <c r="L317">
        <v>7</v>
      </c>
      <c r="M317">
        <v>0</v>
      </c>
      <c r="N317">
        <v>1</v>
      </c>
      <c r="O317">
        <v>38</v>
      </c>
      <c r="P317">
        <v>310</v>
      </c>
    </row>
    <row r="318" spans="1:16" x14ac:dyDescent="0.25">
      <c r="A318" s="1">
        <v>43900.75</v>
      </c>
      <c r="B318" s="2" t="s">
        <v>12</v>
      </c>
      <c r="C318">
        <v>17</v>
      </c>
      <c r="D318" s="2" t="s">
        <v>34</v>
      </c>
      <c r="E318">
        <v>4063947052</v>
      </c>
      <c r="F318">
        <v>1580514834</v>
      </c>
      <c r="G318">
        <v>2</v>
      </c>
      <c r="H318">
        <v>0</v>
      </c>
      <c r="I318">
        <v>2</v>
      </c>
      <c r="J318">
        <v>5</v>
      </c>
      <c r="K318">
        <v>7</v>
      </c>
      <c r="L318">
        <v>2</v>
      </c>
      <c r="M318">
        <v>0</v>
      </c>
      <c r="N318">
        <v>0</v>
      </c>
      <c r="O318">
        <v>7</v>
      </c>
      <c r="P318">
        <v>148</v>
      </c>
    </row>
    <row r="319" spans="1:16" x14ac:dyDescent="0.25">
      <c r="A319" s="1">
        <v>43900.75</v>
      </c>
      <c r="B319" s="2" t="s">
        <v>12</v>
      </c>
      <c r="C319">
        <v>4</v>
      </c>
      <c r="D319" s="2" t="s">
        <v>35</v>
      </c>
      <c r="E319">
        <v>4649933453</v>
      </c>
      <c r="F319">
        <v>1135662422</v>
      </c>
      <c r="G319">
        <v>17</v>
      </c>
      <c r="H319">
        <v>1</v>
      </c>
      <c r="I319">
        <v>18</v>
      </c>
      <c r="J319">
        <v>20</v>
      </c>
      <c r="K319">
        <v>38</v>
      </c>
      <c r="L319">
        <v>29</v>
      </c>
      <c r="M319">
        <v>0</v>
      </c>
      <c r="N319">
        <v>0</v>
      </c>
      <c r="O319">
        <v>38</v>
      </c>
      <c r="P319">
        <v>36</v>
      </c>
    </row>
    <row r="320" spans="1:16" x14ac:dyDescent="0.25">
      <c r="A320" s="1">
        <v>43900.75</v>
      </c>
      <c r="B320" s="2" t="s">
        <v>12</v>
      </c>
      <c r="C320">
        <v>18</v>
      </c>
      <c r="D320" s="2" t="s">
        <v>36</v>
      </c>
      <c r="E320">
        <v>3810922769</v>
      </c>
      <c r="F320">
        <v>156434527</v>
      </c>
      <c r="G320">
        <v>8</v>
      </c>
      <c r="H320">
        <v>2</v>
      </c>
      <c r="I320">
        <v>10</v>
      </c>
      <c r="J320">
        <v>1</v>
      </c>
      <c r="K320">
        <v>11</v>
      </c>
      <c r="L320">
        <v>2</v>
      </c>
      <c r="M320">
        <v>2</v>
      </c>
      <c r="N320">
        <v>0</v>
      </c>
      <c r="O320">
        <v>13</v>
      </c>
      <c r="P320">
        <v>360</v>
      </c>
    </row>
    <row r="321" spans="1:16" x14ac:dyDescent="0.25">
      <c r="A321" s="1">
        <v>43900.75</v>
      </c>
      <c r="B321" s="2" t="s">
        <v>12</v>
      </c>
      <c r="C321">
        <v>15</v>
      </c>
      <c r="D321" s="2" t="s">
        <v>37</v>
      </c>
      <c r="E321">
        <v>4083956555</v>
      </c>
      <c r="F321">
        <v>1425084984</v>
      </c>
      <c r="G321">
        <v>33</v>
      </c>
      <c r="H321">
        <v>8</v>
      </c>
      <c r="I321">
        <v>41</v>
      </c>
      <c r="J321">
        <v>85</v>
      </c>
      <c r="K321">
        <v>126</v>
      </c>
      <c r="L321">
        <v>7</v>
      </c>
      <c r="M321">
        <v>1</v>
      </c>
      <c r="N321">
        <v>0</v>
      </c>
      <c r="O321">
        <v>127</v>
      </c>
      <c r="P321">
        <v>1141</v>
      </c>
    </row>
    <row r="322" spans="1:16" x14ac:dyDescent="0.25">
      <c r="A322" s="1">
        <v>43900.75</v>
      </c>
      <c r="B322" s="2" t="s">
        <v>12</v>
      </c>
      <c r="C322">
        <v>8</v>
      </c>
      <c r="D322" s="2" t="s">
        <v>38</v>
      </c>
      <c r="E322">
        <v>4449436681</v>
      </c>
      <c r="F322">
        <v>113417208</v>
      </c>
      <c r="G322">
        <v>669</v>
      </c>
      <c r="H322">
        <v>98</v>
      </c>
      <c r="I322">
        <v>767</v>
      </c>
      <c r="J322">
        <v>650</v>
      </c>
      <c r="K322">
        <v>1417</v>
      </c>
      <c r="L322">
        <v>131</v>
      </c>
      <c r="M322">
        <v>31</v>
      </c>
      <c r="N322">
        <v>85</v>
      </c>
      <c r="O322">
        <v>1533</v>
      </c>
      <c r="P322">
        <v>5494</v>
      </c>
    </row>
    <row r="323" spans="1:16" x14ac:dyDescent="0.25">
      <c r="A323" s="1">
        <v>43900.75</v>
      </c>
      <c r="B323" s="2" t="s">
        <v>12</v>
      </c>
      <c r="C323">
        <v>6</v>
      </c>
      <c r="D323" s="2" t="s">
        <v>39</v>
      </c>
      <c r="E323">
        <v>456494354</v>
      </c>
      <c r="F323">
        <v>1376813649</v>
      </c>
      <c r="G323">
        <v>27</v>
      </c>
      <c r="H323">
        <v>6</v>
      </c>
      <c r="I323">
        <v>33</v>
      </c>
      <c r="J323">
        <v>77</v>
      </c>
      <c r="K323">
        <v>110</v>
      </c>
      <c r="L323">
        <v>21</v>
      </c>
      <c r="M323">
        <v>3</v>
      </c>
      <c r="N323">
        <v>3</v>
      </c>
      <c r="O323">
        <v>116</v>
      </c>
      <c r="P323">
        <v>1602</v>
      </c>
    </row>
    <row r="324" spans="1:16" x14ac:dyDescent="0.25">
      <c r="A324" s="1">
        <v>43900.75</v>
      </c>
      <c r="B324" s="2" t="s">
        <v>12</v>
      </c>
      <c r="C324">
        <v>12</v>
      </c>
      <c r="D324" s="2" t="s">
        <v>40</v>
      </c>
      <c r="E324">
        <v>4189277044</v>
      </c>
      <c r="F324">
        <v>1248366722</v>
      </c>
      <c r="G324">
        <v>50</v>
      </c>
      <c r="H324">
        <v>15</v>
      </c>
      <c r="I324">
        <v>65</v>
      </c>
      <c r="J324">
        <v>34</v>
      </c>
      <c r="K324">
        <v>99</v>
      </c>
      <c r="L324">
        <v>5</v>
      </c>
      <c r="M324">
        <v>11</v>
      </c>
      <c r="N324">
        <v>6</v>
      </c>
      <c r="O324">
        <v>116</v>
      </c>
      <c r="P324">
        <v>3591</v>
      </c>
    </row>
    <row r="325" spans="1:16" x14ac:dyDescent="0.25">
      <c r="A325" s="1">
        <v>43900.75</v>
      </c>
      <c r="B325" s="2" t="s">
        <v>12</v>
      </c>
      <c r="C325">
        <v>7</v>
      </c>
      <c r="D325" s="2" t="s">
        <v>41</v>
      </c>
      <c r="E325">
        <v>4441149315</v>
      </c>
      <c r="F325">
        <v>89326992</v>
      </c>
      <c r="G325">
        <v>57</v>
      </c>
      <c r="H325">
        <v>29</v>
      </c>
      <c r="I325">
        <v>86</v>
      </c>
      <c r="J325">
        <v>42</v>
      </c>
      <c r="K325">
        <v>128</v>
      </c>
      <c r="L325">
        <v>31</v>
      </c>
      <c r="M325">
        <v>5</v>
      </c>
      <c r="N325">
        <v>8</v>
      </c>
      <c r="O325">
        <v>141</v>
      </c>
      <c r="P325">
        <v>694</v>
      </c>
    </row>
    <row r="326" spans="1:16" x14ac:dyDescent="0.25">
      <c r="A326" s="1">
        <v>43900.75</v>
      </c>
      <c r="B326" s="2" t="s">
        <v>12</v>
      </c>
      <c r="C326">
        <v>3</v>
      </c>
      <c r="D326" s="2" t="s">
        <v>42</v>
      </c>
      <c r="E326">
        <v>4546679409</v>
      </c>
      <c r="F326">
        <v>9190347404</v>
      </c>
      <c r="G326">
        <v>3319</v>
      </c>
      <c r="H326">
        <v>466</v>
      </c>
      <c r="I326">
        <v>3785</v>
      </c>
      <c r="J326">
        <v>642</v>
      </c>
      <c r="K326">
        <v>4427</v>
      </c>
      <c r="L326">
        <v>-63</v>
      </c>
      <c r="M326">
        <v>896</v>
      </c>
      <c r="N326">
        <v>468</v>
      </c>
      <c r="O326">
        <v>5791</v>
      </c>
      <c r="P326">
        <v>21479</v>
      </c>
    </row>
    <row r="327" spans="1:16" x14ac:dyDescent="0.25">
      <c r="A327" s="1">
        <v>43900.75</v>
      </c>
      <c r="B327" s="2" t="s">
        <v>12</v>
      </c>
      <c r="C327">
        <v>11</v>
      </c>
      <c r="D327" s="2" t="s">
        <v>43</v>
      </c>
      <c r="E327">
        <v>4361675973</v>
      </c>
      <c r="F327">
        <v>135188753</v>
      </c>
      <c r="G327">
        <v>152</v>
      </c>
      <c r="H327">
        <v>54</v>
      </c>
      <c r="I327">
        <v>206</v>
      </c>
      <c r="J327">
        <v>175</v>
      </c>
      <c r="K327">
        <v>381</v>
      </c>
      <c r="L327">
        <v>68</v>
      </c>
      <c r="M327">
        <v>0</v>
      </c>
      <c r="N327">
        <v>13</v>
      </c>
      <c r="O327">
        <v>394</v>
      </c>
      <c r="P327">
        <v>1437</v>
      </c>
    </row>
    <row r="328" spans="1:16" x14ac:dyDescent="0.25">
      <c r="A328" s="1">
        <v>43900.75</v>
      </c>
      <c r="B328" s="2" t="s">
        <v>12</v>
      </c>
      <c r="C328">
        <v>14</v>
      </c>
      <c r="D328" s="2" t="s">
        <v>44</v>
      </c>
      <c r="E328">
        <v>4155774754</v>
      </c>
      <c r="F328">
        <v>1465916051</v>
      </c>
      <c r="G328">
        <v>3</v>
      </c>
      <c r="H328">
        <v>3</v>
      </c>
      <c r="I328">
        <v>6</v>
      </c>
      <c r="J328">
        <v>9</v>
      </c>
      <c r="K328">
        <v>15</v>
      </c>
      <c r="L328">
        <v>1</v>
      </c>
      <c r="M328">
        <v>0</v>
      </c>
      <c r="N328">
        <v>0</v>
      </c>
      <c r="O328">
        <v>15</v>
      </c>
      <c r="P328">
        <v>225</v>
      </c>
    </row>
    <row r="329" spans="1:16" x14ac:dyDescent="0.25">
      <c r="A329" s="1">
        <v>43900.75</v>
      </c>
      <c r="B329" s="2" t="s">
        <v>12</v>
      </c>
      <c r="C329">
        <v>1</v>
      </c>
      <c r="D329" s="2" t="s">
        <v>45</v>
      </c>
      <c r="E329">
        <v>450732745</v>
      </c>
      <c r="F329">
        <v>7680687483</v>
      </c>
      <c r="G329">
        <v>306</v>
      </c>
      <c r="H329">
        <v>66</v>
      </c>
      <c r="I329">
        <v>372</v>
      </c>
      <c r="J329">
        <v>64</v>
      </c>
      <c r="K329">
        <v>436</v>
      </c>
      <c r="L329">
        <v>99</v>
      </c>
      <c r="M329">
        <v>0</v>
      </c>
      <c r="N329">
        <v>17</v>
      </c>
      <c r="O329">
        <v>453</v>
      </c>
      <c r="P329">
        <v>2374</v>
      </c>
    </row>
    <row r="330" spans="1:16" x14ac:dyDescent="0.25">
      <c r="A330" s="1">
        <v>43900.75</v>
      </c>
      <c r="B330" s="2" t="s">
        <v>12</v>
      </c>
      <c r="C330">
        <v>16</v>
      </c>
      <c r="D330" s="2" t="s">
        <v>46</v>
      </c>
      <c r="E330">
        <v>4112559576</v>
      </c>
      <c r="F330">
        <v>1686736689</v>
      </c>
      <c r="G330">
        <v>28</v>
      </c>
      <c r="H330">
        <v>6</v>
      </c>
      <c r="I330">
        <v>34</v>
      </c>
      <c r="J330">
        <v>21</v>
      </c>
      <c r="K330">
        <v>55</v>
      </c>
      <c r="L330">
        <v>9</v>
      </c>
      <c r="M330">
        <v>1</v>
      </c>
      <c r="N330">
        <v>3</v>
      </c>
      <c r="O330">
        <v>59</v>
      </c>
      <c r="P330">
        <v>747</v>
      </c>
    </row>
    <row r="331" spans="1:16" x14ac:dyDescent="0.25">
      <c r="A331" s="1">
        <v>43900.75</v>
      </c>
      <c r="B331" s="2" t="s">
        <v>12</v>
      </c>
      <c r="C331">
        <v>20</v>
      </c>
      <c r="D331" s="2" t="s">
        <v>47</v>
      </c>
      <c r="E331">
        <v>3921531192</v>
      </c>
      <c r="F331">
        <v>9110616306</v>
      </c>
      <c r="G331">
        <v>9</v>
      </c>
      <c r="H331">
        <v>0</v>
      </c>
      <c r="I331">
        <v>9</v>
      </c>
      <c r="J331">
        <v>11</v>
      </c>
      <c r="K331">
        <v>20</v>
      </c>
      <c r="L331">
        <v>1</v>
      </c>
      <c r="M331">
        <v>0</v>
      </c>
      <c r="N331">
        <v>0</v>
      </c>
      <c r="O331">
        <v>20</v>
      </c>
      <c r="P331">
        <v>204</v>
      </c>
    </row>
    <row r="332" spans="1:16" x14ac:dyDescent="0.25">
      <c r="A332" s="1">
        <v>43900.75</v>
      </c>
      <c r="B332" s="2" t="s">
        <v>12</v>
      </c>
      <c r="C332">
        <v>19</v>
      </c>
      <c r="D332" s="2" t="s">
        <v>48</v>
      </c>
      <c r="E332">
        <v>3811569725</v>
      </c>
      <c r="F332">
        <v>133623567</v>
      </c>
      <c r="G332">
        <v>17</v>
      </c>
      <c r="H332">
        <v>2</v>
      </c>
      <c r="I332">
        <v>19</v>
      </c>
      <c r="J332">
        <v>41</v>
      </c>
      <c r="K332">
        <v>60</v>
      </c>
      <c r="L332">
        <v>8</v>
      </c>
      <c r="M332">
        <v>2</v>
      </c>
      <c r="N332">
        <v>0</v>
      </c>
      <c r="O332">
        <v>62</v>
      </c>
      <c r="P332">
        <v>955</v>
      </c>
    </row>
    <row r="333" spans="1:16" x14ac:dyDescent="0.25">
      <c r="A333" s="1">
        <v>43900.75</v>
      </c>
      <c r="B333" s="2" t="s">
        <v>12</v>
      </c>
      <c r="C333">
        <v>9</v>
      </c>
      <c r="D333" s="2" t="s">
        <v>49</v>
      </c>
      <c r="E333">
        <v>4376923077</v>
      </c>
      <c r="F333">
        <v>1125588885</v>
      </c>
      <c r="G333">
        <v>91</v>
      </c>
      <c r="H333">
        <v>40</v>
      </c>
      <c r="I333">
        <v>131</v>
      </c>
      <c r="J333">
        <v>129</v>
      </c>
      <c r="K333">
        <v>260</v>
      </c>
      <c r="L333">
        <v>54</v>
      </c>
      <c r="M333">
        <v>3</v>
      </c>
      <c r="N333">
        <v>1</v>
      </c>
      <c r="O333">
        <v>264</v>
      </c>
      <c r="P333">
        <v>2573</v>
      </c>
    </row>
    <row r="334" spans="1:16" x14ac:dyDescent="0.25">
      <c r="A334" s="1">
        <v>43900.75</v>
      </c>
      <c r="B334" s="2" t="s">
        <v>12</v>
      </c>
      <c r="C334">
        <v>4</v>
      </c>
      <c r="D334" s="2" t="s">
        <v>50</v>
      </c>
      <c r="E334">
        <v>4606893511</v>
      </c>
      <c r="F334">
        <v>1112123097</v>
      </c>
      <c r="G334">
        <v>19</v>
      </c>
      <c r="H334">
        <v>3</v>
      </c>
      <c r="I334">
        <v>22</v>
      </c>
      <c r="J334">
        <v>28</v>
      </c>
      <c r="K334">
        <v>50</v>
      </c>
      <c r="L334">
        <v>17</v>
      </c>
      <c r="M334">
        <v>2</v>
      </c>
      <c r="N334">
        <v>0</v>
      </c>
      <c r="O334">
        <v>52</v>
      </c>
      <c r="P334">
        <v>399</v>
      </c>
    </row>
    <row r="335" spans="1:16" x14ac:dyDescent="0.25">
      <c r="A335" s="1">
        <v>43900.75</v>
      </c>
      <c r="B335" s="2" t="s">
        <v>12</v>
      </c>
      <c r="C335">
        <v>10</v>
      </c>
      <c r="D335" s="2" t="s">
        <v>51</v>
      </c>
      <c r="E335">
        <v>4310675841</v>
      </c>
      <c r="F335">
        <v>1238824698</v>
      </c>
      <c r="G335">
        <v>8</v>
      </c>
      <c r="H335">
        <v>2</v>
      </c>
      <c r="I335">
        <v>10</v>
      </c>
      <c r="J335">
        <v>27</v>
      </c>
      <c r="K335">
        <v>37</v>
      </c>
      <c r="L335">
        <v>9</v>
      </c>
      <c r="M335">
        <v>0</v>
      </c>
      <c r="N335">
        <v>0</v>
      </c>
      <c r="O335">
        <v>37</v>
      </c>
      <c r="P335">
        <v>260</v>
      </c>
    </row>
    <row r="336" spans="1:16" x14ac:dyDescent="0.25">
      <c r="A336" s="1">
        <v>43900.75</v>
      </c>
      <c r="B336" s="2" t="s">
        <v>12</v>
      </c>
      <c r="C336">
        <v>2</v>
      </c>
      <c r="D336" s="2" t="s">
        <v>52</v>
      </c>
      <c r="E336">
        <v>4573750286</v>
      </c>
      <c r="F336">
        <v>7320149366</v>
      </c>
      <c r="G336">
        <v>2</v>
      </c>
      <c r="H336">
        <v>0</v>
      </c>
      <c r="I336">
        <v>2</v>
      </c>
      <c r="J336">
        <v>15</v>
      </c>
      <c r="K336">
        <v>17</v>
      </c>
      <c r="L336">
        <v>2</v>
      </c>
      <c r="M336">
        <v>0</v>
      </c>
      <c r="N336">
        <v>0</v>
      </c>
      <c r="O336">
        <v>17</v>
      </c>
      <c r="P336">
        <v>89</v>
      </c>
    </row>
    <row r="337" spans="1:16" x14ac:dyDescent="0.25">
      <c r="A337" s="1">
        <v>43900.75</v>
      </c>
      <c r="B337" s="2" t="s">
        <v>12</v>
      </c>
      <c r="C337">
        <v>5</v>
      </c>
      <c r="D337" s="2" t="s">
        <v>53</v>
      </c>
      <c r="E337">
        <v>4543490485</v>
      </c>
      <c r="F337">
        <v>1233845213</v>
      </c>
      <c r="G337">
        <v>204</v>
      </c>
      <c r="H337">
        <v>67</v>
      </c>
      <c r="I337">
        <v>271</v>
      </c>
      <c r="J337">
        <v>512</v>
      </c>
      <c r="K337">
        <v>783</v>
      </c>
      <c r="L337">
        <v>89</v>
      </c>
      <c r="M337">
        <v>47</v>
      </c>
      <c r="N337">
        <v>26</v>
      </c>
      <c r="O337">
        <v>856</v>
      </c>
      <c r="P337">
        <v>16643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9B689-4B85-4885-AD7A-5721550C2697}">
  <dimension ref="A2:Q24"/>
  <sheetViews>
    <sheetView workbookViewId="0">
      <selection activeCell="D3" sqref="D3"/>
    </sheetView>
  </sheetViews>
  <sheetFormatPr defaultRowHeight="15" x14ac:dyDescent="0.25"/>
  <cols>
    <col min="1" max="1" width="16.5703125" customWidth="1"/>
    <col min="2" max="3" width="21.5703125" bestFit="1" customWidth="1"/>
    <col min="4" max="4" width="25.7109375" bestFit="1" customWidth="1"/>
    <col min="5" max="5" width="24.140625" bestFit="1" customWidth="1"/>
    <col min="6" max="6" width="17.28515625" bestFit="1" customWidth="1"/>
    <col min="7" max="7" width="12" bestFit="1" customWidth="1"/>
    <col min="8" max="8" width="8.42578125" bestFit="1" customWidth="1"/>
    <col min="9" max="9" width="9.7109375" bestFit="1" customWidth="1"/>
    <col min="10" max="10" width="21.140625" bestFit="1" customWidth="1"/>
    <col min="11" max="11" width="17.28515625" bestFit="1" customWidth="1"/>
    <col min="12" max="12" width="11.5703125" bestFit="1" customWidth="1"/>
    <col min="13" max="13" width="21.140625" bestFit="1" customWidth="1"/>
    <col min="14" max="14" width="17.28515625" bestFit="1" customWidth="1"/>
    <col min="15" max="15" width="18.7109375" bestFit="1" customWidth="1"/>
    <col min="16" max="16" width="14.5703125" bestFit="1" customWidth="1"/>
    <col min="17" max="17" width="12.7109375" bestFit="1" customWidth="1"/>
    <col min="18" max="30" width="15.85546875" bestFit="1" customWidth="1"/>
    <col min="31" max="31" width="18.28515625" bestFit="1" customWidth="1"/>
  </cols>
  <sheetData>
    <row r="2" spans="1:17" x14ac:dyDescent="0.25">
      <c r="B2" t="s">
        <v>16</v>
      </c>
      <c r="D2" t="s">
        <v>23</v>
      </c>
      <c r="F2" t="s">
        <v>24</v>
      </c>
      <c r="H2" t="s">
        <v>15</v>
      </c>
    </row>
    <row r="3" spans="1:17" x14ac:dyDescent="0.25">
      <c r="A3" s="2"/>
      <c r="B3" s="2">
        <v>10149</v>
      </c>
      <c r="D3" s="2">
        <v>1004</v>
      </c>
      <c r="F3" s="2">
        <v>631</v>
      </c>
      <c r="H3" s="2">
        <v>8514</v>
      </c>
    </row>
    <row r="4" spans="1:17" x14ac:dyDescent="0.25">
      <c r="A4" s="2"/>
    </row>
    <row r="5" spans="1:17" x14ac:dyDescent="0.25">
      <c r="A5" s="2"/>
      <c r="B5" s="3" t="s">
        <v>13</v>
      </c>
      <c r="C5" t="s">
        <v>16</v>
      </c>
      <c r="F5" s="12" t="s">
        <v>13</v>
      </c>
      <c r="G5" t="s">
        <v>60</v>
      </c>
      <c r="H5" t="s">
        <v>25</v>
      </c>
      <c r="I5" t="s">
        <v>14</v>
      </c>
      <c r="K5" s="12" t="s">
        <v>13</v>
      </c>
      <c r="L5" t="s">
        <v>61</v>
      </c>
      <c r="N5" s="12" t="s">
        <v>13</v>
      </c>
      <c r="O5" t="s">
        <v>62</v>
      </c>
      <c r="P5" t="s">
        <v>63</v>
      </c>
      <c r="Q5" t="s">
        <v>64</v>
      </c>
    </row>
    <row r="6" spans="1:17" x14ac:dyDescent="0.25">
      <c r="A6" s="2"/>
      <c r="B6" s="4" t="s">
        <v>33</v>
      </c>
      <c r="C6" s="2">
        <v>38</v>
      </c>
      <c r="F6" s="6">
        <v>43885.75</v>
      </c>
      <c r="G6" s="2">
        <v>229</v>
      </c>
      <c r="H6" s="2">
        <v>1</v>
      </c>
      <c r="I6" s="2">
        <v>7</v>
      </c>
      <c r="K6" s="6">
        <v>43885.75</v>
      </c>
      <c r="L6" s="2">
        <v>221</v>
      </c>
      <c r="N6" s="6">
        <v>43885.75</v>
      </c>
      <c r="O6" s="2">
        <v>26</v>
      </c>
      <c r="P6" s="2">
        <v>127</v>
      </c>
      <c r="Q6" s="2">
        <v>94</v>
      </c>
    </row>
    <row r="7" spans="1:17" x14ac:dyDescent="0.25">
      <c r="A7" s="2"/>
      <c r="B7" s="4" t="s">
        <v>34</v>
      </c>
      <c r="C7" s="2">
        <v>7</v>
      </c>
      <c r="F7" s="6">
        <v>43886.75</v>
      </c>
      <c r="G7" s="2">
        <v>322</v>
      </c>
      <c r="H7" s="2">
        <v>1</v>
      </c>
      <c r="I7" s="2">
        <v>10</v>
      </c>
      <c r="K7" s="6">
        <v>43886.75</v>
      </c>
      <c r="L7" s="2">
        <v>90</v>
      </c>
      <c r="N7" s="6">
        <v>43886.75</v>
      </c>
      <c r="O7" s="2">
        <v>35</v>
      </c>
      <c r="P7" s="2">
        <v>150</v>
      </c>
      <c r="Q7" s="2">
        <v>162</v>
      </c>
    </row>
    <row r="8" spans="1:17" x14ac:dyDescent="0.25">
      <c r="A8" s="2"/>
      <c r="B8" s="4" t="s">
        <v>36</v>
      </c>
      <c r="C8" s="2">
        <v>13</v>
      </c>
      <c r="F8" s="6">
        <v>43887.75</v>
      </c>
      <c r="G8" s="2">
        <v>400</v>
      </c>
      <c r="H8" s="2">
        <v>3</v>
      </c>
      <c r="I8" s="2">
        <v>12</v>
      </c>
      <c r="K8" s="6">
        <v>43887.75</v>
      </c>
      <c r="L8" s="2">
        <v>74</v>
      </c>
      <c r="N8" s="6">
        <v>43887.75</v>
      </c>
      <c r="O8" s="2">
        <v>36</v>
      </c>
      <c r="P8" s="2">
        <v>164</v>
      </c>
      <c r="Q8" s="2">
        <v>221</v>
      </c>
    </row>
    <row r="9" spans="1:17" x14ac:dyDescent="0.25">
      <c r="A9" s="2"/>
      <c r="B9" s="4" t="s">
        <v>37</v>
      </c>
      <c r="C9" s="2">
        <v>127</v>
      </c>
      <c r="F9" s="6">
        <v>43888.75</v>
      </c>
      <c r="G9" s="2">
        <v>650</v>
      </c>
      <c r="H9" s="2">
        <v>45</v>
      </c>
      <c r="I9" s="2">
        <v>17</v>
      </c>
      <c r="K9" s="6">
        <v>43888.75</v>
      </c>
      <c r="L9" s="2">
        <v>203</v>
      </c>
      <c r="N9" s="6">
        <v>43888.75</v>
      </c>
      <c r="O9" s="2">
        <v>56</v>
      </c>
      <c r="P9" s="2">
        <v>304</v>
      </c>
      <c r="Q9" s="2">
        <v>284</v>
      </c>
    </row>
    <row r="10" spans="1:17" x14ac:dyDescent="0.25">
      <c r="A10" s="2"/>
      <c r="B10" s="4" t="s">
        <v>38</v>
      </c>
      <c r="C10" s="2">
        <v>1533</v>
      </c>
      <c r="F10" s="6">
        <v>43889.75</v>
      </c>
      <c r="G10" s="2">
        <v>888</v>
      </c>
      <c r="H10" s="2">
        <v>46</v>
      </c>
      <c r="I10" s="2">
        <v>21</v>
      </c>
      <c r="K10" s="6">
        <v>43889.75</v>
      </c>
      <c r="L10" s="2">
        <v>233</v>
      </c>
      <c r="N10" s="6">
        <v>43889.75</v>
      </c>
      <c r="O10" s="2">
        <v>64</v>
      </c>
      <c r="P10" s="2">
        <v>409</v>
      </c>
      <c r="Q10" s="2">
        <v>412</v>
      </c>
    </row>
    <row r="11" spans="1:17" x14ac:dyDescent="0.25">
      <c r="A11" s="2"/>
      <c r="B11" s="4" t="s">
        <v>39</v>
      </c>
      <c r="C11" s="2">
        <v>116</v>
      </c>
      <c r="F11" s="6">
        <v>43890.708333333336</v>
      </c>
      <c r="G11" s="2">
        <v>1128</v>
      </c>
      <c r="H11" s="2">
        <v>50</v>
      </c>
      <c r="I11" s="2">
        <v>29</v>
      </c>
      <c r="K11" s="6">
        <v>43890.708333333336</v>
      </c>
      <c r="L11" s="2">
        <v>228</v>
      </c>
      <c r="N11" s="6">
        <v>43890.708333333336</v>
      </c>
      <c r="O11" s="2">
        <v>105</v>
      </c>
      <c r="P11" s="2">
        <v>506</v>
      </c>
      <c r="Q11" s="2">
        <v>543</v>
      </c>
    </row>
    <row r="12" spans="1:17" x14ac:dyDescent="0.25">
      <c r="A12" s="2"/>
      <c r="B12" s="4" t="s">
        <v>40</v>
      </c>
      <c r="C12" s="2">
        <v>116</v>
      </c>
      <c r="F12" s="6">
        <v>43891.708333333336</v>
      </c>
      <c r="G12" s="2">
        <v>1694</v>
      </c>
      <c r="H12" s="2">
        <v>83</v>
      </c>
      <c r="I12" s="2">
        <v>34</v>
      </c>
      <c r="K12" s="6">
        <v>43891.708333333336</v>
      </c>
      <c r="L12" s="2">
        <v>528</v>
      </c>
      <c r="N12" s="6">
        <v>43891.708333333336</v>
      </c>
      <c r="O12" s="2">
        <v>140</v>
      </c>
      <c r="P12" s="2">
        <v>779</v>
      </c>
      <c r="Q12" s="2">
        <v>798</v>
      </c>
    </row>
    <row r="13" spans="1:17" x14ac:dyDescent="0.25">
      <c r="A13" s="2"/>
      <c r="B13" s="4" t="s">
        <v>41</v>
      </c>
      <c r="C13" s="2">
        <v>141</v>
      </c>
      <c r="F13" s="6">
        <v>43892.75</v>
      </c>
      <c r="G13" s="2">
        <v>2036</v>
      </c>
      <c r="H13" s="2">
        <v>149</v>
      </c>
      <c r="I13" s="2">
        <v>52</v>
      </c>
      <c r="K13" s="6">
        <v>43892.75</v>
      </c>
      <c r="L13" s="2">
        <v>258</v>
      </c>
      <c r="N13" s="6">
        <v>43892.75</v>
      </c>
      <c r="O13" s="2">
        <v>166</v>
      </c>
      <c r="P13" s="2">
        <v>908</v>
      </c>
      <c r="Q13" s="2">
        <v>927</v>
      </c>
    </row>
    <row r="14" spans="1:17" x14ac:dyDescent="0.25">
      <c r="A14" s="2"/>
      <c r="B14" s="4" t="s">
        <v>42</v>
      </c>
      <c r="C14" s="2">
        <v>5791</v>
      </c>
      <c r="F14" s="6">
        <v>43893.75</v>
      </c>
      <c r="G14" s="2">
        <v>2502</v>
      </c>
      <c r="H14" s="2">
        <v>160</v>
      </c>
      <c r="I14" s="2">
        <v>79</v>
      </c>
      <c r="K14" s="6">
        <v>43893.75</v>
      </c>
      <c r="L14" s="2">
        <v>428</v>
      </c>
      <c r="N14" s="6">
        <v>43893.75</v>
      </c>
      <c r="O14" s="2">
        <v>229</v>
      </c>
      <c r="P14" s="2">
        <v>1263</v>
      </c>
      <c r="Q14" s="2">
        <v>1000</v>
      </c>
    </row>
    <row r="15" spans="1:17" x14ac:dyDescent="0.25">
      <c r="A15" s="2"/>
      <c r="B15" s="4" t="s">
        <v>43</v>
      </c>
      <c r="C15" s="2">
        <v>394</v>
      </c>
      <c r="F15" s="6">
        <v>43894.708333333336</v>
      </c>
      <c r="G15" s="2">
        <v>3089</v>
      </c>
      <c r="H15" s="2">
        <v>276</v>
      </c>
      <c r="I15" s="2">
        <v>107</v>
      </c>
      <c r="K15" s="6">
        <v>43894.708333333336</v>
      </c>
      <c r="L15" s="2">
        <v>443</v>
      </c>
      <c r="N15" s="6">
        <v>43894.708333333336</v>
      </c>
      <c r="O15" s="2">
        <v>295</v>
      </c>
      <c r="P15" s="2">
        <v>1641</v>
      </c>
      <c r="Q15" s="2">
        <v>1065</v>
      </c>
    </row>
    <row r="16" spans="1:17" x14ac:dyDescent="0.25">
      <c r="A16" s="2"/>
      <c r="B16" s="4" t="s">
        <v>44</v>
      </c>
      <c r="C16" s="2">
        <v>15</v>
      </c>
      <c r="F16" s="6">
        <v>43895.708333333336</v>
      </c>
      <c r="G16" s="2">
        <v>3856</v>
      </c>
      <c r="H16" s="2">
        <v>414</v>
      </c>
      <c r="I16" s="2">
        <v>148</v>
      </c>
      <c r="K16" s="6">
        <v>43895.708333333336</v>
      </c>
      <c r="L16" s="2">
        <v>588</v>
      </c>
      <c r="N16" s="6">
        <v>43895.708333333336</v>
      </c>
      <c r="O16" s="2">
        <v>351</v>
      </c>
      <c r="P16" s="2">
        <v>2141</v>
      </c>
      <c r="Q16" s="2">
        <v>1153</v>
      </c>
    </row>
    <row r="17" spans="1:17" x14ac:dyDescent="0.25">
      <c r="A17" s="2"/>
      <c r="B17" s="4" t="s">
        <v>45</v>
      </c>
      <c r="C17" s="2">
        <v>453</v>
      </c>
      <c r="F17" s="6">
        <v>43896.708333333336</v>
      </c>
      <c r="G17" s="2">
        <v>4629</v>
      </c>
      <c r="H17" s="2">
        <v>523</v>
      </c>
      <c r="I17" s="2">
        <v>197</v>
      </c>
      <c r="K17" s="6">
        <v>43896.708333333336</v>
      </c>
      <c r="L17" s="2">
        <v>615</v>
      </c>
      <c r="N17" s="6">
        <v>43896.708333333336</v>
      </c>
      <c r="O17" s="2">
        <v>462</v>
      </c>
      <c r="P17" s="2">
        <v>2856</v>
      </c>
      <c r="Q17" s="2">
        <v>1053</v>
      </c>
    </row>
    <row r="18" spans="1:17" x14ac:dyDescent="0.25">
      <c r="A18" s="2"/>
      <c r="B18" s="4" t="s">
        <v>46</v>
      </c>
      <c r="C18" s="2">
        <v>59</v>
      </c>
      <c r="F18" s="6">
        <v>43897.75</v>
      </c>
      <c r="G18" s="2">
        <v>5875</v>
      </c>
      <c r="H18" s="2">
        <v>589</v>
      </c>
      <c r="I18" s="2">
        <v>233</v>
      </c>
      <c r="K18" s="6">
        <v>43897.75</v>
      </c>
      <c r="L18" s="2">
        <v>1144</v>
      </c>
      <c r="N18" s="6">
        <v>43897.75</v>
      </c>
      <c r="O18" s="2">
        <v>567</v>
      </c>
      <c r="P18" s="2">
        <v>3217</v>
      </c>
      <c r="Q18" s="2">
        <v>1836</v>
      </c>
    </row>
    <row r="19" spans="1:17" x14ac:dyDescent="0.25">
      <c r="A19" s="2"/>
      <c r="B19" s="4" t="s">
        <v>47</v>
      </c>
      <c r="C19" s="2">
        <v>20</v>
      </c>
      <c r="F19" s="6">
        <v>43898.75</v>
      </c>
      <c r="G19" s="2">
        <v>7366</v>
      </c>
      <c r="H19" s="2">
        <v>622</v>
      </c>
      <c r="I19" s="2">
        <v>366</v>
      </c>
      <c r="K19" s="6">
        <v>43898.75</v>
      </c>
      <c r="L19" s="2">
        <v>1325</v>
      </c>
      <c r="N19" s="6">
        <v>43898.75</v>
      </c>
      <c r="O19" s="2">
        <v>650</v>
      </c>
      <c r="P19" s="2">
        <v>4206</v>
      </c>
      <c r="Q19" s="2">
        <v>2172</v>
      </c>
    </row>
    <row r="20" spans="1:17" x14ac:dyDescent="0.25">
      <c r="B20" s="4" t="s">
        <v>48</v>
      </c>
      <c r="C20" s="2">
        <v>62</v>
      </c>
      <c r="F20" s="6">
        <v>43899.75</v>
      </c>
      <c r="G20" s="2">
        <v>9157</v>
      </c>
      <c r="H20" s="2">
        <v>724</v>
      </c>
      <c r="I20" s="2">
        <v>463</v>
      </c>
      <c r="K20" s="6">
        <v>43899.75</v>
      </c>
      <c r="L20" s="2">
        <v>1592</v>
      </c>
      <c r="N20" s="6">
        <v>43899.75</v>
      </c>
      <c r="O20" s="2">
        <v>733</v>
      </c>
      <c r="P20" s="2">
        <v>5045</v>
      </c>
      <c r="Q20" s="2">
        <v>2925</v>
      </c>
    </row>
    <row r="21" spans="1:17" x14ac:dyDescent="0.25">
      <c r="B21" s="4" t="s">
        <v>49</v>
      </c>
      <c r="C21" s="2">
        <v>264</v>
      </c>
      <c r="F21" s="6">
        <v>43900.75</v>
      </c>
      <c r="G21" s="2">
        <v>10132</v>
      </c>
      <c r="H21" s="2">
        <v>1004</v>
      </c>
      <c r="I21" s="2">
        <v>631</v>
      </c>
      <c r="K21" s="6">
        <v>43900.75</v>
      </c>
      <c r="L21" s="2">
        <v>527</v>
      </c>
      <c r="N21" s="6">
        <v>43900.75</v>
      </c>
      <c r="O21" s="2">
        <v>877</v>
      </c>
      <c r="P21" s="2">
        <v>5913</v>
      </c>
      <c r="Q21" s="2">
        <v>2584</v>
      </c>
    </row>
    <row r="22" spans="1:17" x14ac:dyDescent="0.25">
      <c r="B22" s="4" t="s">
        <v>56</v>
      </c>
      <c r="C22" s="2">
        <v>52</v>
      </c>
    </row>
    <row r="23" spans="1:17" x14ac:dyDescent="0.25">
      <c r="B23" s="4" t="s">
        <v>51</v>
      </c>
      <c r="C23" s="2">
        <v>37</v>
      </c>
    </row>
    <row r="24" spans="1:17" x14ac:dyDescent="0.25">
      <c r="B24" s="4" t="s">
        <v>53</v>
      </c>
      <c r="C24" s="2">
        <v>856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7D3F0B52-F829-4331-8EC0-52D98C2847A1}">
  <ds:schemaRefs/>
</ds:datastoreItem>
</file>

<file path=customXml/itemProps2.xml><?xml version="1.0" encoding="utf-8"?>
<ds:datastoreItem xmlns:ds="http://schemas.openxmlformats.org/officeDocument/2006/customXml" ds:itemID="{59687B02-7305-475C-B35E-E21381ED22E1}">
  <ds:schemaRefs/>
</ds:datastoreItem>
</file>

<file path=customXml/itemProps3.xml><?xml version="1.0" encoding="utf-8"?>
<ds:datastoreItem xmlns:ds="http://schemas.openxmlformats.org/officeDocument/2006/customXml" ds:itemID="{6737ECF1-C7A5-4F9B-8C82-E062A49D81C8}">
  <ds:schemaRefs/>
</ds:datastoreItem>
</file>

<file path=customXml/itemProps4.xml><?xml version="1.0" encoding="utf-8"?>
<ds:datastoreItem xmlns:ds="http://schemas.openxmlformats.org/officeDocument/2006/customXml" ds:itemID="{E9BF912D-9327-46BB-B088-787B43EED6B1}">
  <ds:schemaRefs/>
</ds:datastoreItem>
</file>

<file path=customXml/itemProps5.xml><?xml version="1.0" encoding="utf-8"?>
<ds:datastoreItem xmlns:ds="http://schemas.openxmlformats.org/officeDocument/2006/customXml" ds:itemID="{2CBF7388-82AA-4DDE-8537-4E552219F083}">
  <ds:schemaRefs/>
</ds:datastoreItem>
</file>

<file path=customXml/itemProps6.xml><?xml version="1.0" encoding="utf-8"?>
<ds:datastoreItem xmlns:ds="http://schemas.openxmlformats.org/officeDocument/2006/customXml" ds:itemID="{28EB07ED-98A7-4FF7-BB5F-3C36D4E9E8FE}">
  <ds:schemaRefs/>
</ds:datastoreItem>
</file>

<file path=customXml/itemProps7.xml><?xml version="1.0" encoding="utf-8"?>
<ds:datastoreItem xmlns:ds="http://schemas.openxmlformats.org/officeDocument/2006/customXml" ds:itemID="{9C2AD689-9F96-4448-8426-F9B9DC73B9BF}">
  <ds:schemaRefs/>
</ds:datastoreItem>
</file>

<file path=customXml/itemProps8.xml><?xml version="1.0" encoding="utf-8"?>
<ds:datastoreItem xmlns:ds="http://schemas.openxmlformats.org/officeDocument/2006/customXml" ds:itemID="{8DCA0ABC-7C84-4465-A567-20E1B66471DF}">
  <ds:schemaRefs/>
</ds:datastoreItem>
</file>

<file path=customXml/itemProps9.xml><?xml version="1.0" encoding="utf-8"?>
<ds:datastoreItem xmlns:ds="http://schemas.openxmlformats.org/officeDocument/2006/customXml" ds:itemID="{8DCD2D7D-EE37-4BFF-8B1A-C3C721E85189}">
  <ds:schemaRefs/>
</ds:datastoreItem>
</file>

<file path=customXml/itemProps10.xml><?xml version="1.0" encoding="utf-8"?>
<ds:datastoreItem xmlns:ds="http://schemas.openxmlformats.org/officeDocument/2006/customXml" ds:itemID="{965FF8E7-7864-4B27-83A8-E6B66293E455}">
  <ds:schemaRefs/>
</ds:datastoreItem>
</file>

<file path=customXml/itemProps11.xml><?xml version="1.0" encoding="utf-8"?>
<ds:datastoreItem xmlns:ds="http://schemas.openxmlformats.org/officeDocument/2006/customXml" ds:itemID="{ED3DBD0A-402E-4D26-8994-A7CBF78567DE}">
  <ds:schemaRefs/>
</ds:datastoreItem>
</file>

<file path=customXml/itemProps12.xml><?xml version="1.0" encoding="utf-8"?>
<ds:datastoreItem xmlns:ds="http://schemas.openxmlformats.org/officeDocument/2006/customXml" ds:itemID="{F05D0DEA-FC82-409B-A00D-122BE9E78FE9}">
  <ds:schemaRefs/>
</ds:datastoreItem>
</file>

<file path=customXml/itemProps13.xml><?xml version="1.0" encoding="utf-8"?>
<ds:datastoreItem xmlns:ds="http://schemas.openxmlformats.org/officeDocument/2006/customXml" ds:itemID="{76FFF514-B963-4505-A35B-BDD361EE8EBA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3EC5ACC5-B209-4FE1-8C37-E43C4B95555E}">
  <ds:schemaRefs/>
</ds:datastoreItem>
</file>

<file path=customXml/itemProps15.xml><?xml version="1.0" encoding="utf-8"?>
<ds:datastoreItem xmlns:ds="http://schemas.openxmlformats.org/officeDocument/2006/customXml" ds:itemID="{63093101-B6D9-497C-AF55-3DD29BF42DE7}">
  <ds:schemaRefs/>
</ds:datastoreItem>
</file>

<file path=customXml/itemProps16.xml><?xml version="1.0" encoding="utf-8"?>
<ds:datastoreItem xmlns:ds="http://schemas.openxmlformats.org/officeDocument/2006/customXml" ds:itemID="{AE95A168-2FC7-4C9B-9499-C418EF0D065A}">
  <ds:schemaRefs/>
</ds:datastoreItem>
</file>

<file path=customXml/itemProps17.xml><?xml version="1.0" encoding="utf-8"?>
<ds:datastoreItem xmlns:ds="http://schemas.openxmlformats.org/officeDocument/2006/customXml" ds:itemID="{FAC42D48-ABA1-4AC0-9F3A-D8E06B4FB7DF}">
  <ds:schemaRefs/>
</ds:datastoreItem>
</file>

<file path=customXml/itemProps18.xml><?xml version="1.0" encoding="utf-8"?>
<ds:datastoreItem xmlns:ds="http://schemas.openxmlformats.org/officeDocument/2006/customXml" ds:itemID="{57F8DF1E-3FA0-403B-903E-01AA401A80C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Istruzioni</vt:lpstr>
      <vt:lpstr>Dashboard</vt:lpstr>
      <vt:lpstr>Nazionale</vt:lpstr>
      <vt:lpstr>Regioni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Maramotti</dc:creator>
  <cp:lastModifiedBy>Alessandro Maramotti</cp:lastModifiedBy>
  <dcterms:created xsi:type="dcterms:W3CDTF">2020-03-09T17:05:53Z</dcterms:created>
  <dcterms:modified xsi:type="dcterms:W3CDTF">2020-03-11T14:59:54Z</dcterms:modified>
</cp:coreProperties>
</file>